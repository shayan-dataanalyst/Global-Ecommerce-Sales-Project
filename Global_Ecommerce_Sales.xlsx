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C\Desktop\VS Code\Python\Projects\"/>
    </mc:Choice>
  </mc:AlternateContent>
  <bookViews>
    <workbookView xWindow="0" yWindow="0" windowWidth="19200" windowHeight="6930"/>
  </bookViews>
  <sheets>
    <sheet name="Dashboard" sheetId="7" r:id="rId1"/>
    <sheet name="Global Ecommerce Sales" sheetId="1" r:id="rId2"/>
    <sheet name="Pivot_Customer" sheetId="5" r:id="rId3"/>
    <sheet name="Pivot_Region" sheetId="2" r:id="rId4"/>
    <sheet name="Pivot_Catogory" sheetId="3" r:id="rId5"/>
    <sheet name="Pivot_Monthly" sheetId="4" r:id="rId6"/>
    <sheet name="Pivot_Product" sheetId="9" r:id="rId7"/>
    <sheet name="Pivot_Payment" sheetId="6" r:id="rId8"/>
    <sheet name="Discount vs Profit" sheetId="12" r:id="rId9"/>
    <sheet name="Sheet9" sheetId="11" r:id="rId10"/>
  </sheets>
  <calcPr calcId="162913"/>
  <pivotCaches>
    <pivotCache cacheId="0" r:id="rId11"/>
  </pivotCaches>
</workbook>
</file>

<file path=xl/calcChain.xml><?xml version="1.0" encoding="utf-8"?>
<calcChain xmlns="http://schemas.openxmlformats.org/spreadsheetml/2006/main">
  <c r="C4" i="7" l="1"/>
  <c r="L4" i="7"/>
  <c r="O4" i="7"/>
  <c r="I4" i="7"/>
  <c r="F4" i="7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" i="1"/>
</calcChain>
</file>

<file path=xl/sharedStrings.xml><?xml version="1.0" encoding="utf-8"?>
<sst xmlns="http://schemas.openxmlformats.org/spreadsheetml/2006/main" count="18124" uniqueCount="3657">
  <si>
    <t>Order_ID</t>
  </si>
  <si>
    <t>Order_Date</t>
  </si>
  <si>
    <t>Customer_Name</t>
  </si>
  <si>
    <t>Customer_Segment</t>
  </si>
  <si>
    <t>Country</t>
  </si>
  <si>
    <t>Region</t>
  </si>
  <si>
    <t>Product_Category</t>
  </si>
  <si>
    <t>Product_Name</t>
  </si>
  <si>
    <t>Quantity</t>
  </si>
  <si>
    <t>Unit_Price</t>
  </si>
  <si>
    <t>Discount_Percent</t>
  </si>
  <si>
    <t>Total_Sales</t>
  </si>
  <si>
    <t>Shipping_Cost</t>
  </si>
  <si>
    <t>Profit</t>
  </si>
  <si>
    <t>Payment_Method</t>
  </si>
  <si>
    <t>ORD-11121</t>
  </si>
  <si>
    <t>Karen Suzuki</t>
  </si>
  <si>
    <t>Corporate</t>
  </si>
  <si>
    <t>United States</t>
  </si>
  <si>
    <t>North America</t>
  </si>
  <si>
    <t>Technology</t>
  </si>
  <si>
    <t>Wireless Bluetooth Headphones</t>
  </si>
  <si>
    <t>Cash on Delivery</t>
  </si>
  <si>
    <t>ORD-11244</t>
  </si>
  <si>
    <t>John Johansson</t>
  </si>
  <si>
    <t>Spain</t>
  </si>
  <si>
    <t>Europe</t>
  </si>
  <si>
    <t>Mechanical Gaming Keyboard</t>
  </si>
  <si>
    <t>ORD-10325</t>
  </si>
  <si>
    <t>Jessica Garcia</t>
  </si>
  <si>
    <t>Consumer</t>
  </si>
  <si>
    <t>Mexico</t>
  </si>
  <si>
    <t>Office Supplies</t>
  </si>
  <si>
    <t>Binder Clips Assorted 48pc</t>
  </si>
  <si>
    <t>Credit Card</t>
  </si>
  <si>
    <t>ORD-10467</t>
  </si>
  <si>
    <t>Clara Taylor</t>
  </si>
  <si>
    <t>Italy</t>
  </si>
  <si>
    <t>Webcam HD 1080p</t>
  </si>
  <si>
    <t>PayPal</t>
  </si>
  <si>
    <t>ORD-11454</t>
  </si>
  <si>
    <t>Felix Thomas</t>
  </si>
  <si>
    <t>Furniture</t>
  </si>
  <si>
    <t>Standing Desk Converter</t>
  </si>
  <si>
    <t>ORD-11746</t>
  </si>
  <si>
    <t>Fatima Suzuki</t>
  </si>
  <si>
    <t>Bookshelf 5-Tier</t>
  </si>
  <si>
    <t>ORD-11162</t>
  </si>
  <si>
    <t>Felix Rodriguez</t>
  </si>
  <si>
    <t>Home Office</t>
  </si>
  <si>
    <t>Premium Notebook Set A5</t>
  </si>
  <si>
    <t>ORD-11271</t>
  </si>
  <si>
    <t>Ayumi Ferrari</t>
  </si>
  <si>
    <t>Nigeria</t>
  </si>
  <si>
    <t>Middle East &amp; Africa</t>
  </si>
  <si>
    <t>Laptop Stand Adjustable</t>
  </si>
  <si>
    <t>Bank Transfer</t>
  </si>
  <si>
    <t>ORD-11702</t>
  </si>
  <si>
    <t>Thomas Smith</t>
  </si>
  <si>
    <t>China</t>
  </si>
  <si>
    <t>Asia Pacific</t>
  </si>
  <si>
    <t>ORD-10847</t>
  </si>
  <si>
    <t>Ali Rodriguez</t>
  </si>
  <si>
    <t>Saudi Arabia</t>
  </si>
  <si>
    <t>Folding Table Portable</t>
  </si>
  <si>
    <t>ORD-10446</t>
  </si>
  <si>
    <t>Raj Martinez</t>
  </si>
  <si>
    <t>Colombia</t>
  </si>
  <si>
    <t>South America</t>
  </si>
  <si>
    <t>Clothing &amp; Accessories</t>
  </si>
  <si>
    <t>Leather Wallet Minimalist</t>
  </si>
  <si>
    <t>ORD-11499</t>
  </si>
  <si>
    <t>Kenji Rossi</t>
  </si>
  <si>
    <t>Paper Clips Box 500pc</t>
  </si>
  <si>
    <t>ORD-10271</t>
  </si>
  <si>
    <t>Mary Khan</t>
  </si>
  <si>
    <t>United Kingdom</t>
  </si>
  <si>
    <t>ORD-11356</t>
  </si>
  <si>
    <t>Maria Tanaka</t>
  </si>
  <si>
    <t>Travel Backpack 30L</t>
  </si>
  <si>
    <t>ORD-10793</t>
  </si>
  <si>
    <t>Zara Brown</t>
  </si>
  <si>
    <t>Tape Dispenser Heavy Duty</t>
  </si>
  <si>
    <t>ORD-11330</t>
  </si>
  <si>
    <t>Marco Moreau</t>
  </si>
  <si>
    <t>Japan</t>
  </si>
  <si>
    <t>Business Casual Blazer</t>
  </si>
  <si>
    <t>ORD-11886</t>
  </si>
  <si>
    <t>Christopher Johansson</t>
  </si>
  <si>
    <t>Corner L-Shaped Desk</t>
  </si>
  <si>
    <t>ORD-10339</t>
  </si>
  <si>
    <t>Susan Davis</t>
  </si>
  <si>
    <t>Australia</t>
  </si>
  <si>
    <t>Ergonomic Office Chair</t>
  </si>
  <si>
    <t>ORD-10402</t>
  </si>
  <si>
    <t>Jamal Schmidt</t>
  </si>
  <si>
    <t>ORD-10560</t>
  </si>
  <si>
    <t>Sarah Davis</t>
  </si>
  <si>
    <t>Wool Blend Scarf</t>
  </si>
  <si>
    <t>ORD-10686</t>
  </si>
  <si>
    <t>Clara Smith</t>
  </si>
  <si>
    <t>Whiteboard Markers Set 8</t>
  </si>
  <si>
    <t>ORD-11718</t>
  </si>
  <si>
    <t>Robert Khan</t>
  </si>
  <si>
    <t>ORD-10736</t>
  </si>
  <si>
    <t>Jennifer Russo</t>
  </si>
  <si>
    <t>Smart LED Desk Lamp</t>
  </si>
  <si>
    <t>ORD-10846</t>
  </si>
  <si>
    <t>Yuki Costa</t>
  </si>
  <si>
    <t>UAE</t>
  </si>
  <si>
    <t>Sticky Notes Multicolor 6-Pack</t>
  </si>
  <si>
    <t>ORD-11128</t>
  </si>
  <si>
    <t>Amir Oliveira</t>
  </si>
  <si>
    <t>ORD-10279</t>
  </si>
  <si>
    <t>Ivan Zhang</t>
  </si>
  <si>
    <t>Desk Calendar 2025</t>
  </si>
  <si>
    <t>ORD-10344</t>
  </si>
  <si>
    <t>Sakura Martinez</t>
  </si>
  <si>
    <t>Floating Wall Shelves Set</t>
  </si>
  <si>
    <t>ORD-10589</t>
  </si>
  <si>
    <t>Mary Davis</t>
  </si>
  <si>
    <t>Argentina</t>
  </si>
  <si>
    <t>Portable External SSD 1TB</t>
  </si>
  <si>
    <t>ORD-11029</t>
  </si>
  <si>
    <t>Karen Rossi</t>
  </si>
  <si>
    <t>ORD-11026</t>
  </si>
  <si>
    <t>Chen Singh</t>
  </si>
  <si>
    <t>ORD-10968</t>
  </si>
  <si>
    <t>Wei MÃ¼ller</t>
  </si>
  <si>
    <t>Canada</t>
  </si>
  <si>
    <t>ORD-11723</t>
  </si>
  <si>
    <t>Raj Costa</t>
  </si>
  <si>
    <t>Stapler Full-Size</t>
  </si>
  <si>
    <t>ORD-10408</t>
  </si>
  <si>
    <t>Hanna Sato</t>
  </si>
  <si>
    <t>Germany</t>
  </si>
  <si>
    <t>ORD-11828</t>
  </si>
  <si>
    <t>Sarah Zhang</t>
  </si>
  <si>
    <t>South Africa</t>
  </si>
  <si>
    <t>Canvas Messenger Bag</t>
  </si>
  <si>
    <t>ORD-11035</t>
  </si>
  <si>
    <t>Linda Russo</t>
  </si>
  <si>
    <t>ORD-10599</t>
  </si>
  <si>
    <t>Chen Laurent</t>
  </si>
  <si>
    <t>ORD-10780</t>
  </si>
  <si>
    <t>David Anderson</t>
  </si>
  <si>
    <t>ORD-10636</t>
  </si>
  <si>
    <t>Ayumi Tanaka</t>
  </si>
  <si>
    <t>South Korea</t>
  </si>
  <si>
    <t>Ballpoint Pen Pack 12</t>
  </si>
  <si>
    <t>ORD-10694</t>
  </si>
  <si>
    <t>Susan Johansson</t>
  </si>
  <si>
    <t>ORD-10711</t>
  </si>
  <si>
    <t>Mary Ferrari</t>
  </si>
  <si>
    <t>ORD-10383</t>
  </si>
  <si>
    <t>Michael Harris</t>
  </si>
  <si>
    <t>ORD-10435</t>
  </si>
  <si>
    <t>Priya Martin</t>
  </si>
  <si>
    <t>ORD-10017</t>
  </si>
  <si>
    <t>Kenji Nilsson</t>
  </si>
  <si>
    <t>Silk Tie Collection</t>
  </si>
  <si>
    <t>ORD-11220</t>
  </si>
  <si>
    <t>Amir Hassan</t>
  </si>
  <si>
    <t>Cotton Formal Shirt</t>
  </si>
  <si>
    <t>ORD-11237</t>
  </si>
  <si>
    <t>Ahmed Garcia</t>
  </si>
  <si>
    <t>India</t>
  </si>
  <si>
    <t>ORD-11655</t>
  </si>
  <si>
    <t>Li Wang</t>
  </si>
  <si>
    <t>Brazil</t>
  </si>
  <si>
    <t>USB-C Hub Multiport Adapter</t>
  </si>
  <si>
    <t>ORD-11858</t>
  </si>
  <si>
    <t>Ava Martinez</t>
  </si>
  <si>
    <t>ORD-10787</t>
  </si>
  <si>
    <t>Ahmed Clark</t>
  </si>
  <si>
    <t>Tablet Stand Holder</t>
  </si>
  <si>
    <t>ORD-10950</t>
  </si>
  <si>
    <t>William Sharma</t>
  </si>
  <si>
    <t>ORD-10374</t>
  </si>
  <si>
    <t>Felix Smith</t>
  </si>
  <si>
    <t>ORD-10745</t>
  </si>
  <si>
    <t>Yuki Kumar</t>
  </si>
  <si>
    <t>ORD-11670</t>
  </si>
  <si>
    <t>Jamal Rossi</t>
  </si>
  <si>
    <t>ORD-11158</t>
  </si>
  <si>
    <t>Maria Sharma</t>
  </si>
  <si>
    <t>ORD-11430</t>
  </si>
  <si>
    <t>Karen Martinez</t>
  </si>
  <si>
    <t>ORD-11760</t>
  </si>
  <si>
    <t>Sakura Thomas</t>
  </si>
  <si>
    <t>ORD-10720</t>
  </si>
  <si>
    <t>Hans Chen</t>
  </si>
  <si>
    <t>ORD-11218</t>
  </si>
  <si>
    <t>Lucas Sharma</t>
  </si>
  <si>
    <t>ORD-10384</t>
  </si>
  <si>
    <t>Giulia Leroy</t>
  </si>
  <si>
    <t>Sports Water Bottle 750ml</t>
  </si>
  <si>
    <t>ORD-11503</t>
  </si>
  <si>
    <t>Felix Yamamoto</t>
  </si>
  <si>
    <t>Noise Cancelling Earbuds</t>
  </si>
  <si>
    <t>ORD-11711</t>
  </si>
  <si>
    <t>Layla Khan</t>
  </si>
  <si>
    <t>ORD-10098</t>
  </si>
  <si>
    <t>Ava Jones</t>
  </si>
  <si>
    <t>ORD-10314</t>
  </si>
  <si>
    <t>Sakura Martin</t>
  </si>
  <si>
    <t>ORD-10322</t>
  </si>
  <si>
    <t>Maria Laurent</t>
  </si>
  <si>
    <t>ORD-11507</t>
  </si>
  <si>
    <t>Zara Suzuki</t>
  </si>
  <si>
    <t>ORD-11683</t>
  </si>
  <si>
    <t>Zara Costa</t>
  </si>
  <si>
    <t>ORD-10642</t>
  </si>
  <si>
    <t>Olga Kim</t>
  </si>
  <si>
    <t>ORD-11011</t>
  </si>
  <si>
    <t>Hans Kim</t>
  </si>
  <si>
    <t>ORD-11270</t>
  </si>
  <si>
    <t>Isabella White</t>
  </si>
  <si>
    <t>ORD-11659</t>
  </si>
  <si>
    <t>Emma Oliveira</t>
  </si>
  <si>
    <t>ORD-10256</t>
  </si>
  <si>
    <t>Michael Zhang</t>
  </si>
  <si>
    <t>ORD-10527</t>
  </si>
  <si>
    <t>Hanna Ahmed</t>
  </si>
  <si>
    <t>ORD-11082</t>
  </si>
  <si>
    <t>Patricia MÃ¼ller</t>
  </si>
  <si>
    <t>ORD-10473</t>
  </si>
  <si>
    <t>Kenji Zhang</t>
  </si>
  <si>
    <t>ORD-11304</t>
  </si>
  <si>
    <t>Ayumi Martinez</t>
  </si>
  <si>
    <t>ORD-11560</t>
  </si>
  <si>
    <t>Ayumi Nilsson</t>
  </si>
  <si>
    <t>ORD-11196</t>
  </si>
  <si>
    <t>Mia Ali</t>
  </si>
  <si>
    <t>Monitor Riser Wood</t>
  </si>
  <si>
    <t>ORD-11355</t>
  </si>
  <si>
    <t>Lucas Schmidt</t>
  </si>
  <si>
    <t>ORD-11569</t>
  </si>
  <si>
    <t>Barbara Davis</t>
  </si>
  <si>
    <t>ORD-10916</t>
  </si>
  <si>
    <t>Jessica Wang</t>
  </si>
  <si>
    <t>ORD-10837</t>
  </si>
  <si>
    <t>Jamal Zhang</t>
  </si>
  <si>
    <t>Leather Belt Classic</t>
  </si>
  <si>
    <t>ORD-10855</t>
  </si>
  <si>
    <t>Felix Johansson</t>
  </si>
  <si>
    <t>ORD-11065</t>
  </si>
  <si>
    <t>Priya Wang</t>
  </si>
  <si>
    <t>France</t>
  </si>
  <si>
    <t>ORD-11922</t>
  </si>
  <si>
    <t>Sophie Park</t>
  </si>
  <si>
    <t>ORD-10594</t>
  </si>
  <si>
    <t>Ayumi Khan</t>
  </si>
  <si>
    <t>ORD-11419</t>
  </si>
  <si>
    <t>Michael Davis</t>
  </si>
  <si>
    <t>Desk Organizer Set</t>
  </si>
  <si>
    <t>ORD-11624</t>
  </si>
  <si>
    <t>Felix Thompson</t>
  </si>
  <si>
    <t>ORD-11855</t>
  </si>
  <si>
    <t>Hans Johnson</t>
  </si>
  <si>
    <t>ORD-10843</t>
  </si>
  <si>
    <t>Jennifer Moreau</t>
  </si>
  <si>
    <t>ORD-11306</t>
  </si>
  <si>
    <t>Mia MÃ¼ller</t>
  </si>
  <si>
    <t>Wireless Ergonomic Mouse</t>
  </si>
  <si>
    <t>ORD-10392</t>
  </si>
  <si>
    <t>Priya Martinez</t>
  </si>
  <si>
    <t>ORD-11302</t>
  </si>
  <si>
    <t>ORD-11205</t>
  </si>
  <si>
    <t>Zara White</t>
  </si>
  <si>
    <t>ORD-10892</t>
  </si>
  <si>
    <t>Felix Moreau</t>
  </si>
  <si>
    <t>ORD-11175</t>
  </si>
  <si>
    <t>Ethan Hassan</t>
  </si>
  <si>
    <t>ORD-11598</t>
  </si>
  <si>
    <t>Ingrid Schmidt</t>
  </si>
  <si>
    <t>ORD-10113</t>
  </si>
  <si>
    <t>Mia Harris</t>
  </si>
  <si>
    <t>ORD-10646</t>
  </si>
  <si>
    <t>Sophie Harris</t>
  </si>
  <si>
    <t>ORD-11378</t>
  </si>
  <si>
    <t>Michael Hassan</t>
  </si>
  <si>
    <t>ORD-11900</t>
  </si>
  <si>
    <t>Oscar Jones</t>
  </si>
  <si>
    <t>ORD-11523</t>
  </si>
  <si>
    <t>Giulia Ali</t>
  </si>
  <si>
    <t>ORD-10233</t>
  </si>
  <si>
    <t>Fatima Rossi</t>
  </si>
  <si>
    <t>ORD-10605</t>
  </si>
  <si>
    <t>Yuki Patel</t>
  </si>
  <si>
    <t>ORD-10907</t>
  </si>
  <si>
    <t>Mia Clark</t>
  </si>
  <si>
    <t>ORD-11202</t>
  </si>
  <si>
    <t>Mary Smith</t>
  </si>
  <si>
    <t>Mesh Back Task Chair</t>
  </si>
  <si>
    <t>ORD-11294</t>
  </si>
  <si>
    <t>Ayumi Suzuki</t>
  </si>
  <si>
    <t>ORD-11673</t>
  </si>
  <si>
    <t>Elizabeth Moreau</t>
  </si>
  <si>
    <t>ORD-11217</t>
  </si>
  <si>
    <t>Jamal Martinez</t>
  </si>
  <si>
    <t>ORD-10246</t>
  </si>
  <si>
    <t>Barbara Ali</t>
  </si>
  <si>
    <t>ORD-11135</t>
  </si>
  <si>
    <t>Lucas Anderson</t>
  </si>
  <si>
    <t>Polarized Sunglasses</t>
  </si>
  <si>
    <t>ORD-10620</t>
  </si>
  <si>
    <t>Omar Garcia</t>
  </si>
  <si>
    <t>ORD-11279</t>
  </si>
  <si>
    <t>Clara Miller</t>
  </si>
  <si>
    <t>ORD-10124</t>
  </si>
  <si>
    <t>David Harris</t>
  </si>
  <si>
    <t>ORD-10242</t>
  </si>
  <si>
    <t>James Chen</t>
  </si>
  <si>
    <t>ORD-10915</t>
  </si>
  <si>
    <t>Ahmed Harris</t>
  </si>
  <si>
    <t>ORD-11632</t>
  </si>
  <si>
    <t>Elizabeth Ahmed</t>
  </si>
  <si>
    <t>ORD-11184</t>
  </si>
  <si>
    <t>Fatima Kumar</t>
  </si>
  <si>
    <t>ORD-10874</t>
  </si>
  <si>
    <t>Mia Martin</t>
  </si>
  <si>
    <t>ORD-11668</t>
  </si>
  <si>
    <t>Robert Robinson</t>
  </si>
  <si>
    <t>ORD-11260</t>
  </si>
  <si>
    <t>Liam Jones</t>
  </si>
  <si>
    <t>ORD-10953</t>
  </si>
  <si>
    <t>Emma Johnson</t>
  </si>
  <si>
    <t>ORD-10521</t>
  </si>
  <si>
    <t>Mia Santos</t>
  </si>
  <si>
    <t>ORD-11545</t>
  </si>
  <si>
    <t>Susan Kim</t>
  </si>
  <si>
    <t>ORD-10070</t>
  </si>
  <si>
    <t>Amir Khan</t>
  </si>
  <si>
    <t>ORD-11006</t>
  </si>
  <si>
    <t>Barbara Leroy</t>
  </si>
  <si>
    <t>ORD-10744</t>
  </si>
  <si>
    <t>Thomas Patel</t>
  </si>
  <si>
    <t>ORD-10861</t>
  </si>
  <si>
    <t>Isabella Martin</t>
  </si>
  <si>
    <t>ORD-10676</t>
  </si>
  <si>
    <t>Wei Chen</t>
  </si>
  <si>
    <t>ORD-11064</t>
  </si>
  <si>
    <t>Karen Jackson</t>
  </si>
  <si>
    <t>ORD-11786</t>
  </si>
  <si>
    <t>Felix Santos</t>
  </si>
  <si>
    <t>ORD-10637</t>
  </si>
  <si>
    <t>Mia Weber</t>
  </si>
  <si>
    <t>Highlighters Neon Pack 6</t>
  </si>
  <si>
    <t>ORD-10863</t>
  </si>
  <si>
    <t>Jessica Anderson</t>
  </si>
  <si>
    <t>ORD-11917</t>
  </si>
  <si>
    <t>Fatima Li</t>
  </si>
  <si>
    <t>ORD-10020</t>
  </si>
  <si>
    <t>Pierre Yamamoto</t>
  </si>
  <si>
    <t>ORD-11090</t>
  </si>
  <si>
    <t>Hanna Jones</t>
  </si>
  <si>
    <t>ORD-11712</t>
  </si>
  <si>
    <t>Felix Park</t>
  </si>
  <si>
    <t>ORD-10887</t>
  </si>
  <si>
    <t>Mia Ferrari</t>
  </si>
  <si>
    <t>ORD-11156</t>
  </si>
  <si>
    <t>Omar Leroy</t>
  </si>
  <si>
    <t>ORD-11633</t>
  </si>
  <si>
    <t>Carlos Smith</t>
  </si>
  <si>
    <t>ORD-10103</t>
  </si>
  <si>
    <t>Barbara Russo</t>
  </si>
  <si>
    <t>ORD-10132</t>
  </si>
  <si>
    <t>Fatima Singh</t>
  </si>
  <si>
    <t>ORD-11007</t>
  </si>
  <si>
    <t>Olga Russo</t>
  </si>
  <si>
    <t>Filing Cabinet 3-Drawer</t>
  </si>
  <si>
    <t>ORD-10395</t>
  </si>
  <si>
    <t>Emma Pereira</t>
  </si>
  <si>
    <t>ORD-11318</t>
  </si>
  <si>
    <t>Thomas Chen</t>
  </si>
  <si>
    <t>ORD-10252</t>
  </si>
  <si>
    <t>Carlos Anderson</t>
  </si>
  <si>
    <t>ORD-10450</t>
  </si>
  <si>
    <t>Ayumi Johnson</t>
  </si>
  <si>
    <t>ORD-11088</t>
  </si>
  <si>
    <t>Hans Santos</t>
  </si>
  <si>
    <t>ORD-11452</t>
  </si>
  <si>
    <t>Thomas Oliveira</t>
  </si>
  <si>
    <t>ORD-11478</t>
  </si>
  <si>
    <t>Oscar Taylor</t>
  </si>
  <si>
    <t>ORD-11231</t>
  </si>
  <si>
    <t>Emma Brown</t>
  </si>
  <si>
    <t>ORD-11479</t>
  </si>
  <si>
    <t>Susan White</t>
  </si>
  <si>
    <t>ORD-10821</t>
  </si>
  <si>
    <t>Nadia Weber</t>
  </si>
  <si>
    <t>ORD-11766</t>
  </si>
  <si>
    <t>James Anderson</t>
  </si>
  <si>
    <t>ORD-11000</t>
  </si>
  <si>
    <t>Olga Zhang</t>
  </si>
  <si>
    <t>ORD-11002</t>
  </si>
  <si>
    <t>Nadia Santos</t>
  </si>
  <si>
    <t>ORD-11631</t>
  </si>
  <si>
    <t>Lucas Kim</t>
  </si>
  <si>
    <t>ORD-11784</t>
  </si>
  <si>
    <t>Hans Laurent</t>
  </si>
  <si>
    <t>ORD-10578</t>
  </si>
  <si>
    <t>William Nilsson</t>
  </si>
  <si>
    <t>ORD-10306</t>
  </si>
  <si>
    <t>James Sharma</t>
  </si>
  <si>
    <t>ORD-10532</t>
  </si>
  <si>
    <t>Ava Ferrari</t>
  </si>
  <si>
    <t>ORD-10903</t>
  </si>
  <si>
    <t>Priya Zhang</t>
  </si>
  <si>
    <t>ORD-11253</t>
  </si>
  <si>
    <t>Richard Harris</t>
  </si>
  <si>
    <t>ORD-11610</t>
  </si>
  <si>
    <t>Richard Ali</t>
  </si>
  <si>
    <t>ORD-10071</t>
  </si>
  <si>
    <t>Richard MÃ¼ller</t>
  </si>
  <si>
    <t>ORD-10207</t>
  </si>
  <si>
    <t>Diego Johansson</t>
  </si>
  <si>
    <t>ORD-11995</t>
  </si>
  <si>
    <t>Jamal Ferrari</t>
  </si>
  <si>
    <t>ORD-10176</t>
  </si>
  <si>
    <t>Li Pereira</t>
  </si>
  <si>
    <t>ORD-11066</t>
  </si>
  <si>
    <t>Olga Leroy</t>
  </si>
  <si>
    <t>ORD-11988</t>
  </si>
  <si>
    <t>Michael Yamamoto</t>
  </si>
  <si>
    <t>ORD-10274</t>
  </si>
  <si>
    <t>Michael Ferrari</t>
  </si>
  <si>
    <t>ORD-10840</t>
  </si>
  <si>
    <t>Priya Park</t>
  </si>
  <si>
    <t>ORD-11333</t>
  </si>
  <si>
    <t>Olga Hassan</t>
  </si>
  <si>
    <t>ORD-11079</t>
  </si>
  <si>
    <t>Maria Schmidt</t>
  </si>
  <si>
    <t>ORD-11868</t>
  </si>
  <si>
    <t>Maria Martinez</t>
  </si>
  <si>
    <t>ORD-11664</t>
  </si>
  <si>
    <t>Hans Fischer</t>
  </si>
  <si>
    <t>ORD-11912</t>
  </si>
  <si>
    <t>Lucas Chen</t>
  </si>
  <si>
    <t>ORD-11921</t>
  </si>
  <si>
    <t>Priya Jones</t>
  </si>
  <si>
    <t>ORD-10551</t>
  </si>
  <si>
    <t>Sophie Thomas</t>
  </si>
  <si>
    <t>ORD-10091</t>
  </si>
  <si>
    <t>Jessica Sato</t>
  </si>
  <si>
    <t>ORD-10434</t>
  </si>
  <si>
    <t>Giulia Brown</t>
  </si>
  <si>
    <t>ORD-11552</t>
  </si>
  <si>
    <t>Li Taylor</t>
  </si>
  <si>
    <t>ORD-10330</t>
  </si>
  <si>
    <t>Ahmed Miller</t>
  </si>
  <si>
    <t>ORD-10769</t>
  </si>
  <si>
    <t>Barbara Thomas</t>
  </si>
  <si>
    <t>ORD-10427</t>
  </si>
  <si>
    <t>Clara Oliveira</t>
  </si>
  <si>
    <t>ORD-11810</t>
  </si>
  <si>
    <t>Carlos Wang</t>
  </si>
  <si>
    <t>ORD-11212</t>
  </si>
  <si>
    <t>Li White</t>
  </si>
  <si>
    <t>ORD-10667</t>
  </si>
  <si>
    <t>Felix Miller</t>
  </si>
  <si>
    <t>ORD-11292</t>
  </si>
  <si>
    <t>Sakura Dubois</t>
  </si>
  <si>
    <t>ORD-11731</t>
  </si>
  <si>
    <t>Barbara Suzuki</t>
  </si>
  <si>
    <t>ORD-11224</t>
  </si>
  <si>
    <t>Zara Patel</t>
  </si>
  <si>
    <t>ORD-10468</t>
  </si>
  <si>
    <t>Wei Johansson</t>
  </si>
  <si>
    <t>ORD-11700</t>
  </si>
  <si>
    <t>Sarah Robinson</t>
  </si>
  <si>
    <t>ORD-10377</t>
  </si>
  <si>
    <t>Omar Williams</t>
  </si>
  <si>
    <t>ORD-11553</t>
  </si>
  <si>
    <t>Karen Moreau</t>
  </si>
  <si>
    <t>ORD-11888</t>
  </si>
  <si>
    <t>Christopher Park</t>
  </si>
  <si>
    <t>ORD-10102</t>
  </si>
  <si>
    <t>Kenji Jones</t>
  </si>
  <si>
    <t>ORD-11008</t>
  </si>
  <si>
    <t>Marco Taylor</t>
  </si>
  <si>
    <t>ORD-11204</t>
  </si>
  <si>
    <t>Li Yamamoto</t>
  </si>
  <si>
    <t>ORD-10826</t>
  </si>
  <si>
    <t>Ava Fischer</t>
  </si>
  <si>
    <t>ORD-11363</t>
  </si>
  <si>
    <t>Mia Smith</t>
  </si>
  <si>
    <t>ORD-10202</t>
  </si>
  <si>
    <t>Ivan Anderson</t>
  </si>
  <si>
    <t>ORD-10462</t>
  </si>
  <si>
    <t>Raj Thomas</t>
  </si>
  <si>
    <t>ORD-11586</t>
  </si>
  <si>
    <t>ORD-10703</t>
  </si>
  <si>
    <t>Priya Chen</t>
  </si>
  <si>
    <t>ORD-10828</t>
  </si>
  <si>
    <t>Kenji Romano</t>
  </si>
  <si>
    <t>ORD-10652</t>
  </si>
  <si>
    <t>Pierre Fischer</t>
  </si>
  <si>
    <t>ORD-11385</t>
  </si>
  <si>
    <t>Ali Miller</t>
  </si>
  <si>
    <t>ORD-11895</t>
  </si>
  <si>
    <t>John Robinson</t>
  </si>
  <si>
    <t>ORD-10143</t>
  </si>
  <si>
    <t>Wei Sato</t>
  </si>
  <si>
    <t>ORD-10853</t>
  </si>
  <si>
    <t>Amir Garcia</t>
  </si>
  <si>
    <t>ORD-10452</t>
  </si>
  <si>
    <t>Layla Santos</t>
  </si>
  <si>
    <t>ORD-11484</t>
  </si>
  <si>
    <t>Christopher Taylor</t>
  </si>
  <si>
    <t>ORD-10623</t>
  </si>
  <si>
    <t>Chen Thompson</t>
  </si>
  <si>
    <t>ORD-11458</t>
  </si>
  <si>
    <t>Barbara Sharma</t>
  </si>
  <si>
    <t>ORD-10609</t>
  </si>
  <si>
    <t>Diego Jackson</t>
  </si>
  <si>
    <t>ORD-11288</t>
  </si>
  <si>
    <t>Ayumi Ahmed</t>
  </si>
  <si>
    <t>ORD-10607</t>
  </si>
  <si>
    <t>Fatima Laurent</t>
  </si>
  <si>
    <t>ORD-10105</t>
  </si>
  <si>
    <t>Olivia Kumar</t>
  </si>
  <si>
    <t>ORD-11298</t>
  </si>
  <si>
    <t>Raj Rossi</t>
  </si>
  <si>
    <t>ORD-11682</t>
  </si>
  <si>
    <t>Patricia Dubois</t>
  </si>
  <si>
    <t>ORD-10411</t>
  </si>
  <si>
    <t>Robert Jackson</t>
  </si>
  <si>
    <t>ORD-11776</t>
  </si>
  <si>
    <t>Jennifer Costa</t>
  </si>
  <si>
    <t>ORD-11788</t>
  </si>
  <si>
    <t>Ivan Li</t>
  </si>
  <si>
    <t>ORD-11227</t>
  </si>
  <si>
    <t>Nadia Brown</t>
  </si>
  <si>
    <t>ORD-10941</t>
  </si>
  <si>
    <t>Emma Johansson</t>
  </si>
  <si>
    <t>ORD-11045</t>
  </si>
  <si>
    <t>Diego Schmidt</t>
  </si>
  <si>
    <t>ORD-11149</t>
  </si>
  <si>
    <t>Clara Jackson</t>
  </si>
  <si>
    <t>ORD-11329</t>
  </si>
  <si>
    <t>Jamal Clark</t>
  </si>
  <si>
    <t>ORD-11394</t>
  </si>
  <si>
    <t>ORD-11435</t>
  </si>
  <si>
    <t>Lucas Khan</t>
  </si>
  <si>
    <t>ORD-10336</t>
  </si>
  <si>
    <t>Chen Romano</t>
  </si>
  <si>
    <t>ORD-11513</t>
  </si>
  <si>
    <t>Sophie Yamamoto</t>
  </si>
  <si>
    <t>ORD-11762</t>
  </si>
  <si>
    <t>ORD-10562</t>
  </si>
  <si>
    <t>ORD-10710</t>
  </si>
  <si>
    <t>Ahmed Taylor</t>
  </si>
  <si>
    <t>ORD-11740</t>
  </si>
  <si>
    <t>Zara Rodriguez</t>
  </si>
  <si>
    <t>ORD-10422</t>
  </si>
  <si>
    <t>Clara Santos</t>
  </si>
  <si>
    <t>ORD-11834</t>
  </si>
  <si>
    <t>Hanna Davis</t>
  </si>
  <si>
    <t>ORD-10942</t>
  </si>
  <si>
    <t>Barbara Rossi</t>
  </si>
  <si>
    <t>ORD-10129</t>
  </si>
  <si>
    <t>Oscar Santos</t>
  </si>
  <si>
    <t>ORD-10722</t>
  </si>
  <si>
    <t>Patricia Chen</t>
  </si>
  <si>
    <t>ORD-10845</t>
  </si>
  <si>
    <t>Ahmed Dubois</t>
  </si>
  <si>
    <t>ORD-10937</t>
  </si>
  <si>
    <t>Kenji Robinson</t>
  </si>
  <si>
    <t>ORD-11401</t>
  </si>
  <si>
    <t>Robert Sharma</t>
  </si>
  <si>
    <t>ORD-10069</t>
  </si>
  <si>
    <t>Chen Smith</t>
  </si>
  <si>
    <t>ORD-10025</t>
  </si>
  <si>
    <t>Kenji Leroy</t>
  </si>
  <si>
    <t>ORD-11268</t>
  </si>
  <si>
    <t>Richard Li</t>
  </si>
  <si>
    <t>ORD-11962</t>
  </si>
  <si>
    <t>Karen Anderson</t>
  </si>
  <si>
    <t>ORD-10979</t>
  </si>
  <si>
    <t>Zara Kim</t>
  </si>
  <si>
    <t>ORD-10816</t>
  </si>
  <si>
    <t>Jennifer Nilsson</t>
  </si>
  <si>
    <t>ORD-11468</t>
  </si>
  <si>
    <t>Christopher Harris</t>
  </si>
  <si>
    <t>ORD-11539</t>
  </si>
  <si>
    <t>Marco Martin</t>
  </si>
  <si>
    <t>ORD-11609</t>
  </si>
  <si>
    <t>Emma Zhang</t>
  </si>
  <si>
    <t>ORD-11707</t>
  </si>
  <si>
    <t>David Smith</t>
  </si>
  <si>
    <t>ORD-10177</t>
  </si>
  <si>
    <t>Wei Romano</t>
  </si>
  <si>
    <t>ORD-10817</t>
  </si>
  <si>
    <t>ORD-11080</t>
  </si>
  <si>
    <t>Zara Ferrari</t>
  </si>
  <si>
    <t>ORD-10376</t>
  </si>
  <si>
    <t>ORD-10726</t>
  </si>
  <si>
    <t>Hans Yamamoto</t>
  </si>
  <si>
    <t>ORD-11103</t>
  </si>
  <si>
    <t>Nadia Costa</t>
  </si>
  <si>
    <t>ORD-10727</t>
  </si>
  <si>
    <t>Mia Sharma</t>
  </si>
  <si>
    <t>ORD-10772</t>
  </si>
  <si>
    <t>William Hassan</t>
  </si>
  <si>
    <t>ORD-11060</t>
  </si>
  <si>
    <t>Ali Johansson</t>
  </si>
  <si>
    <t>ORD-11322</t>
  </si>
  <si>
    <t>Amir Chen</t>
  </si>
  <si>
    <t>ORD-10146</t>
  </si>
  <si>
    <t>Ethan Park</t>
  </si>
  <si>
    <t>ORD-11048</t>
  </si>
  <si>
    <t>Christopher Robinson</t>
  </si>
  <si>
    <t>ORD-11155</t>
  </si>
  <si>
    <t>Noah Khan</t>
  </si>
  <si>
    <t>ORD-11376</t>
  </si>
  <si>
    <t>Linda Smith</t>
  </si>
  <si>
    <t>ORD-11535</t>
  </si>
  <si>
    <t>Isabella Jackson</t>
  </si>
  <si>
    <t>ORD-10114</t>
  </si>
  <si>
    <t>Sarah Kim</t>
  </si>
  <si>
    <t>ORD-11031</t>
  </si>
  <si>
    <t>James Suzuki</t>
  </si>
  <si>
    <t>ORD-11133</t>
  </si>
  <si>
    <t>Wei Harris</t>
  </si>
  <si>
    <t>ORD-10349</t>
  </si>
  <si>
    <t>Thomas Li</t>
  </si>
  <si>
    <t>ORD-11733</t>
  </si>
  <si>
    <t>Michael Khan</t>
  </si>
  <si>
    <t>ORD-10358</t>
  </si>
  <si>
    <t>Isabella Ahmed</t>
  </si>
  <si>
    <t>ORD-11932</t>
  </si>
  <si>
    <t>Felix Hassan</t>
  </si>
  <si>
    <t>ORD-10042</t>
  </si>
  <si>
    <t>Amir Thompson</t>
  </si>
  <si>
    <t>ORD-10569</t>
  </si>
  <si>
    <t>Chen Miller</t>
  </si>
  <si>
    <t>ORD-11665</t>
  </si>
  <si>
    <t>Priya Jackson</t>
  </si>
  <si>
    <t>ORD-10876</t>
  </si>
  <si>
    <t>Karen Wang</t>
  </si>
  <si>
    <t>ORD-11258</t>
  </si>
  <si>
    <t>Carlos Dubois</t>
  </si>
  <si>
    <t>ORD-11375</t>
  </si>
  <si>
    <t>Raj Chen</t>
  </si>
  <si>
    <t>ORD-10546</t>
  </si>
  <si>
    <t>Xiao Taylor</t>
  </si>
  <si>
    <t>ORD-10860</t>
  </si>
  <si>
    <t>Fatima Jackson</t>
  </si>
  <si>
    <t>ORD-11307</t>
  </si>
  <si>
    <t>William Clark</t>
  </si>
  <si>
    <t>ORD-10182</t>
  </si>
  <si>
    <t>ORD-10674</t>
  </si>
  <si>
    <t>ORD-11336</t>
  </si>
  <si>
    <t>Ayumi Robinson</t>
  </si>
  <si>
    <t>ORD-10712</t>
  </si>
  <si>
    <t>Mary Johansson</t>
  </si>
  <si>
    <t>ORD-10788</t>
  </si>
  <si>
    <t>Michael Martin</t>
  </si>
  <si>
    <t>ORD-10212</t>
  </si>
  <si>
    <t>Karen Sato</t>
  </si>
  <si>
    <t>ORD-11068</t>
  </si>
  <si>
    <t>Isabella Kumar</t>
  </si>
  <si>
    <t>ORD-11653</t>
  </si>
  <si>
    <t>Carlos Rodriguez</t>
  </si>
  <si>
    <t>ORD-11771</t>
  </si>
  <si>
    <t>James Tanaka</t>
  </si>
  <si>
    <t>ORD-10480</t>
  </si>
  <si>
    <t>Priya Thomas</t>
  </si>
  <si>
    <t>ORD-10700</t>
  </si>
  <si>
    <t>ORD-10661</t>
  </si>
  <si>
    <t>Olga Nilsson</t>
  </si>
  <si>
    <t>ORD-10747</t>
  </si>
  <si>
    <t>Olga Patel</t>
  </si>
  <si>
    <t>ORD-10432</t>
  </si>
  <si>
    <t>Priya Schmidt</t>
  </si>
  <si>
    <t>ORD-10483</t>
  </si>
  <si>
    <t>Noah Jones</t>
  </si>
  <si>
    <t>ORD-10792</t>
  </si>
  <si>
    <t>Oscar Schmidt</t>
  </si>
  <si>
    <t>ORD-11387</t>
  </si>
  <si>
    <t>Marco Harris</t>
  </si>
  <si>
    <t>ORD-11564</t>
  </si>
  <si>
    <t>Giulia Johnson</t>
  </si>
  <si>
    <t>ORD-10381</t>
  </si>
  <si>
    <t>ORD-11603</t>
  </si>
  <si>
    <t>ORD-11019</t>
  </si>
  <si>
    <t>Robert Smith</t>
  </si>
  <si>
    <t>ORD-10977</t>
  </si>
  <si>
    <t>Ingrid Khan</t>
  </si>
  <si>
    <t>ORD-10008</t>
  </si>
  <si>
    <t>Lucas White</t>
  </si>
  <si>
    <t>ORD-11100</t>
  </si>
  <si>
    <t>Nadia Jackson</t>
  </si>
  <si>
    <t>ORD-11464</t>
  </si>
  <si>
    <t>Chen Jones</t>
  </si>
  <si>
    <t>ORD-11562</t>
  </si>
  <si>
    <t>Susan Miller</t>
  </si>
  <si>
    <t>ORD-10083</t>
  </si>
  <si>
    <t>ORD-10112</t>
  </si>
  <si>
    <t>Ahmed Thompson</t>
  </si>
  <si>
    <t>ORD-11077</t>
  </si>
  <si>
    <t>Diego Kim</t>
  </si>
  <si>
    <t>ORD-10003</t>
  </si>
  <si>
    <t>ORD-10024</t>
  </si>
  <si>
    <t>Giulia Dubois</t>
  </si>
  <si>
    <t>ORD-10404</t>
  </si>
  <si>
    <t>Carlos Schmidt</t>
  </si>
  <si>
    <t>ORD-11154</t>
  </si>
  <si>
    <t>Oscar Johnson</t>
  </si>
  <si>
    <t>ORD-11859</t>
  </si>
  <si>
    <t>Jennifer Garcia</t>
  </si>
  <si>
    <t>ORD-10107</t>
  </si>
  <si>
    <t>Noah Santos</t>
  </si>
  <si>
    <t>ORD-11182</t>
  </si>
  <si>
    <t>Elizabeth Harris</t>
  </si>
  <si>
    <t>ORD-11380</t>
  </si>
  <si>
    <t>Ali Jones</t>
  </si>
  <si>
    <t>ORD-10015</t>
  </si>
  <si>
    <t>Jamal Harris</t>
  </si>
  <si>
    <t>ORD-10545</t>
  </si>
  <si>
    <t>Elizabeth Williams</t>
  </si>
  <si>
    <t>ORD-10961</t>
  </si>
  <si>
    <t>Lucas Suzuki</t>
  </si>
  <si>
    <t>ORD-10511</t>
  </si>
  <si>
    <t>Clara Nilsson</t>
  </si>
  <si>
    <t>ORD-11806</t>
  </si>
  <si>
    <t>Ali Harris</t>
  </si>
  <si>
    <t>ORD-10283</t>
  </si>
  <si>
    <t>Hans Singh</t>
  </si>
  <si>
    <t>ORD-10625</t>
  </si>
  <si>
    <t>Olga Schmidt</t>
  </si>
  <si>
    <t>ORD-11098</t>
  </si>
  <si>
    <t>David Thompson</t>
  </si>
  <si>
    <t>ORD-11395</t>
  </si>
  <si>
    <t>Priya Ali</t>
  </si>
  <si>
    <t>ORD-10090</t>
  </si>
  <si>
    <t>Jamal Jones</t>
  </si>
  <si>
    <t>ORD-10904</t>
  </si>
  <si>
    <t>Thomas Thompson</t>
  </si>
  <si>
    <t>ORD-10266</t>
  </si>
  <si>
    <t>Fatima Costa</t>
  </si>
  <si>
    <t>ORD-10424</t>
  </si>
  <si>
    <t>Diego Davis</t>
  </si>
  <si>
    <t>ORD-11061</t>
  </si>
  <si>
    <t>Omar MÃ¼ller</t>
  </si>
  <si>
    <t>ORD-11808</t>
  </si>
  <si>
    <t>Mary Weber</t>
  </si>
  <si>
    <t>ORD-10326</t>
  </si>
  <si>
    <t>Amina Johansson</t>
  </si>
  <si>
    <t>ORD-11349</t>
  </si>
  <si>
    <t>Liam Clark</t>
  </si>
  <si>
    <t>ORD-10681</t>
  </si>
  <si>
    <t>Ethan Chen</t>
  </si>
  <si>
    <t>ORD-10996</t>
  </si>
  <si>
    <t>Clara Williams</t>
  </si>
  <si>
    <t>ORD-11167</t>
  </si>
  <si>
    <t>Christopher Davis</t>
  </si>
  <si>
    <t>ORD-11391</t>
  </si>
  <si>
    <t>James Taylor</t>
  </si>
  <si>
    <t>ORD-10949</t>
  </si>
  <si>
    <t>Chen Johnson</t>
  </si>
  <si>
    <t>ORD-11494</t>
  </si>
  <si>
    <t>Fatima Smith</t>
  </si>
  <si>
    <t>ORD-10240</t>
  </si>
  <si>
    <t>Lucas Jones</t>
  </si>
  <si>
    <t>ORD-10945</t>
  </si>
  <si>
    <t>Karen Thomas</t>
  </si>
  <si>
    <t>ORD-11589</t>
  </si>
  <si>
    <t>Priya Nilsson</t>
  </si>
  <si>
    <t>ORD-11824</t>
  </si>
  <si>
    <t>Elizabeth Sato</t>
  </si>
  <si>
    <t>ORD-10045</t>
  </si>
  <si>
    <t>Sakura Jones</t>
  </si>
  <si>
    <t>ORD-11229</t>
  </si>
  <si>
    <t>Xiao Smith</t>
  </si>
  <si>
    <t>ORD-11934</t>
  </si>
  <si>
    <t>Robert Park</t>
  </si>
  <si>
    <t>ORD-10001</t>
  </si>
  <si>
    <t>Joseph Johnson</t>
  </si>
  <si>
    <t>ORD-11199</t>
  </si>
  <si>
    <t>Liam Wang</t>
  </si>
  <si>
    <t>ORD-11680</t>
  </si>
  <si>
    <t>Olivia Sharma</t>
  </si>
  <si>
    <t>ORD-10755</t>
  </si>
  <si>
    <t>William Martinez</t>
  </si>
  <si>
    <t>ORD-11247</t>
  </si>
  <si>
    <t>Felix Costa</t>
  </si>
  <si>
    <t>ORD-10225</t>
  </si>
  <si>
    <t>Noah Smith</t>
  </si>
  <si>
    <t>ORD-10281</t>
  </si>
  <si>
    <t>ORD-10980</t>
  </si>
  <si>
    <t>Olivia Moreau</t>
  </si>
  <si>
    <t>ORD-11339</t>
  </si>
  <si>
    <t>Noah Oliveira</t>
  </si>
  <si>
    <t>ORD-10459</t>
  </si>
  <si>
    <t>Noah Russo</t>
  </si>
  <si>
    <t>ORD-10885</t>
  </si>
  <si>
    <t>Amir Singh</t>
  </si>
  <si>
    <t>ORD-10680</t>
  </si>
  <si>
    <t>Mary Miller</t>
  </si>
  <si>
    <t>ORD-11530</t>
  </si>
  <si>
    <t>Olivia Rossi</t>
  </si>
  <si>
    <t>ORD-11642</t>
  </si>
  <si>
    <t>Wei Li</t>
  </si>
  <si>
    <t>ORD-10228</t>
  </si>
  <si>
    <t>Sakura Rodriguez</t>
  </si>
  <si>
    <t>ORD-10254</t>
  </si>
  <si>
    <t>Christopher Rossi</t>
  </si>
  <si>
    <t>ORD-10418</t>
  </si>
  <si>
    <t>Michael Rodriguez</t>
  </si>
  <si>
    <t>ORD-10842</t>
  </si>
  <si>
    <t>Hans Anderson</t>
  </si>
  <si>
    <t>ORD-11769</t>
  </si>
  <si>
    <t>Liam Johansson</t>
  </si>
  <si>
    <t>ORD-11929</t>
  </si>
  <si>
    <t>James Schmidt</t>
  </si>
  <si>
    <t>ORD-11501</t>
  </si>
  <si>
    <t>Wei Yamamoto</t>
  </si>
  <si>
    <t>ORD-10363</t>
  </si>
  <si>
    <t>Linda Brown</t>
  </si>
  <si>
    <t>ORD-10496</t>
  </si>
  <si>
    <t>Jamal Ahmed</t>
  </si>
  <si>
    <t>ORD-11960</t>
  </si>
  <si>
    <t>Ahmed Singh</t>
  </si>
  <si>
    <t>ORD-10838</t>
  </si>
  <si>
    <t>Pierre Wang</t>
  </si>
  <si>
    <t>ORD-11909</t>
  </si>
  <si>
    <t>Ivan Davis</t>
  </si>
  <si>
    <t>ORD-10030</t>
  </si>
  <si>
    <t>Giulia Taylor</t>
  </si>
  <si>
    <t>ORD-11169</t>
  </si>
  <si>
    <t>Hanna Rossi</t>
  </si>
  <si>
    <t>ORD-11178</t>
  </si>
  <si>
    <t>William Kim</t>
  </si>
  <si>
    <t>ORD-10651</t>
  </si>
  <si>
    <t>Giulia Pereira</t>
  </si>
  <si>
    <t>ORD-10737</t>
  </si>
  <si>
    <t>Barbara Hassan</t>
  </si>
  <si>
    <t>ORD-10952</t>
  </si>
  <si>
    <t>Karen Zhang</t>
  </si>
  <si>
    <t>ORD-11481</t>
  </si>
  <si>
    <t>Clara Clark</t>
  </si>
  <si>
    <t>ORD-10852</t>
  </si>
  <si>
    <t>Oscar White</t>
  </si>
  <si>
    <t>ORD-11667</t>
  </si>
  <si>
    <t>John Brown</t>
  </si>
  <si>
    <t>ORD-10277</t>
  </si>
  <si>
    <t>Amina Ali</t>
  </si>
  <si>
    <t>ORD-10356</t>
  </si>
  <si>
    <t>Oscar Thomas</t>
  </si>
  <si>
    <t>ORD-10367</t>
  </si>
  <si>
    <t>Karen Russo</t>
  </si>
  <si>
    <t>ORD-10558</t>
  </si>
  <si>
    <t>Susan Wang</t>
  </si>
  <si>
    <t>ORD-11332</t>
  </si>
  <si>
    <t>Fatima Patel</t>
  </si>
  <si>
    <t>ORD-11526</t>
  </si>
  <si>
    <t>Ethan Kim</t>
  </si>
  <si>
    <t>ORD-11846</t>
  </si>
  <si>
    <t>ORD-10917</t>
  </si>
  <si>
    <t>Kenji Suzuki</t>
  </si>
  <si>
    <t>ORD-11070</t>
  </si>
  <si>
    <t>Wei Santos</t>
  </si>
  <si>
    <t>ORD-11557</t>
  </si>
  <si>
    <t>Liam Pereira</t>
  </si>
  <si>
    <t>ORD-10783</t>
  </si>
  <si>
    <t>Ava Clark</t>
  </si>
  <si>
    <t>ORD-10954</t>
  </si>
  <si>
    <t>Mary Hassan</t>
  </si>
  <si>
    <t>ORD-11085</t>
  </si>
  <si>
    <t>ORD-11684</t>
  </si>
  <si>
    <t>Barbara Jones</t>
  </si>
  <si>
    <t>ORD-10820</t>
  </si>
  <si>
    <t>Christopher Williams</t>
  </si>
  <si>
    <t>ORD-11293</t>
  </si>
  <si>
    <t>Priya Weber</t>
  </si>
  <si>
    <t>ORD-11529</t>
  </si>
  <si>
    <t>Patricia Jackson</t>
  </si>
  <si>
    <t>ORD-10009</t>
  </si>
  <si>
    <t>Xiao Laurent</t>
  </si>
  <si>
    <t>ORD-10301</t>
  </si>
  <si>
    <t>Jamal Leroy</t>
  </si>
  <si>
    <t>ORD-10738</t>
  </si>
  <si>
    <t>Liam Ali</t>
  </si>
  <si>
    <t>ORD-11681</t>
  </si>
  <si>
    <t>ORD-11234</t>
  </si>
  <si>
    <t>Ivan Pereira</t>
  </si>
  <si>
    <t>ORD-10023</t>
  </si>
  <si>
    <t>Omar Singh</t>
  </si>
  <si>
    <t>ORD-11515</t>
  </si>
  <si>
    <t>Ethan Rodriguez</t>
  </si>
  <si>
    <t>ORD-11537</t>
  </si>
  <si>
    <t>Pierre Romano</t>
  </si>
  <si>
    <t>ORD-10550</t>
  </si>
  <si>
    <t>Omar Park</t>
  </si>
  <si>
    <t>ORD-10927</t>
  </si>
  <si>
    <t>ORD-11657</t>
  </si>
  <si>
    <t>Richard Tanaka</t>
  </si>
  <si>
    <t>ORD-10201</t>
  </si>
  <si>
    <t>Ayumi Martin</t>
  </si>
  <si>
    <t>ORD-10457</t>
  </si>
  <si>
    <t>Omar Hassan</t>
  </si>
  <si>
    <t>ORD-10219</t>
  </si>
  <si>
    <t>Giulia Anderson</t>
  </si>
  <si>
    <t>ORD-10571</t>
  </si>
  <si>
    <t>Chen Rodriguez</t>
  </si>
  <si>
    <t>ORD-10688</t>
  </si>
  <si>
    <t>Mia Davis</t>
  </si>
  <si>
    <t>ORD-11628</t>
  </si>
  <si>
    <t>Isabella Taylor</t>
  </si>
  <si>
    <t>ORD-10153</t>
  </si>
  <si>
    <t>Mary Martin</t>
  </si>
  <si>
    <t>ORD-10320</t>
  </si>
  <si>
    <t>ORD-11328</t>
  </si>
  <si>
    <t>Mary Chen</t>
  </si>
  <si>
    <t>ORD-11379</t>
  </si>
  <si>
    <t>ORD-11780</t>
  </si>
  <si>
    <t>Clara Tanaka</t>
  </si>
  <si>
    <t>ORD-11483</t>
  </si>
  <si>
    <t>Clara Robinson</t>
  </si>
  <si>
    <t>ORD-11717</t>
  </si>
  <si>
    <t>Michael Ali</t>
  </si>
  <si>
    <t>ORD-11161</t>
  </si>
  <si>
    <t>Yuki Zhang</t>
  </si>
  <si>
    <t>ORD-11422</t>
  </si>
  <si>
    <t>David Clark</t>
  </si>
  <si>
    <t>ORD-11685</t>
  </si>
  <si>
    <t>John Laurent</t>
  </si>
  <si>
    <t>ORD-10341</t>
  </si>
  <si>
    <t>Ethan Yamamoto</t>
  </si>
  <si>
    <t>ORD-10872</t>
  </si>
  <si>
    <t>ORD-11441</t>
  </si>
  <si>
    <t>Noah Taylor</t>
  </si>
  <si>
    <t>ORD-11906</t>
  </si>
  <si>
    <t>ORD-10447</t>
  </si>
  <si>
    <t>Hans Smith</t>
  </si>
  <si>
    <t>ORD-11532</t>
  </si>
  <si>
    <t>Yuki Rodriguez</t>
  </si>
  <si>
    <t>ORD-11533</t>
  </si>
  <si>
    <t>ORD-11601</t>
  </si>
  <si>
    <t>Sarah Jackson</t>
  </si>
  <si>
    <t>ORD-11867</t>
  </si>
  <si>
    <t>Thomas Santos</t>
  </si>
  <si>
    <t>ORD-11030</t>
  </si>
  <si>
    <t>Chen Patel</t>
  </si>
  <si>
    <t>ORD-11191</t>
  </si>
  <si>
    <t>Maria Rodriguez</t>
  </si>
  <si>
    <t>ORD-11520</t>
  </si>
  <si>
    <t>Olga Taylor</t>
  </si>
  <si>
    <t>ORD-11840</t>
  </si>
  <si>
    <t>Omar Russo</t>
  </si>
  <si>
    <t>ORD-10500</t>
  </si>
  <si>
    <t>Sakura Ali</t>
  </si>
  <si>
    <t>ORD-11461</t>
  </si>
  <si>
    <t>Marco Sato</t>
  </si>
  <si>
    <t>ORD-10713</t>
  </si>
  <si>
    <t>Sophie Brown</t>
  </si>
  <si>
    <t>ORD-10908</t>
  </si>
  <si>
    <t>Diego Harris</t>
  </si>
  <si>
    <t>ORD-11544</t>
  </si>
  <si>
    <t>Noah Moreau</t>
  </si>
  <si>
    <t>ORD-10399</t>
  </si>
  <si>
    <t>Chen Garcia</t>
  </si>
  <si>
    <t>ORD-10576</t>
  </si>
  <si>
    <t>Fatima Wang</t>
  </si>
  <si>
    <t>ORD-11991</t>
  </si>
  <si>
    <t>Hanna Santos</t>
  </si>
  <si>
    <t>ORD-11518</t>
  </si>
  <si>
    <t>Ingrid Weber</t>
  </si>
  <si>
    <t>ORD-11795</t>
  </si>
  <si>
    <t>Ali Johnson</t>
  </si>
  <si>
    <t>ORD-11323</t>
  </si>
  <si>
    <t>Hanna Khan</t>
  </si>
  <si>
    <t>ORD-10752</t>
  </si>
  <si>
    <t>Liam Laurent</t>
  </si>
  <si>
    <t>ORD-11390</t>
  </si>
  <si>
    <t>Elizabeth Martin</t>
  </si>
  <si>
    <t>ORD-11884</t>
  </si>
  <si>
    <t>Joseph Martinez</t>
  </si>
  <si>
    <t>ORD-11239</t>
  </si>
  <si>
    <t>ORD-11890</t>
  </si>
  <si>
    <t>Michael Li</t>
  </si>
  <si>
    <t>ORD-11911</t>
  </si>
  <si>
    <t>Lucas Thomas</t>
  </si>
  <si>
    <t>ORD-10321</t>
  </si>
  <si>
    <t>Ahmed Sharma</t>
  </si>
  <si>
    <t>ORD-10600</t>
  </si>
  <si>
    <t>Kenji Taylor</t>
  </si>
  <si>
    <t>ORD-10955</t>
  </si>
  <si>
    <t>James Clark</t>
  </si>
  <si>
    <t>ORD-10891</t>
  </si>
  <si>
    <t>Xiao Wang</t>
  </si>
  <si>
    <t>ORD-10920</t>
  </si>
  <si>
    <t>Layla Fischer</t>
  </si>
  <si>
    <t>ORD-10984</t>
  </si>
  <si>
    <t>Sarah Khan</t>
  </si>
  <si>
    <t>ORD-10128</t>
  </si>
  <si>
    <t>Lucas Leroy</t>
  </si>
  <si>
    <t>ORD-10298</t>
  </si>
  <si>
    <t>Jessica Tanaka</t>
  </si>
  <si>
    <t>ORD-10442</t>
  </si>
  <si>
    <t>ORD-10231</t>
  </si>
  <si>
    <t>ORD-11813</t>
  </si>
  <si>
    <t>Sarah Thompson</t>
  </si>
  <si>
    <t>ORD-10063</t>
  </si>
  <si>
    <t>Isabella Patel</t>
  </si>
  <si>
    <t>ORD-10343</t>
  </si>
  <si>
    <t>Lucas Oliveira</t>
  </si>
  <si>
    <t>ORD-10554</t>
  </si>
  <si>
    <t>Olivia Ferrari</t>
  </si>
  <si>
    <t>ORD-11643</t>
  </si>
  <si>
    <t>Xiao Ferrari</t>
  </si>
  <si>
    <t>ORD-10085</t>
  </si>
  <si>
    <t>Marco Nilsson</t>
  </si>
  <si>
    <t>ORD-10210</t>
  </si>
  <si>
    <t>ORD-11745</t>
  </si>
  <si>
    <t>John Patel</t>
  </si>
  <si>
    <t>ORD-10574</t>
  </si>
  <si>
    <t>Ayumi Ali</t>
  </si>
  <si>
    <t>ORD-10881</t>
  </si>
  <si>
    <t>Sophie Clark</t>
  </si>
  <si>
    <t>ORD-10926</t>
  </si>
  <si>
    <t>Priya Garcia</t>
  </si>
  <si>
    <t>ORD-11699</t>
  </si>
  <si>
    <t>Emma Martinez</t>
  </si>
  <si>
    <t>ORD-10635</t>
  </si>
  <si>
    <t>Fatima Martin</t>
  </si>
  <si>
    <t>ORD-10137</t>
  </si>
  <si>
    <t>Jamal Robinson</t>
  </si>
  <si>
    <t>ORD-10196</t>
  </si>
  <si>
    <t>Carlos Santos</t>
  </si>
  <si>
    <t>ORD-11561</t>
  </si>
  <si>
    <t>Omar Li</t>
  </si>
  <si>
    <t>ORD-10421</t>
  </si>
  <si>
    <t>Noah Johansson</t>
  </si>
  <si>
    <t>ORD-11651</t>
  </si>
  <si>
    <t>Hanna Yamamoto</t>
  </si>
  <si>
    <t>ORD-10380</t>
  </si>
  <si>
    <t>William Yamamoto</t>
  </si>
  <si>
    <t>ORD-11181</t>
  </si>
  <si>
    <t>Joseph Leroy</t>
  </si>
  <si>
    <t>ORD-11321</t>
  </si>
  <si>
    <t>Giulia Khan</t>
  </si>
  <si>
    <t>ORD-11763</t>
  </si>
  <si>
    <t>Diego Pereira</t>
  </si>
  <si>
    <t>ORD-10203</t>
  </si>
  <si>
    <t>Raj Oliveira</t>
  </si>
  <si>
    <t>ORD-10398</t>
  </si>
  <si>
    <t>Ayumi Garcia</t>
  </si>
  <si>
    <t>ORD-10997</t>
  </si>
  <si>
    <t>Felix Kim</t>
  </si>
  <si>
    <t>ORD-11396</t>
  </si>
  <si>
    <t>Zara Moreau</t>
  </si>
  <si>
    <t>ORD-11837</t>
  </si>
  <si>
    <t>Richard Romano</t>
  </si>
  <si>
    <t>ORD-10525</t>
  </si>
  <si>
    <t>Patricia Kim</t>
  </si>
  <si>
    <t>ORD-11453</t>
  </si>
  <si>
    <t>Patricia Martinez</t>
  </si>
  <si>
    <t>ORD-10489</t>
  </si>
  <si>
    <t>Richard Moreau</t>
  </si>
  <si>
    <t>ORD-10750</t>
  </si>
  <si>
    <t>Hanna Kumar</t>
  </si>
  <si>
    <t>ORD-10844</t>
  </si>
  <si>
    <t>Jessica MÃ¼ller</t>
  </si>
  <si>
    <t>ORD-11226</t>
  </si>
  <si>
    <t>Sarah Li</t>
  </si>
  <si>
    <t>ORD-11512</t>
  </si>
  <si>
    <t>Ingrid Moreau</t>
  </si>
  <si>
    <t>ORD-10606</t>
  </si>
  <si>
    <t>Robert Taylor</t>
  </si>
  <si>
    <t>ORD-11091</t>
  </si>
  <si>
    <t>Layla Oliveira</t>
  </si>
  <si>
    <t>ORD-10561</t>
  </si>
  <si>
    <t>Sophie Martinez</t>
  </si>
  <si>
    <t>ORD-11357</t>
  </si>
  <si>
    <t>Liam Davis</t>
  </si>
  <si>
    <t>ORD-11358</t>
  </si>
  <si>
    <t>Christopher Thompson</t>
  </si>
  <si>
    <t>ORD-11575</t>
  </si>
  <si>
    <t>Olga MÃ¼ller</t>
  </si>
  <si>
    <t>ORD-11946</t>
  </si>
  <si>
    <t>James Harris</t>
  </si>
  <si>
    <t>ORD-10791</t>
  </si>
  <si>
    <t>ORD-11272</t>
  </si>
  <si>
    <t>Isabella Li</t>
  </si>
  <si>
    <t>ORD-11885</t>
  </si>
  <si>
    <t>ORD-11093</t>
  </si>
  <si>
    <t>Oscar Thompson</t>
  </si>
  <si>
    <t>ORD-10455</t>
  </si>
  <si>
    <t>Amir Park</t>
  </si>
  <si>
    <t>ORD-10568</t>
  </si>
  <si>
    <t>Ethan Clark</t>
  </si>
  <si>
    <t>ORD-11137</t>
  </si>
  <si>
    <t>Barbara Weber</t>
  </si>
  <si>
    <t>ORD-10417</t>
  </si>
  <si>
    <t>Susan Jackson</t>
  </si>
  <si>
    <t>ORD-11216</t>
  </si>
  <si>
    <t>Maria Costa</t>
  </si>
  <si>
    <t>ORD-11974</t>
  </si>
  <si>
    <t>Joseph Chen</t>
  </si>
  <si>
    <t>ORD-11062</t>
  </si>
  <si>
    <t>Robert Clark</t>
  </si>
  <si>
    <t>ORD-11417</t>
  </si>
  <si>
    <t>Jessica Weber</t>
  </si>
  <si>
    <t>ORD-11812</t>
  </si>
  <si>
    <t>ORD-10007</t>
  </si>
  <si>
    <t>Li Sharma</t>
  </si>
  <si>
    <t>ORD-10211</t>
  </si>
  <si>
    <t>Sarah Tanaka</t>
  </si>
  <si>
    <t>ORD-11210</t>
  </si>
  <si>
    <t>Susan Weber</t>
  </si>
  <si>
    <t>ORD-11245</t>
  </si>
  <si>
    <t>Nadia Tanaka</t>
  </si>
  <si>
    <t>ORD-11460</t>
  </si>
  <si>
    <t>ORD-11809</t>
  </si>
  <si>
    <t>Michael Sato</t>
  </si>
  <si>
    <t>ORD-10499</t>
  </si>
  <si>
    <t>Felix MÃ¼ller</t>
  </si>
  <si>
    <t>ORD-10579</t>
  </si>
  <si>
    <t>ORD-11652</t>
  </si>
  <si>
    <t>ORD-11261</t>
  </si>
  <si>
    <t>ORD-11550</t>
  </si>
  <si>
    <t>ORD-11798</t>
  </si>
  <si>
    <t>Thomas Rodriguez</t>
  </si>
  <si>
    <t>ORD-10347</t>
  </si>
  <si>
    <t>ORD-10429</t>
  </si>
  <si>
    <t>Karen Robinson</t>
  </si>
  <si>
    <t>ORD-10461</t>
  </si>
  <si>
    <t>Elizabeth Fischer</t>
  </si>
  <si>
    <t>ORD-11069</t>
  </si>
  <si>
    <t>Fatima Williams</t>
  </si>
  <si>
    <t>ORD-10382</t>
  </si>
  <si>
    <t>Layla Anderson</t>
  </si>
  <si>
    <t>ORD-10530</t>
  </si>
  <si>
    <t>Ali Li</t>
  </si>
  <si>
    <t>ORD-10316</t>
  </si>
  <si>
    <t>Fatima Kim</t>
  </si>
  <si>
    <t>ORD-10717</t>
  </si>
  <si>
    <t>Elizabeth Johansson</t>
  </si>
  <si>
    <t>ORD-11406</t>
  </si>
  <si>
    <t>Sarah Suzuki</t>
  </si>
  <si>
    <t>ORD-10478</t>
  </si>
  <si>
    <t>ORD-10696</t>
  </si>
  <si>
    <t>Susan Chen</t>
  </si>
  <si>
    <t>ORD-11295</t>
  </si>
  <si>
    <t>Kenji Martin</t>
  </si>
  <si>
    <t>ORD-11300</t>
  </si>
  <si>
    <t>Zara Miller</t>
  </si>
  <si>
    <t>ORD-10054</t>
  </si>
  <si>
    <t>Diego Jones</t>
  </si>
  <si>
    <t>ORD-10528</t>
  </si>
  <si>
    <t>Fatima Brown</t>
  </si>
  <si>
    <t>ORD-11038</t>
  </si>
  <si>
    <t>Hanna Johnson</t>
  </si>
  <si>
    <t>ORD-11728</t>
  </si>
  <si>
    <t>Ahmed Pereira</t>
  </si>
  <si>
    <t>ORD-11949</t>
  </si>
  <si>
    <t>Fatima Yamamoto</t>
  </si>
  <si>
    <t>ORD-10811</t>
  </si>
  <si>
    <t>Joseph Romano</t>
  </si>
  <si>
    <t>ORD-11576</t>
  </si>
  <si>
    <t>Sarah Sharma</t>
  </si>
  <si>
    <t>ORD-10514</t>
  </si>
  <si>
    <t>Linda Laurent</t>
  </si>
  <si>
    <t>ORD-10757</t>
  </si>
  <si>
    <t>ORD-11470</t>
  </si>
  <si>
    <t>Diego Robinson</t>
  </si>
  <si>
    <t>ORD-10801</t>
  </si>
  <si>
    <t>Ethan Wang</t>
  </si>
  <si>
    <t>ORD-11903</t>
  </si>
  <si>
    <t>Wei Smith</t>
  </si>
  <si>
    <t>ORD-10043</t>
  </si>
  <si>
    <t>Jennifer Kim</t>
  </si>
  <si>
    <t>ORD-11109</t>
  </si>
  <si>
    <t>Jessica Park</t>
  </si>
  <si>
    <t>ORD-10753</t>
  </si>
  <si>
    <t>Emma Jackson</t>
  </si>
  <si>
    <t>ORD-10180</t>
  </si>
  <si>
    <t>Zara Nilsson</t>
  </si>
  <si>
    <t>ORD-11761</t>
  </si>
  <si>
    <t>ORD-10375</t>
  </si>
  <si>
    <t>Priya Leroy</t>
  </si>
  <si>
    <t>ORD-10795</t>
  </si>
  <si>
    <t>Christopher Leroy</t>
  </si>
  <si>
    <t>ORD-10362</t>
  </si>
  <si>
    <t>Jennifer Romano</t>
  </si>
  <si>
    <t>ORD-10350</t>
  </si>
  <si>
    <t>Felix Laurent</t>
  </si>
  <si>
    <t>ORD-12000</t>
  </si>
  <si>
    <t>Raj Anderson</t>
  </si>
  <si>
    <t>ORD-10559</t>
  </si>
  <si>
    <t>ORD-10725</t>
  </si>
  <si>
    <t>Giulia Rossi</t>
  </si>
  <si>
    <t>ORD-11713</t>
  </si>
  <si>
    <t>Kenji Moreau</t>
  </si>
  <si>
    <t>ORD-10932</t>
  </si>
  <si>
    <t>Karen Khan</t>
  </si>
  <si>
    <t>ORD-11566</t>
  </si>
  <si>
    <t>Olga Thompson</t>
  </si>
  <si>
    <t>ORD-10360</t>
  </si>
  <si>
    <t>Wei Fischer</t>
  </si>
  <si>
    <t>ORD-11833</t>
  </si>
  <si>
    <t>Ali Romano</t>
  </si>
  <si>
    <t>ORD-11177</t>
  </si>
  <si>
    <t>Omar Costa</t>
  </si>
  <si>
    <t>ORD-10978</t>
  </si>
  <si>
    <t>Diego Hassan</t>
  </si>
  <si>
    <t>ORD-10041</t>
  </si>
  <si>
    <t>Xiao Rodriguez</t>
  </si>
  <si>
    <t>ORD-10365</t>
  </si>
  <si>
    <t>Ethan Khan</t>
  </si>
  <si>
    <t>ORD-10524</t>
  </si>
  <si>
    <t>Oscar Costa</t>
  </si>
  <si>
    <t>ORD-11789</t>
  </si>
  <si>
    <t>Jessica Hassan</t>
  </si>
  <si>
    <t>ORD-10992</t>
  </si>
  <si>
    <t>Linda Kumar</t>
  </si>
  <si>
    <t>ORD-11555</t>
  </si>
  <si>
    <t>Isabella Harris</t>
  </si>
  <si>
    <t>ORD-11793</t>
  </si>
  <si>
    <t>Joseph Suzuki</t>
  </si>
  <si>
    <t>ORD-11111</t>
  </si>
  <si>
    <t>Xiao Harris</t>
  </si>
  <si>
    <t>ORD-11488</t>
  </si>
  <si>
    <t>Pierre Leroy</t>
  </si>
  <si>
    <t>ORD-11497</t>
  </si>
  <si>
    <t>ORD-11687</t>
  </si>
  <si>
    <t>ORD-11505</t>
  </si>
  <si>
    <t>Susan Leroy</t>
  </si>
  <si>
    <t>ORD-10487</t>
  </si>
  <si>
    <t>Christopher Khan</t>
  </si>
  <si>
    <t>ORD-10677</t>
  </si>
  <si>
    <t>Ivan Jones</t>
  </si>
  <si>
    <t>ORD-10044</t>
  </si>
  <si>
    <t>Fatima Ferrari</t>
  </si>
  <si>
    <t>ORD-11910</t>
  </si>
  <si>
    <t>Amir Laurent</t>
  </si>
  <si>
    <t>ORD-10288</t>
  </si>
  <si>
    <t>Zara Leroy</t>
  </si>
  <si>
    <t>ORD-11423</t>
  </si>
  <si>
    <t>ORD-11442</t>
  </si>
  <si>
    <t>Chen Nilsson</t>
  </si>
  <si>
    <t>ORD-11827</t>
  </si>
  <si>
    <t>Emma Sharma</t>
  </si>
  <si>
    <t>ORD-11863</t>
  </si>
  <si>
    <t>Isabella Rossi</t>
  </si>
  <si>
    <t>ORD-11904</t>
  </si>
  <si>
    <t>Hans Martin</t>
  </si>
  <si>
    <t>ORD-11346</t>
  </si>
  <si>
    <t>Jennifer Santos</t>
  </si>
  <si>
    <t>ORD-11661</t>
  </si>
  <si>
    <t>Nadia Rossi</t>
  </si>
  <si>
    <t>ORD-11944</t>
  </si>
  <si>
    <t>John Ferrari</t>
  </si>
  <si>
    <t>ORD-10109</t>
  </si>
  <si>
    <t>Thomas Ferrari</t>
  </si>
  <si>
    <t>ORD-11117</t>
  </si>
  <si>
    <t>Amina Jones</t>
  </si>
  <si>
    <t>ORD-11316</t>
  </si>
  <si>
    <t>Richard Yamamoto</t>
  </si>
  <si>
    <t>ORD-11770</t>
  </si>
  <si>
    <t>Lucas Li</t>
  </si>
  <si>
    <t>ORD-10189</t>
  </si>
  <si>
    <t>William Miller</t>
  </si>
  <si>
    <t>ORD-10779</t>
  </si>
  <si>
    <t>Wei Hassan</t>
  </si>
  <si>
    <t>ORD-11597</t>
  </si>
  <si>
    <t>Olivia Laurent</t>
  </si>
  <si>
    <t>ORD-11641</t>
  </si>
  <si>
    <t>Raj Khan</t>
  </si>
  <si>
    <t>ORD-11708</t>
  </si>
  <si>
    <t>Ava Garcia</t>
  </si>
  <si>
    <t>ORD-11825</t>
  </si>
  <si>
    <t>ORD-11891</t>
  </si>
  <si>
    <t>Ayumi Kumar</t>
  </si>
  <si>
    <t>ORD-10220</t>
  </si>
  <si>
    <t>Elizabeth Weber</t>
  </si>
  <si>
    <t>ORD-11953</t>
  </si>
  <si>
    <t>Liam Costa</t>
  </si>
  <si>
    <t>ORD-10183</t>
  </si>
  <si>
    <t>ORD-10488</t>
  </si>
  <si>
    <t>Elizabeth Dubois</t>
  </si>
  <si>
    <t>ORD-11110</t>
  </si>
  <si>
    <t>Robert Dubois</t>
  </si>
  <si>
    <t>ORD-11393</t>
  </si>
  <si>
    <t>Liam Rossi</t>
  </si>
  <si>
    <t>ORD-10632</t>
  </si>
  <si>
    <t>David White</t>
  </si>
  <si>
    <t>ORD-11262</t>
  </si>
  <si>
    <t>Oscar Martinez</t>
  </si>
  <si>
    <t>ORD-10199</t>
  </si>
  <si>
    <t>Hans Robinson</t>
  </si>
  <si>
    <t>ORD-10454</t>
  </si>
  <si>
    <t>Carlos Ali</t>
  </si>
  <si>
    <t>ORD-10658</t>
  </si>
  <si>
    <t>Isabella Johansson</t>
  </si>
  <si>
    <t>ORD-11649</t>
  </si>
  <si>
    <t>Ava Li</t>
  </si>
  <si>
    <t>ORD-11811</t>
  </si>
  <si>
    <t>Noah Chen</t>
  </si>
  <si>
    <t>ORD-11847</t>
  </si>
  <si>
    <t>Giulia Williams</t>
  </si>
  <si>
    <t>ORD-11936</t>
  </si>
  <si>
    <t>ORD-11986</t>
  </si>
  <si>
    <t>Sophie Miller</t>
  </si>
  <si>
    <t>ORD-11964</t>
  </si>
  <si>
    <t>Linda Martin</t>
  </si>
  <si>
    <t>ORD-11968</t>
  </si>
  <si>
    <t>Karen Smith</t>
  </si>
  <si>
    <t>ORD-10508</t>
  </si>
  <si>
    <t>William Chen</t>
  </si>
  <si>
    <t>ORD-11337</t>
  </si>
  <si>
    <t>Diego Anderson</t>
  </si>
  <si>
    <t>ORD-11463</t>
  </si>
  <si>
    <t>Ingrid Zhang</t>
  </si>
  <si>
    <t>ORD-11449</t>
  </si>
  <si>
    <t>ORD-10474</t>
  </si>
  <si>
    <t>Kenji Schmidt</t>
  </si>
  <si>
    <t>ORD-10495</t>
  </si>
  <si>
    <t>Mary Laurent</t>
  </si>
  <si>
    <t>ORD-11233</t>
  </si>
  <si>
    <t>Maria Miller</t>
  </si>
  <si>
    <t>ORD-11248</t>
  </si>
  <si>
    <t>Amina Taylor</t>
  </si>
  <si>
    <t>ORD-11998</t>
  </si>
  <si>
    <t>Zara Smith</t>
  </si>
  <si>
    <t>ORD-10126</t>
  </si>
  <si>
    <t>Diego Thomas</t>
  </si>
  <si>
    <t>ORD-11345</t>
  </si>
  <si>
    <t>Isabella Johnson</t>
  </si>
  <si>
    <t>ORD-11967</t>
  </si>
  <si>
    <t>ORD-10197</t>
  </si>
  <si>
    <t>Sarah Rossi</t>
  </si>
  <si>
    <t>ORD-11579</t>
  </si>
  <si>
    <t>Felix Davis</t>
  </si>
  <si>
    <t>ORD-10237</t>
  </si>
  <si>
    <t>Hans Rossi</t>
  </si>
  <si>
    <t>ORD-10587</t>
  </si>
  <si>
    <t>James Ferrari</t>
  </si>
  <si>
    <t>ORD-10724</t>
  </si>
  <si>
    <t>ORD-10127</t>
  </si>
  <si>
    <t>David Leroy</t>
  </si>
  <si>
    <t>ORD-10230</t>
  </si>
  <si>
    <t>Ava Yamamoto</t>
  </si>
  <si>
    <t>ORD-10318</t>
  </si>
  <si>
    <t>Priya Costa</t>
  </si>
  <si>
    <t>ORD-10827</t>
  </si>
  <si>
    <t>ORD-11663</t>
  </si>
  <si>
    <t>Olivia Patel</t>
  </si>
  <si>
    <t>ORD-10149</t>
  </si>
  <si>
    <t>ORD-11020</t>
  </si>
  <si>
    <t>Liam Romano</t>
  </si>
  <si>
    <t>ORD-10218</t>
  </si>
  <si>
    <t>Olga Davis</t>
  </si>
  <si>
    <t>ORD-10409</t>
  </si>
  <si>
    <t>Noah Ali</t>
  </si>
  <si>
    <t>ORD-10439</t>
  </si>
  <si>
    <t>ORD-10591</t>
  </si>
  <si>
    <t>Isabella Anderson</t>
  </si>
  <si>
    <t>ORD-10825</t>
  </si>
  <si>
    <t>Raj Singh</t>
  </si>
  <si>
    <t>ORD-11187</t>
  </si>
  <si>
    <t>Ali Weber</t>
  </si>
  <si>
    <t>ORD-11830</t>
  </si>
  <si>
    <t>John Miller</t>
  </si>
  <si>
    <t>ORD-11418</t>
  </si>
  <si>
    <t>Ahmed Jackson</t>
  </si>
  <si>
    <t>ORD-11457</t>
  </si>
  <si>
    <t>Hanna Dubois</t>
  </si>
  <si>
    <t>ORD-11996</t>
  </si>
  <si>
    <t>Priya Li</t>
  </si>
  <si>
    <t>ORD-11147</t>
  </si>
  <si>
    <t>Priya Johansson</t>
  </si>
  <si>
    <t>ORD-11437</t>
  </si>
  <si>
    <t>Sarah Johnson</t>
  </si>
  <si>
    <t>ORD-10010</t>
  </si>
  <si>
    <t>James Li</t>
  </si>
  <si>
    <t>ORD-11510</t>
  </si>
  <si>
    <t>Olga Pereira</t>
  </si>
  <si>
    <t>ORD-10052</t>
  </si>
  <si>
    <t>ORD-10430</t>
  </si>
  <si>
    <t>Chen Johansson</t>
  </si>
  <si>
    <t>ORD-11467</t>
  </si>
  <si>
    <t>Jamal Patel</t>
  </si>
  <si>
    <t>ORD-11720</t>
  </si>
  <si>
    <t>Diego Nilsson</t>
  </si>
  <si>
    <t>ORD-10673</t>
  </si>
  <si>
    <t>Jessica Kim</t>
  </si>
  <si>
    <t>ORD-10709</t>
  </si>
  <si>
    <t>Olga Ahmed</t>
  </si>
  <si>
    <t>ORD-10323</t>
  </si>
  <si>
    <t>Hans Costa</t>
  </si>
  <si>
    <t>ORD-10650</t>
  </si>
  <si>
    <t>Carlos Ahmed</t>
  </si>
  <si>
    <t>ORD-10718</t>
  </si>
  <si>
    <t>ORD-10962</t>
  </si>
  <si>
    <t>ORD-11993</t>
  </si>
  <si>
    <t>Hanna Taylor</t>
  </si>
  <si>
    <t>ORD-10925</t>
  </si>
  <si>
    <t>Linda MÃ¼ller</t>
  </si>
  <si>
    <t>ORD-11362</t>
  </si>
  <si>
    <t>Priya Smith</t>
  </si>
  <si>
    <t>ORD-11372</t>
  </si>
  <si>
    <t>William Ahmed</t>
  </si>
  <si>
    <t>ORD-11551</t>
  </si>
  <si>
    <t>Nadia Martin</t>
  </si>
  <si>
    <t>ORD-10476</t>
  </si>
  <si>
    <t>Jennifer Khan</t>
  </si>
  <si>
    <t>ORD-11431</t>
  </si>
  <si>
    <t>ORD-11861</t>
  </si>
  <si>
    <t>Maria Khan</t>
  </si>
  <si>
    <t>ORD-11992</t>
  </si>
  <si>
    <t>Olivia Miller</t>
  </si>
  <si>
    <t>ORD-10152</t>
  </si>
  <si>
    <t>Ivan Dubois</t>
  </si>
  <si>
    <t>ORD-10672</t>
  </si>
  <si>
    <t>Thomas Miller</t>
  </si>
  <si>
    <t>ORD-10880</t>
  </si>
  <si>
    <t>ORD-11107</t>
  </si>
  <si>
    <t>ORD-11424</t>
  </si>
  <si>
    <t>Felix Taylor</t>
  </si>
  <si>
    <t>ORD-11592</t>
  </si>
  <si>
    <t>ORD-10695</t>
  </si>
  <si>
    <t>ORD-10116</t>
  </si>
  <si>
    <t>Ivan Smith</t>
  </si>
  <si>
    <t>ORD-10775</t>
  </si>
  <si>
    <t>Susan Zhang</t>
  </si>
  <si>
    <t>ORD-11033</t>
  </si>
  <si>
    <t>Yuki Chen</t>
  </si>
  <si>
    <t>ORD-10866</t>
  </si>
  <si>
    <t>ORD-11159</t>
  </si>
  <si>
    <t>James Kumar</t>
  </si>
  <si>
    <t>ORD-10471</t>
  </si>
  <si>
    <t>Zara MÃ¼ller</t>
  </si>
  <si>
    <t>ORD-10549</t>
  </si>
  <si>
    <t>ORD-11273</t>
  </si>
  <si>
    <t>Richard Rodriguez</t>
  </si>
  <si>
    <t>ORD-10067</t>
  </si>
  <si>
    <t>Noah Leroy</t>
  </si>
  <si>
    <t>ORD-10498</t>
  </si>
  <si>
    <t>Kenji White</t>
  </si>
  <si>
    <t>ORD-10265</t>
  </si>
  <si>
    <t>Nadia Zhang</t>
  </si>
  <si>
    <t>ORD-10662</t>
  </si>
  <si>
    <t>Liam Tanaka</t>
  </si>
  <si>
    <t>ORD-11015</t>
  </si>
  <si>
    <t>Clara Rodriguez</t>
  </si>
  <si>
    <t>ORD-11782</t>
  </si>
  <si>
    <t>Oscar Pereira</t>
  </si>
  <si>
    <t>ORD-10032</t>
  </si>
  <si>
    <t>Oscar Khan</t>
  </si>
  <si>
    <t>ORD-10004</t>
  </si>
  <si>
    <t>ORD-10051</t>
  </si>
  <si>
    <t>ORD-10878</t>
  </si>
  <si>
    <t>Clara Sato</t>
  </si>
  <si>
    <t>ORD-11208</t>
  </si>
  <si>
    <t>Thomas Suzuki</t>
  </si>
  <si>
    <t>ORD-11547</t>
  </si>
  <si>
    <t>Mary Russo</t>
  </si>
  <si>
    <t>ORD-10100</t>
  </si>
  <si>
    <t>Fatima Jones</t>
  </si>
  <si>
    <t>ORD-10110</t>
  </si>
  <si>
    <t>Ayumi White</t>
  </si>
  <si>
    <t>ORD-10928</t>
  </si>
  <si>
    <t>ORD-11928</t>
  </si>
  <si>
    <t>Kenji Dubois</t>
  </si>
  <si>
    <t>ORD-10440</t>
  </si>
  <si>
    <t>Marco Sharma</t>
  </si>
  <si>
    <t>ORD-11047</t>
  </si>
  <si>
    <t>Yuki Ferrari</t>
  </si>
  <si>
    <t>ORD-11456</t>
  </si>
  <si>
    <t>ORD-10297</t>
  </si>
  <si>
    <t>Hans Patel</t>
  </si>
  <si>
    <t>ORD-11139</t>
  </si>
  <si>
    <t>Priya Laurent</t>
  </si>
  <si>
    <t>ORD-11704</t>
  </si>
  <si>
    <t>ORD-10031</t>
  </si>
  <si>
    <t>Yuki Martin</t>
  </si>
  <si>
    <t>ORD-10923</t>
  </si>
  <si>
    <t>Hans Martinez</t>
  </si>
  <si>
    <t>ORD-10958</t>
  </si>
  <si>
    <t>John Zhang</t>
  </si>
  <si>
    <t>ORD-11599</t>
  </si>
  <si>
    <t>ORD-11625</t>
  </si>
  <si>
    <t>Jennifer Ali</t>
  </si>
  <si>
    <t>ORD-11705</t>
  </si>
  <si>
    <t>Jennifer Martinez</t>
  </si>
  <si>
    <t>ORD-10346</t>
  </si>
  <si>
    <t>Marco Hassan</t>
  </si>
  <si>
    <t>ORD-10338</t>
  </si>
  <si>
    <t>Maria Zhang</t>
  </si>
  <si>
    <t>ORD-10935</t>
  </si>
  <si>
    <t>Patricia Khan</t>
  </si>
  <si>
    <t>ORD-11263</t>
  </si>
  <si>
    <t>ORD-11724</t>
  </si>
  <si>
    <t>Lucas Rodriguez</t>
  </si>
  <si>
    <t>ORD-11580</t>
  </si>
  <si>
    <t>ORD-10292</t>
  </si>
  <si>
    <t>ORD-11565</t>
  </si>
  <si>
    <t>ORD-10413</t>
  </si>
  <si>
    <t>Li Laurent</t>
  </si>
  <si>
    <t>ORD-10503</t>
  </si>
  <si>
    <t>Elizabeth Singh</t>
  </si>
  <si>
    <t>ORD-10510</t>
  </si>
  <si>
    <t>Olivia Anderson</t>
  </si>
  <si>
    <t>ORD-10165</t>
  </si>
  <si>
    <t>Hanna Leroy</t>
  </si>
  <si>
    <t>ORD-10529</t>
  </si>
  <si>
    <t>Chen Santos</t>
  </si>
  <si>
    <t>ORD-10819</t>
  </si>
  <si>
    <t>Oscar Wang</t>
  </si>
  <si>
    <t>ORD-11638</t>
  </si>
  <si>
    <t>Maria Ferrari</t>
  </si>
  <si>
    <t>ORD-11671</t>
  </si>
  <si>
    <t>Jennifer Tanaka</t>
  </si>
  <si>
    <t>ORD-10156</t>
  </si>
  <si>
    <t>ORD-10708</t>
  </si>
  <si>
    <t>Susan Li</t>
  </si>
  <si>
    <t>ORD-11059</t>
  </si>
  <si>
    <t>Patricia Clark</t>
  </si>
  <si>
    <t>ORD-11676</t>
  </si>
  <si>
    <t>ORD-11280</t>
  </si>
  <si>
    <t>ORD-10947</t>
  </si>
  <si>
    <t>Kenji Davis</t>
  </si>
  <si>
    <t>ORD-10869</t>
  </si>
  <si>
    <t>ORD-10005</t>
  </si>
  <si>
    <t>ORD-10951</t>
  </si>
  <si>
    <t>Sarah Chen</t>
  </si>
  <si>
    <t>ORD-11594</t>
  </si>
  <si>
    <t>Michael Garcia</t>
  </si>
  <si>
    <t>ORD-11835</t>
  </si>
  <si>
    <t>Noah Clark</t>
  </si>
  <si>
    <t>ORD-10706</t>
  </si>
  <si>
    <t>Priya Rodriguez</t>
  </si>
  <si>
    <t>ORD-11277</t>
  </si>
  <si>
    <t>Sakura Smith</t>
  </si>
  <si>
    <t>ORD-10437</t>
  </si>
  <si>
    <t>Nadia Harris</t>
  </si>
  <si>
    <t>ORD-10841</t>
  </si>
  <si>
    <t>Carlos Martinez</t>
  </si>
  <si>
    <t>ORD-10883</t>
  </si>
  <si>
    <t>ORD-10273</t>
  </si>
  <si>
    <t>Clara Johnson</t>
  </si>
  <si>
    <t>ORD-10893</t>
  </si>
  <si>
    <t>Elizabeth Sharma</t>
  </si>
  <si>
    <t>ORD-11361</t>
  </si>
  <si>
    <t>Olivia Sato</t>
  </si>
  <si>
    <t>ORD-10309</t>
  </si>
  <si>
    <t>ORD-10531</t>
  </si>
  <si>
    <t>William Smith</t>
  </si>
  <si>
    <t>ORD-10537</t>
  </si>
  <si>
    <t>ORD-11284</t>
  </si>
  <si>
    <t>Emma Moreau</t>
  </si>
  <si>
    <t>ORD-11143</t>
  </si>
  <si>
    <t>Layla Park</t>
  </si>
  <si>
    <t>ORD-11742</t>
  </si>
  <si>
    <t>James Wang</t>
  </si>
  <si>
    <t>ORD-11961</t>
  </si>
  <si>
    <t>Nadia Johansson</t>
  </si>
  <si>
    <t>ORD-11956</t>
  </si>
  <si>
    <t>Hanna MÃ¼ller</t>
  </si>
  <si>
    <t>ORD-10573</t>
  </si>
  <si>
    <t>Hanna Brown</t>
  </si>
  <si>
    <t>ORD-11179</t>
  </si>
  <si>
    <t>Noah MÃ¼ller</t>
  </si>
  <si>
    <t>ORD-11997</t>
  </si>
  <si>
    <t>Barbara Sato</t>
  </si>
  <si>
    <t>ORD-10084</t>
  </si>
  <si>
    <t>Wei Jones</t>
  </si>
  <si>
    <t>ORD-11941</t>
  </si>
  <si>
    <t>Ivan Patel</t>
  </si>
  <si>
    <t>ORD-11174</t>
  </si>
  <si>
    <t>ORD-11802</t>
  </si>
  <si>
    <t>Giulia Nilsson</t>
  </si>
  <si>
    <t>ORD-11979</t>
  </si>
  <si>
    <t>Nadia Romano</t>
  </si>
  <si>
    <t>ORD-10425</t>
  </si>
  <si>
    <t>ORD-10040</t>
  </si>
  <si>
    <t>ORD-10705</t>
  </si>
  <si>
    <t>Chen Dubois</t>
  </si>
  <si>
    <t>ORD-11101</t>
  </si>
  <si>
    <t>Hans Harris</t>
  </si>
  <si>
    <t>ORD-11914</t>
  </si>
  <si>
    <t>Xiao Ali</t>
  </si>
  <si>
    <t>ORD-10154</t>
  </si>
  <si>
    <t>Jessica Patel</t>
  </si>
  <si>
    <t>ORD-11326</t>
  </si>
  <si>
    <t>Patricia Rossi</t>
  </si>
  <si>
    <t>ORD-10379</t>
  </si>
  <si>
    <t>ORD-10754</t>
  </si>
  <si>
    <t>ORD-10394</t>
  </si>
  <si>
    <t>Oscar Kim</t>
  </si>
  <si>
    <t>ORD-10464</t>
  </si>
  <si>
    <t>ORD-11428</t>
  </si>
  <si>
    <t>ORD-11969</t>
  </si>
  <si>
    <t>Nadia Laurent</t>
  </si>
  <si>
    <t>ORD-11981</t>
  </si>
  <si>
    <t>Fatima Fischer</t>
  </si>
  <si>
    <t>ORD-10660</t>
  </si>
  <si>
    <t>Sarah Moreau</t>
  </si>
  <si>
    <t>ORD-10768</t>
  </si>
  <si>
    <t>Jessica Costa</t>
  </si>
  <si>
    <t>ORD-11299</t>
  </si>
  <si>
    <t>Isabella Yamamoto</t>
  </si>
  <si>
    <t>ORD-10295</t>
  </si>
  <si>
    <t>Ayumi Miller</t>
  </si>
  <si>
    <t>ORD-10832</t>
  </si>
  <si>
    <t>Karen Tanaka</t>
  </si>
  <si>
    <t>ORD-11250</t>
  </si>
  <si>
    <t>Emma Kim</t>
  </si>
  <si>
    <t>ORD-11581</t>
  </si>
  <si>
    <t>ORD-10064</t>
  </si>
  <si>
    <t>ORD-10665</t>
  </si>
  <si>
    <t>Noah Martinez</t>
  </si>
  <si>
    <t>ORD-10687</t>
  </si>
  <si>
    <t>Jennifer Ferrari</t>
  </si>
  <si>
    <t>ORD-10806</t>
  </si>
  <si>
    <t>ORD-10813</t>
  </si>
  <si>
    <t>Raj Li</t>
  </si>
  <si>
    <t>ORD-10956</t>
  </si>
  <si>
    <t>ORD-11558</t>
  </si>
  <si>
    <t>Chen Martin</t>
  </si>
  <si>
    <t>ORD-10078</t>
  </si>
  <si>
    <t>Olivia Nilsson</t>
  </si>
  <si>
    <t>ORD-11634</t>
  </si>
  <si>
    <t>Olivia Robinson</t>
  </si>
  <si>
    <t>ORD-10092</t>
  </si>
  <si>
    <t>Susan Hassan</t>
  </si>
  <si>
    <t>ORD-10964</t>
  </si>
  <si>
    <t>Richard Kumar</t>
  </si>
  <si>
    <t>ORD-11344</t>
  </si>
  <si>
    <t>Amir Wang</t>
  </si>
  <si>
    <t>ORD-10991</t>
  </si>
  <si>
    <t>Marco Weber</t>
  </si>
  <si>
    <t>ORD-11785</t>
  </si>
  <si>
    <t>Michael Sharma</t>
  </si>
  <si>
    <t>ORD-10250</t>
  </si>
  <si>
    <t>Richard Garcia</t>
  </si>
  <si>
    <t>ORD-11053</t>
  </si>
  <si>
    <t>ORD-11489</t>
  </si>
  <si>
    <t>Olga Anderson</t>
  </si>
  <si>
    <t>ORD-11767</t>
  </si>
  <si>
    <t>Robert Schmidt</t>
  </si>
  <si>
    <t>ORD-10305</t>
  </si>
  <si>
    <t>Michael Taylor</t>
  </si>
  <si>
    <t>ORD-11106</t>
  </si>
  <si>
    <t>Sakura Oliveira</t>
  </si>
  <si>
    <t>ORD-10006</t>
  </si>
  <si>
    <t>Hans Kumar</t>
  </si>
  <si>
    <t>ORD-11141</t>
  </si>
  <si>
    <t>Hans MÃ¼ller</t>
  </si>
  <si>
    <t>ORD-11434</t>
  </si>
  <si>
    <t>Clara Singh</t>
  </si>
  <si>
    <t>ORD-10463</t>
  </si>
  <si>
    <t>Ahmed Johansson</t>
  </si>
  <si>
    <t>ORD-11290</t>
  </si>
  <si>
    <t>Wei Johnson</t>
  </si>
  <si>
    <t>ORD-10075</t>
  </si>
  <si>
    <t>ORD-10460</t>
  </si>
  <si>
    <t>ORD-11887</t>
  </si>
  <si>
    <t>Zara Chen</t>
  </si>
  <si>
    <t>ORD-10171</t>
  </si>
  <si>
    <t>Michael Kim</t>
  </si>
  <si>
    <t>ORD-10354</t>
  </si>
  <si>
    <t>Amina Clark</t>
  </si>
  <si>
    <t>ORD-11171</t>
  </si>
  <si>
    <t>Robert Chen</t>
  </si>
  <si>
    <t>ORD-10332</t>
  </si>
  <si>
    <t>Ali Thomas</t>
  </si>
  <si>
    <t>ORD-10420</t>
  </si>
  <si>
    <t>Layla Kumar</t>
  </si>
  <si>
    <t>ORD-11259</t>
  </si>
  <si>
    <t>Karen Nilsson</t>
  </si>
  <si>
    <t>ORD-11678</t>
  </si>
  <si>
    <t>ORD-10236</t>
  </si>
  <si>
    <t>Priya Brown</t>
  </si>
  <si>
    <t>ORD-10407</t>
  </si>
  <si>
    <t>Isabella Laurent</t>
  </si>
  <si>
    <t>ORD-10575</t>
  </si>
  <si>
    <t>Barbara Nilsson</t>
  </si>
  <si>
    <t>ORD-11315</t>
  </si>
  <si>
    <t>Ahmed Santos</t>
  </si>
  <si>
    <t>ORD-11548</t>
  </si>
  <si>
    <t>ORD-11607</t>
  </si>
  <si>
    <t>Sophie White</t>
  </si>
  <si>
    <t>ORD-11675</t>
  </si>
  <si>
    <t>ORD-10057</t>
  </si>
  <si>
    <t>Ali Wang</t>
  </si>
  <si>
    <t>ORD-10438</t>
  </si>
  <si>
    <t>Omar Fischer</t>
  </si>
  <si>
    <t>ORD-10616</t>
  </si>
  <si>
    <t>Felix White</t>
  </si>
  <si>
    <t>ORD-11373</t>
  </si>
  <si>
    <t>Layla Li</t>
  </si>
  <si>
    <t>ORD-11546</t>
  </si>
  <si>
    <t>Kenji Sharma</t>
  </si>
  <si>
    <t>ORD-11871</t>
  </si>
  <si>
    <t>Ethan Li</t>
  </si>
  <si>
    <t>ORD-11999</t>
  </si>
  <si>
    <t>Linda Sato</t>
  </si>
  <si>
    <t>ORD-10034</t>
  </si>
  <si>
    <t>Ali Dubois</t>
  </si>
  <si>
    <t>ORD-11583</t>
  </si>
  <si>
    <t>ORD-11734</t>
  </si>
  <si>
    <t>Clara Romano</t>
  </si>
  <si>
    <t>ORD-10082</t>
  </si>
  <si>
    <t>Priya Williams</t>
  </si>
  <si>
    <t>ORD-10361</t>
  </si>
  <si>
    <t>Lucas Brown</t>
  </si>
  <si>
    <t>ORD-10515</t>
  </si>
  <si>
    <t>ORD-10640</t>
  </si>
  <si>
    <t>Wei Rodriguez</t>
  </si>
  <si>
    <t>ORD-11108</t>
  </si>
  <si>
    <t>Carlos Robinson</t>
  </si>
  <si>
    <t>ORD-11297</t>
  </si>
  <si>
    <t>Jessica Martin</t>
  </si>
  <si>
    <t>ORD-10804</t>
  </si>
  <si>
    <t>Jamal Khan</t>
  </si>
  <si>
    <t>ORD-10342</t>
  </si>
  <si>
    <t>Lucas Russo</t>
  </si>
  <si>
    <t>ORD-10366</t>
  </si>
  <si>
    <t>Amir Li</t>
  </si>
  <si>
    <t>ORD-10456</t>
  </si>
  <si>
    <t>Wei Martinez</t>
  </si>
  <si>
    <t>ORD-10732</t>
  </si>
  <si>
    <t>ORD-11025</t>
  </si>
  <si>
    <t>Patricia Weber</t>
  </si>
  <si>
    <t>ORD-11198</t>
  </si>
  <si>
    <t>Olivia Williams</t>
  </si>
  <si>
    <t>ORD-10167</t>
  </si>
  <si>
    <t>Amina Harris</t>
  </si>
  <si>
    <t>ORD-10355</t>
  </si>
  <si>
    <t>ORD-11414</t>
  </si>
  <si>
    <t>Amir Yamamoto</t>
  </si>
  <si>
    <t>ORD-10056</t>
  </si>
  <si>
    <t>Wei Patel</t>
  </si>
  <si>
    <t>ORD-10373</t>
  </si>
  <si>
    <t>ORD-10728</t>
  </si>
  <si>
    <t>Layla Thomas</t>
  </si>
  <si>
    <t>ORD-10072</t>
  </si>
  <si>
    <t>Maria Anderson</t>
  </si>
  <si>
    <t>ORD-10049</t>
  </si>
  <si>
    <t>ORD-11626</t>
  </si>
  <si>
    <t>Kenji Anderson</t>
  </si>
  <si>
    <t>ORD-10147</t>
  </si>
  <si>
    <t>Raj Rodriguez</t>
  </si>
  <si>
    <t>ORD-10721</t>
  </si>
  <si>
    <t>ORD-11448</t>
  </si>
  <si>
    <t>Jessica Yamamoto</t>
  </si>
  <si>
    <t>ORD-11817</t>
  </si>
  <si>
    <t>Ava Harris</t>
  </si>
  <si>
    <t>ORD-11735</t>
  </si>
  <si>
    <t>James Ahmed</t>
  </si>
  <si>
    <t>ORD-10900</t>
  </si>
  <si>
    <t>ORD-11104</t>
  </si>
  <si>
    <t>ORD-11572</t>
  </si>
  <si>
    <t>Priya Kumar</t>
  </si>
  <si>
    <t>ORD-11924</t>
  </si>
  <si>
    <t>Ethan Kumar</t>
  </si>
  <si>
    <t>ORD-10835</t>
  </si>
  <si>
    <t>Ingrid MÃ¼ller</t>
  </si>
  <si>
    <t>ORD-11432</t>
  </si>
  <si>
    <t>ORD-11877</t>
  </si>
  <si>
    <t>Karen Ferrari</t>
  </si>
  <si>
    <t>ORD-10224</t>
  </si>
  <si>
    <t>Sophie Schmidt</t>
  </si>
  <si>
    <t>ORD-11144</t>
  </si>
  <si>
    <t>ORD-10169</t>
  </si>
  <si>
    <t>Hanna Robinson</t>
  </si>
  <si>
    <t>ORD-10396</t>
  </si>
  <si>
    <t>ORD-11152</t>
  </si>
  <si>
    <t>Jessica Russo</t>
  </si>
  <si>
    <t>ORD-11650</t>
  </si>
  <si>
    <t>Mary Garcia</t>
  </si>
  <si>
    <t>ORD-10582</t>
  </si>
  <si>
    <t>Robert Thompson</t>
  </si>
  <si>
    <t>ORD-11696</t>
  </si>
  <si>
    <t>Sophie Martin</t>
  </si>
  <si>
    <t>ORD-10796</t>
  </si>
  <si>
    <t>ORD-11791</t>
  </si>
  <si>
    <t>Mia Jones</t>
  </si>
  <si>
    <t>ORD-10104</t>
  </si>
  <si>
    <t>Olivia Wang</t>
  </si>
  <si>
    <t>ORD-10291</t>
  </si>
  <si>
    <t>Emma Dubois</t>
  </si>
  <si>
    <t>ORD-10016</t>
  </si>
  <si>
    <t>Richard Brown</t>
  </si>
  <si>
    <t>ORD-10359</t>
  </si>
  <si>
    <t>Marco Santos</t>
  </si>
  <si>
    <t>ORD-10989</t>
  </si>
  <si>
    <t>David Laurent</t>
  </si>
  <si>
    <t>ORD-11568</t>
  </si>
  <si>
    <t>James Brown</t>
  </si>
  <si>
    <t>ORD-11021</t>
  </si>
  <si>
    <t>Oscar Anderson</t>
  </si>
  <si>
    <t>ORD-11160</t>
  </si>
  <si>
    <t>ORD-11462</t>
  </si>
  <si>
    <t>Amina Russo</t>
  </si>
  <si>
    <t>ORD-10631</t>
  </si>
  <si>
    <t>ORD-10936</t>
  </si>
  <si>
    <t>Jamal Williams</t>
  </si>
  <si>
    <t>ORD-11287</t>
  </si>
  <si>
    <t>James White</t>
  </si>
  <si>
    <t>ORD-10059</t>
  </si>
  <si>
    <t>William Ferrari</t>
  </si>
  <si>
    <t>ORD-10335</t>
  </si>
  <si>
    <t>Olivia Davis</t>
  </si>
  <si>
    <t>ORD-10595</t>
  </si>
  <si>
    <t>Richard Johnson</t>
  </si>
  <si>
    <t>ORD-10614</t>
  </si>
  <si>
    <t>Lucas Williams</t>
  </si>
  <si>
    <t>ORD-10790</t>
  </si>
  <si>
    <t>Emma Nilsson</t>
  </si>
  <si>
    <t>ORD-11173</t>
  </si>
  <si>
    <t>ORD-11324</t>
  </si>
  <si>
    <t>Omar Nilsson</t>
  </si>
  <si>
    <t>ORD-10364</t>
  </si>
  <si>
    <t>Yuki Johnson</t>
  </si>
  <si>
    <t>ORD-10445</t>
  </si>
  <si>
    <t>Giulia Miller</t>
  </si>
  <si>
    <t>ORD-10584</t>
  </si>
  <si>
    <t>ORD-11658</t>
  </si>
  <si>
    <t>Hanna Kim</t>
  </si>
  <si>
    <t>ORD-11765</t>
  </si>
  <si>
    <t>Emma Weber</t>
  </si>
  <si>
    <t>ORD-10441</t>
  </si>
  <si>
    <t>Susan Kumar</t>
  </si>
  <si>
    <t>ORD-10898</t>
  </si>
  <si>
    <t>ORD-11164</t>
  </si>
  <si>
    <t>Sophie Weber</t>
  </si>
  <si>
    <t>ORD-11588</t>
  </si>
  <si>
    <t>ORD-11686</t>
  </si>
  <si>
    <t>Li Khan</t>
  </si>
  <si>
    <t>ORD-10117</t>
  </si>
  <si>
    <t>Nadia Pereira</t>
  </si>
  <si>
    <t>ORD-11074</t>
  </si>
  <si>
    <t>Wei Taylor</t>
  </si>
  <si>
    <t>ORD-10345</t>
  </si>
  <si>
    <t>ORD-11815</t>
  </si>
  <si>
    <t>Joseph Johansson</t>
  </si>
  <si>
    <t>ORD-10157</t>
  </si>
  <si>
    <t>Xiao Kumar</t>
  </si>
  <si>
    <t>ORD-11803</t>
  </si>
  <si>
    <t>Wei Costa</t>
  </si>
  <si>
    <t>ORD-10734</t>
  </si>
  <si>
    <t>Elizabeth Taylor</t>
  </si>
  <si>
    <t>ORD-10302</t>
  </si>
  <si>
    <t>Emma Tanaka</t>
  </si>
  <si>
    <t>ORD-11365</t>
  </si>
  <si>
    <t>Olga Romano</t>
  </si>
  <si>
    <t>ORD-11759</t>
  </si>
  <si>
    <t>ORD-11750</t>
  </si>
  <si>
    <t>Olga Robinson</t>
  </si>
  <si>
    <t>ORD-10557</t>
  </si>
  <si>
    <t>Joseph Russo</t>
  </si>
  <si>
    <t>ORD-10897</t>
  </si>
  <si>
    <t>ORD-11738</t>
  </si>
  <si>
    <t>Chen Tanaka</t>
  </si>
  <si>
    <t>ORD-11737</t>
  </si>
  <si>
    <t>ORD-10547</t>
  </si>
  <si>
    <t>Olivia Pereira</t>
  </si>
  <si>
    <t>ORD-10882</t>
  </si>
  <si>
    <t>Yuki Thompson</t>
  </si>
  <si>
    <t>ORD-11303</t>
  </si>
  <si>
    <t>ORD-11882</t>
  </si>
  <si>
    <t>Liam Kim</t>
  </si>
  <si>
    <t>ORD-10227</t>
  </si>
  <si>
    <t>Linda Suzuki</t>
  </si>
  <si>
    <t>ORD-10556</t>
  </si>
  <si>
    <t>Pierre Jackson</t>
  </si>
  <si>
    <t>ORD-10884</t>
  </si>
  <si>
    <t>Barbara Dubois</t>
  </si>
  <si>
    <t>ORD-11188</t>
  </si>
  <si>
    <t>Xiao Johnson</t>
  </si>
  <si>
    <t>ORD-11340</t>
  </si>
  <si>
    <t>Carlos Thompson</t>
  </si>
  <si>
    <t>ORD-11325</t>
  </si>
  <si>
    <t>Olga Suzuki</t>
  </si>
  <si>
    <t>ORD-11447</t>
  </si>
  <si>
    <t>Ali Sato</t>
  </si>
  <si>
    <t>ORD-10822</t>
  </si>
  <si>
    <t>Ethan Johnson</t>
  </si>
  <si>
    <t>ORD-11747</t>
  </si>
  <si>
    <t>Ava Patel</t>
  </si>
  <si>
    <t>ORD-11084</t>
  </si>
  <si>
    <t>Sakura MÃ¼ller</t>
  </si>
  <si>
    <t>ORD-10983</t>
  </si>
  <si>
    <t>ORD-11777</t>
  </si>
  <si>
    <t>Nadia Anderson</t>
  </si>
  <si>
    <t>ORD-10278</t>
  </si>
  <si>
    <t>ORD-11466</t>
  </si>
  <si>
    <t>Oscar Miller</t>
  </si>
  <si>
    <t>ORD-11816</t>
  </si>
  <si>
    <t>ORD-10144</t>
  </si>
  <si>
    <t>ORD-10012</t>
  </si>
  <si>
    <t>ORD-11415</t>
  </si>
  <si>
    <t>Nadia Davis</t>
  </si>
  <si>
    <t>ORD-11265</t>
  </si>
  <si>
    <t>Maria Hassan</t>
  </si>
  <si>
    <t>ORD-11311</t>
  </si>
  <si>
    <t>Sophie Li</t>
  </si>
  <si>
    <t>ORD-11688</t>
  </si>
  <si>
    <t>Hans Schmidt</t>
  </si>
  <si>
    <t>ORD-10121</t>
  </si>
  <si>
    <t>Maria Weber</t>
  </si>
  <si>
    <t>ORD-11099</t>
  </si>
  <si>
    <t>Priya Robinson</t>
  </si>
  <si>
    <t>ORD-11660</t>
  </si>
  <si>
    <t>Fatima Robinson</t>
  </si>
  <si>
    <t>ORD-11768</t>
  </si>
  <si>
    <t>Joseph Singh</t>
  </si>
  <si>
    <t>ORD-10513</t>
  </si>
  <si>
    <t>Maria Rossi</t>
  </si>
  <si>
    <t>ORD-11850</t>
  </si>
  <si>
    <t>ORD-11411</t>
  </si>
  <si>
    <t>Raj Weber</t>
  </si>
  <si>
    <t>ORD-11498</t>
  </si>
  <si>
    <t>Omar Rodriguez</t>
  </si>
  <si>
    <t>ORD-11352</t>
  </si>
  <si>
    <t>Ayumi Moreau</t>
  </si>
  <si>
    <t>ORD-10257</t>
  </si>
  <si>
    <t>Sarah Clark</t>
  </si>
  <si>
    <t>ORD-10261</t>
  </si>
  <si>
    <t>Li Oliveira</t>
  </si>
  <si>
    <t>ORD-10581</t>
  </si>
  <si>
    <t>Pierre Weber</t>
  </si>
  <si>
    <t>ORD-10691</t>
  </si>
  <si>
    <t>Felix Ahmed</t>
  </si>
  <si>
    <t>ORD-11189</t>
  </si>
  <si>
    <t>ORD-10275</t>
  </si>
  <si>
    <t>Mary Clark</t>
  </si>
  <si>
    <t>ORD-11450</t>
  </si>
  <si>
    <t>Li Rossi</t>
  </si>
  <si>
    <t>ORD-11559</t>
  </si>
  <si>
    <t>ORD-11225</t>
  </si>
  <si>
    <t>Christopher Brown</t>
  </si>
  <si>
    <t>ORD-11636</t>
  </si>
  <si>
    <t>Ingrid Davis</t>
  </si>
  <si>
    <t>ORD-11706</t>
  </si>
  <si>
    <t>Priya Oliveira</t>
  </si>
  <si>
    <t>ORD-10222</t>
  </si>
  <si>
    <t>Hanna White</t>
  </si>
  <si>
    <t>ORD-10385</t>
  </si>
  <si>
    <t>Michael Schmidt</t>
  </si>
  <si>
    <t>ORD-11508</t>
  </si>
  <si>
    <t>Ivan Ahmed</t>
  </si>
  <si>
    <t>ORD-10641</t>
  </si>
  <si>
    <t>ORD-11587</t>
  </si>
  <si>
    <t>ORD-10095</t>
  </si>
  <si>
    <t>ORD-11444</t>
  </si>
  <si>
    <t>ORD-11549</t>
  </si>
  <si>
    <t>ORD-10516</t>
  </si>
  <si>
    <t>ORD-10586</t>
  </si>
  <si>
    <t>ORD-10664</t>
  </si>
  <si>
    <t>ORD-11142</t>
  </si>
  <si>
    <t>Ayumi Harris</t>
  </si>
  <si>
    <t>ORD-10824</t>
  </si>
  <si>
    <t>Pierre Rodriguez</t>
  </si>
  <si>
    <t>ORD-11343</t>
  </si>
  <si>
    <t>Amina Romano</t>
  </si>
  <si>
    <t>ORD-11639</t>
  </si>
  <si>
    <t>Mia White</t>
  </si>
  <si>
    <t>ORD-10131</t>
  </si>
  <si>
    <t>Ali Oliveira</t>
  </si>
  <si>
    <t>ORD-10253</t>
  </si>
  <si>
    <t>David Garcia</t>
  </si>
  <si>
    <t>ORD-11402</t>
  </si>
  <si>
    <t>Li Davis</t>
  </si>
  <si>
    <t>ORD-11398</t>
  </si>
  <si>
    <t>Mary Rodriguez</t>
  </si>
  <si>
    <t>ORD-11857</t>
  </si>
  <si>
    <t>Mia Romano</t>
  </si>
  <si>
    <t>ORD-11690</t>
  </si>
  <si>
    <t>ORD-10909</t>
  </si>
  <si>
    <t>Clara Leroy</t>
  </si>
  <si>
    <t>ORD-10138</t>
  </si>
  <si>
    <t>ORD-11165</t>
  </si>
  <si>
    <t>ORD-10340</t>
  </si>
  <si>
    <t>ORD-10388</t>
  </si>
  <si>
    <t>Linda Patel</t>
  </si>
  <si>
    <t>ORD-10868</t>
  </si>
  <si>
    <t>ORD-11918</t>
  </si>
  <si>
    <t>ORD-10590</t>
  </si>
  <si>
    <t>Hans White</t>
  </si>
  <si>
    <t>ORD-11153</t>
  </si>
  <si>
    <t>ORD-11654</t>
  </si>
  <si>
    <t>Christopher Schmidt</t>
  </si>
  <si>
    <t>ORD-11982</t>
  </si>
  <si>
    <t>William Moreau</t>
  </si>
  <si>
    <t>ORD-10263</t>
  </si>
  <si>
    <t>Felix Romano</t>
  </si>
  <si>
    <t>ORD-10066</t>
  </si>
  <si>
    <t>Hanna Ali</t>
  </si>
  <si>
    <t>ORD-10799</t>
  </si>
  <si>
    <t>Susan Schmidt</t>
  </si>
  <si>
    <t>ORD-11203</t>
  </si>
  <si>
    <t>Amir Ali</t>
  </si>
  <si>
    <t>ORD-11849</t>
  </si>
  <si>
    <t>ORD-10867</t>
  </si>
  <si>
    <t>Hans Hassan</t>
  </si>
  <si>
    <t>ORD-11698</t>
  </si>
  <si>
    <t>Layla Zhang</t>
  </si>
  <si>
    <t>ORD-10213</t>
  </si>
  <si>
    <t>Sarah Harris</t>
  </si>
  <si>
    <t>ORD-10311</t>
  </si>
  <si>
    <t>Noah Hassan</t>
  </si>
  <si>
    <t>ORD-11049</t>
  </si>
  <si>
    <t>ORD-10018</t>
  </si>
  <si>
    <t>Amir Smith</t>
  </si>
  <si>
    <t>ORD-10475</t>
  </si>
  <si>
    <t>Chen Anderson</t>
  </si>
  <si>
    <t>ORD-11726</t>
  </si>
  <si>
    <t>Raj Patel</t>
  </si>
  <si>
    <t>ORD-11892</t>
  </si>
  <si>
    <t>Mary Oliveira</t>
  </si>
  <si>
    <t>ORD-10294</t>
  </si>
  <si>
    <t>ORD-10910</t>
  </si>
  <si>
    <t>ORD-10714</t>
  </si>
  <si>
    <t>ORD-10716</t>
  </si>
  <si>
    <t>Ivan Martinez</t>
  </si>
  <si>
    <t>ORD-10810</t>
  </si>
  <si>
    <t>Nadia Wang</t>
  </si>
  <si>
    <t>ORD-10786</t>
  </si>
  <si>
    <t>Jessica Suzuki</t>
  </si>
  <si>
    <t>ORD-10919</t>
  </si>
  <si>
    <t>Priya Ferrari</t>
  </si>
  <si>
    <t>ORD-11751</t>
  </si>
  <si>
    <t>ORD-10058</t>
  </si>
  <si>
    <t>Raj Santos</t>
  </si>
  <si>
    <t>ORD-11383</t>
  </si>
  <si>
    <t>Thomas Wang</t>
  </si>
  <si>
    <t>ORD-11622</t>
  </si>
  <si>
    <t>Zara Anderson</t>
  </si>
  <si>
    <t>ORD-11976</t>
  </si>
  <si>
    <t>Jennifer Anderson</t>
  </si>
  <si>
    <t>ORD-11301</t>
  </si>
  <si>
    <t>Emma Suzuki</t>
  </si>
  <si>
    <t>ORD-11719</t>
  </si>
  <si>
    <t>Sarah Patel</t>
  </si>
  <si>
    <t>ORD-10448</t>
  </si>
  <si>
    <t>Lucas Moreau</t>
  </si>
  <si>
    <t>ORD-10748</t>
  </si>
  <si>
    <t>Richard Patel</t>
  </si>
  <si>
    <t>ORD-11186</t>
  </si>
  <si>
    <t>Karen Hassan</t>
  </si>
  <si>
    <t>ORD-11446</t>
  </si>
  <si>
    <t>Wei Suzuki</t>
  </si>
  <si>
    <t>ORD-11697</t>
  </si>
  <si>
    <t>Thomas Yamamoto</t>
  </si>
  <si>
    <t>ORD-10315</t>
  </si>
  <si>
    <t>Jamal Sharma</t>
  </si>
  <si>
    <t>ORD-11942</t>
  </si>
  <si>
    <t>Lucas Laurent</t>
  </si>
  <si>
    <t>ORD-11094</t>
  </si>
  <si>
    <t>Xiao Romano</t>
  </si>
  <si>
    <t>ORD-10248</t>
  </si>
  <si>
    <t>Amina Thomas</t>
  </si>
  <si>
    <t>ORD-11240</t>
  </si>
  <si>
    <t>Olga Li</t>
  </si>
  <si>
    <t>ORD-10818</t>
  </si>
  <si>
    <t>Kenji Wang</t>
  </si>
  <si>
    <t>ORD-11132</t>
  </si>
  <si>
    <t>Jamal Nilsson</t>
  </si>
  <si>
    <t>ORD-10608</t>
  </si>
  <si>
    <t>Sophie Williams</t>
  </si>
  <si>
    <t>ORD-10629</t>
  </si>
  <si>
    <t>Ahmed Anderson</t>
  </si>
  <si>
    <t>ORD-11246</t>
  </si>
  <si>
    <t>Felix Schmidt</t>
  </si>
  <si>
    <t>ORD-10245</t>
  </si>
  <si>
    <t>ORD-10613</t>
  </si>
  <si>
    <t>Ingrid Martin</t>
  </si>
  <si>
    <t>ORD-11635</t>
  </si>
  <si>
    <t>Yuki Kim</t>
  </si>
  <si>
    <t>ORD-10108</t>
  </si>
  <si>
    <t>ORD-10563</t>
  </si>
  <si>
    <t>ORD-11347</t>
  </si>
  <si>
    <t>Amina Wang</t>
  </si>
  <si>
    <t>ORD-11480</t>
  </si>
  <si>
    <t>Richard Costa</t>
  </si>
  <si>
    <t>ORD-11823</t>
  </si>
  <si>
    <t>Oscar Johansson</t>
  </si>
  <si>
    <t>ORD-11613</t>
  </si>
  <si>
    <t>Ingrid Laurent</t>
  </si>
  <si>
    <t>ORD-10055</t>
  </si>
  <si>
    <t>Hans Park</t>
  </si>
  <si>
    <t>ORD-11966</t>
  </si>
  <si>
    <t>Wei Thompson</t>
  </si>
  <si>
    <t>ORD-10403</t>
  </si>
  <si>
    <t>Ethan Williams</t>
  </si>
  <si>
    <t>ORD-10140</t>
  </si>
  <si>
    <t>ORD-11959</t>
  </si>
  <si>
    <t>Ali Patel</t>
  </si>
  <si>
    <t>ORD-10929</t>
  </si>
  <si>
    <t>Noah Dubois</t>
  </si>
  <si>
    <t>ORD-11370</t>
  </si>
  <si>
    <t>Ivan MÃ¼ller</t>
  </si>
  <si>
    <t>ORD-11534</t>
  </si>
  <si>
    <t>Jessica Williams</t>
  </si>
  <si>
    <t>ORD-10174</t>
  </si>
  <si>
    <t>Clara Schmidt</t>
  </si>
  <si>
    <t>ORD-10848</t>
  </si>
  <si>
    <t>Pierre Patel</t>
  </si>
  <si>
    <t>ORD-11023</t>
  </si>
  <si>
    <t>Olivia Garcia</t>
  </si>
  <si>
    <t>ORD-11314</t>
  </si>
  <si>
    <t>David Suzuki</t>
  </si>
  <si>
    <t>ORD-11582</t>
  </si>
  <si>
    <t>Christopher MÃ¼ller</t>
  </si>
  <si>
    <t>ORD-10544</t>
  </si>
  <si>
    <t>William Robinson</t>
  </si>
  <si>
    <t>ORD-11124</t>
  </si>
  <si>
    <t>Omar Weber</t>
  </si>
  <si>
    <t>ORD-10493</t>
  </si>
  <si>
    <t>Linda Fischer</t>
  </si>
  <si>
    <t>ORD-10208</t>
  </si>
  <si>
    <t>Ivan Thomas</t>
  </si>
  <si>
    <t>ORD-10484</t>
  </si>
  <si>
    <t>ORD-10857</t>
  </si>
  <si>
    <t>Layla Johansson</t>
  </si>
  <si>
    <t>ORD-10901</t>
  </si>
  <si>
    <t>ORD-11644</t>
  </si>
  <si>
    <t>ORD-11672</t>
  </si>
  <si>
    <t>Liam Nilsson</t>
  </si>
  <si>
    <t>ORD-11073</t>
  </si>
  <si>
    <t>Elizabeth Chen</t>
  </si>
  <si>
    <t>ORD-11058</t>
  </si>
  <si>
    <t>ORD-10370</t>
  </si>
  <si>
    <t>Linda Santos</t>
  </si>
  <si>
    <t>ORD-11781</t>
  </si>
  <si>
    <t>Ingrid White</t>
  </si>
  <si>
    <t>ORD-11939</t>
  </si>
  <si>
    <t>Amir Moreau</t>
  </si>
  <si>
    <t>ORD-10184</t>
  </si>
  <si>
    <t>Isabella Ferrari</t>
  </si>
  <si>
    <t>ORD-10229</t>
  </si>
  <si>
    <t>Xiao Martin</t>
  </si>
  <si>
    <t>ORD-10286</t>
  </si>
  <si>
    <t>Oscar Williams</t>
  </si>
  <si>
    <t>ORD-10426</t>
  </si>
  <si>
    <t>Ayumi Thomas</t>
  </si>
  <si>
    <t>ORD-11799</t>
  </si>
  <si>
    <t>Jamal Pereira</t>
  </si>
  <si>
    <t>ORD-11951</t>
  </si>
  <si>
    <t>William Romano</t>
  </si>
  <si>
    <t>ORD-10466</t>
  </si>
  <si>
    <t>Zara Harris</t>
  </si>
  <si>
    <t>ORD-11433</t>
  </si>
  <si>
    <t>Pierre Smith</t>
  </si>
  <si>
    <t>ORD-11473</t>
  </si>
  <si>
    <t>Zara Clark</t>
  </si>
  <si>
    <t>ORD-11491</t>
  </si>
  <si>
    <t>Carlos Yamamoto</t>
  </si>
  <si>
    <t>ORD-11504</t>
  </si>
  <si>
    <t>Yuki Pereira</t>
  </si>
  <si>
    <t>ORD-11938</t>
  </si>
  <si>
    <t>ORD-10262</t>
  </si>
  <si>
    <t>Carlos Ferrari</t>
  </si>
  <si>
    <t>ORD-10998</t>
  </si>
  <si>
    <t>Diego Miller</t>
  </si>
  <si>
    <t>ORD-10050</t>
  </si>
  <si>
    <t>Robert Garcia</t>
  </si>
  <si>
    <t>ORD-10697</t>
  </si>
  <si>
    <t>Sakura Garcia</t>
  </si>
  <si>
    <t>ORD-10329</t>
  </si>
  <si>
    <t>ORD-10011</t>
  </si>
  <si>
    <t>ORD-10931</t>
  </si>
  <si>
    <t>Maria Thomas</t>
  </si>
  <si>
    <t>ORD-10141</t>
  </si>
  <si>
    <t>ORD-10648</t>
  </si>
  <si>
    <t>Omar Dubois</t>
  </si>
  <si>
    <t>ORD-11925</t>
  </si>
  <si>
    <t>Sarah Miller</t>
  </si>
  <si>
    <t>ORD-10076</t>
  </si>
  <si>
    <t>ORD-11440</t>
  </si>
  <si>
    <t>ORD-11573</t>
  </si>
  <si>
    <t>Mia Chen</t>
  </si>
  <si>
    <t>ORD-11870</t>
  </si>
  <si>
    <t>Isabella Jones</t>
  </si>
  <si>
    <t>ORD-11920</t>
  </si>
  <si>
    <t>Pierre Jones</t>
  </si>
  <si>
    <t>ORD-10106</t>
  </si>
  <si>
    <t>Karen Ali</t>
  </si>
  <si>
    <t>ORD-11522</t>
  </si>
  <si>
    <t>Amir Anderson</t>
  </si>
  <si>
    <t>ORD-10223</t>
  </si>
  <si>
    <t>Jennifer Yamamoto</t>
  </si>
  <si>
    <t>ORD-11955</t>
  </si>
  <si>
    <t>Olivia Jones</t>
  </si>
  <si>
    <t>ORD-10258</t>
  </si>
  <si>
    <t>ORD-10879</t>
  </si>
  <si>
    <t>Carlos Patel</t>
  </si>
  <si>
    <t>ORD-11947</t>
  </si>
  <si>
    <t>Olivia Johnson</t>
  </si>
  <si>
    <t>ORD-11826</t>
  </si>
  <si>
    <t>Robert Leroy</t>
  </si>
  <si>
    <t>ORD-10296</t>
  </si>
  <si>
    <t>Michael Tanaka</t>
  </si>
  <si>
    <t>ORD-11399</t>
  </si>
  <si>
    <t>ORD-10312</t>
  </si>
  <si>
    <t>Lucas Nilsson</t>
  </si>
  <si>
    <t>ORD-10512</t>
  </si>
  <si>
    <t>ORD-10767</t>
  </si>
  <si>
    <t>Omar Thompson</t>
  </si>
  <si>
    <t>ORD-11092</t>
  </si>
  <si>
    <t>Raj Thompson</t>
  </si>
  <si>
    <t>ORD-11797</t>
  </si>
  <si>
    <t>ORD-10517</t>
  </si>
  <si>
    <t>ORD-10999</t>
  </si>
  <si>
    <t>Layla Romano</t>
  </si>
  <si>
    <t>ORD-11749</t>
  </si>
  <si>
    <t>Ivan Williams</t>
  </si>
  <si>
    <t>ORD-11228</t>
  </si>
  <si>
    <t>ORD-10412</t>
  </si>
  <si>
    <t>Nadia Taylor</t>
  </si>
  <si>
    <t>ORD-10504</t>
  </si>
  <si>
    <t>John Suzuki</t>
  </si>
  <si>
    <t>ORD-10988</t>
  </si>
  <si>
    <t>ORD-11136</t>
  </si>
  <si>
    <t>Emma MÃ¼ller</t>
  </si>
  <si>
    <t>ORD-11883</t>
  </si>
  <si>
    <t>Mia Costa</t>
  </si>
  <si>
    <t>ORD-10119</t>
  </si>
  <si>
    <t>Zara Thomas</t>
  </si>
  <si>
    <t>ORD-10021</t>
  </si>
  <si>
    <t>Giulia Yamamoto</t>
  </si>
  <si>
    <t>ORD-10663</t>
  </si>
  <si>
    <t>Hans Miller</t>
  </si>
  <si>
    <t>ORD-11018</t>
  </si>
  <si>
    <t>Liam Schmidt</t>
  </si>
  <si>
    <t>ORD-11739</t>
  </si>
  <si>
    <t>ORD-11774</t>
  </si>
  <si>
    <t>John Wang</t>
  </si>
  <si>
    <t>ORD-11881</t>
  </si>
  <si>
    <t>ORD-11965</t>
  </si>
  <si>
    <t>Layla Patel</t>
  </si>
  <si>
    <t>ORD-10520</t>
  </si>
  <si>
    <t>Linda Weber</t>
  </si>
  <si>
    <t>ORD-10877</t>
  </si>
  <si>
    <t>Yuki Sharma</t>
  </si>
  <si>
    <t>ORD-11475</t>
  </si>
  <si>
    <t>Maria Yamamoto</t>
  </si>
  <si>
    <t>ORD-10523</t>
  </si>
  <si>
    <t>Omar Jackson</t>
  </si>
  <si>
    <t>ORD-10833</t>
  </si>
  <si>
    <t>ORD-10871</t>
  </si>
  <si>
    <t>ORD-11209</t>
  </si>
  <si>
    <t>Nadia Martinez</t>
  </si>
  <si>
    <t>ORD-11542</t>
  </si>
  <si>
    <t>Raj Schmidt</t>
  </si>
  <si>
    <t>ORD-11783</t>
  </si>
  <si>
    <t>Li Miller</t>
  </si>
  <si>
    <t>ORD-11994</t>
  </si>
  <si>
    <t>Richard Santos</t>
  </si>
  <si>
    <t>ORD-10391</t>
  </si>
  <si>
    <t>Jessica Taylor</t>
  </si>
  <si>
    <t>ORD-11714</t>
  </si>
  <si>
    <t>ORD-11851</t>
  </si>
  <si>
    <t>Patricia Santos</t>
  </si>
  <si>
    <t>ORD-10162</t>
  </si>
  <si>
    <t>Linda Rodriguez</t>
  </si>
  <si>
    <t>ORD-10416</t>
  </si>
  <si>
    <t>Wei Khan</t>
  </si>
  <si>
    <t>ORD-10038</t>
  </si>
  <si>
    <t>ORD-10168</t>
  </si>
  <si>
    <t>Isabella Schmidt</t>
  </si>
  <si>
    <t>ORD-10580</t>
  </si>
  <si>
    <t>Maria Johnson</t>
  </si>
  <si>
    <t>ORD-11269</t>
  </si>
  <si>
    <t>Sophie Johansson</t>
  </si>
  <si>
    <t>ORD-11341</t>
  </si>
  <si>
    <t>Li MÃ¼ller</t>
  </si>
  <si>
    <t>ORD-10939</t>
  </si>
  <si>
    <t>Lucas Park</t>
  </si>
  <si>
    <t>ORD-11623</t>
  </si>
  <si>
    <t>Ivan Romano</t>
  </si>
  <si>
    <t>ORD-11874</t>
  </si>
  <si>
    <t>Thomas Johnson</t>
  </si>
  <si>
    <t>ORD-11864</t>
  </si>
  <si>
    <t>Zara Hassan</t>
  </si>
  <si>
    <t>ORD-10540</t>
  </si>
  <si>
    <t>Thomas Jackson</t>
  </si>
  <si>
    <t>ORD-11054</t>
  </si>
  <si>
    <t>Ingrid Martinez</t>
  </si>
  <si>
    <t>ORD-10443</t>
  </si>
  <si>
    <t>Elizabeth Patel</t>
  </si>
  <si>
    <t>ORD-10449</t>
  </si>
  <si>
    <t>Susan Patel</t>
  </si>
  <si>
    <t>ORD-11822</t>
  </si>
  <si>
    <t>Hanna Thomas</t>
  </si>
  <si>
    <t>ORD-11836</t>
  </si>
  <si>
    <t>Richard Jackson</t>
  </si>
  <si>
    <t>ORD-10453</t>
  </si>
  <si>
    <t>ORD-10707</t>
  </si>
  <si>
    <t>Giulia Li</t>
  </si>
  <si>
    <t>ORD-11037</t>
  </si>
  <si>
    <t>ORD-11807</t>
  </si>
  <si>
    <t>ORD-10088</t>
  </si>
  <si>
    <t>David Rodriguez</t>
  </si>
  <si>
    <t>ORD-10693</t>
  </si>
  <si>
    <t>Hanna Weber</t>
  </si>
  <si>
    <t>ORD-10912</t>
  </si>
  <si>
    <t>ORD-11170</t>
  </si>
  <si>
    <t>Ava Miller</t>
  </si>
  <si>
    <t>ORD-11627</t>
  </si>
  <si>
    <t>ORD-11615</t>
  </si>
  <si>
    <t>Marco Rodriguez</t>
  </si>
  <si>
    <t>ORD-11267</t>
  </si>
  <si>
    <t>ORD-11455</t>
  </si>
  <si>
    <t>Omar Thomas</t>
  </si>
  <si>
    <t>ORD-10659</t>
  </si>
  <si>
    <t>Barbara Miller</t>
  </si>
  <si>
    <t>ORD-10944</t>
  </si>
  <si>
    <t>Mary White</t>
  </si>
  <si>
    <t>ORD-11319</t>
  </si>
  <si>
    <t>Raj Sato</t>
  </si>
  <si>
    <t>ORD-10217</t>
  </si>
  <si>
    <t>Layla Garcia</t>
  </si>
  <si>
    <t>ORD-10621</t>
  </si>
  <si>
    <t>David Schmidt</t>
  </si>
  <si>
    <t>ORD-10765</t>
  </si>
  <si>
    <t>Priya Sato</t>
  </si>
  <si>
    <t>ORD-11451</t>
  </si>
  <si>
    <t>Carlos Davis</t>
  </si>
  <si>
    <t>ORD-11502</t>
  </si>
  <si>
    <t>ORD-11716</t>
  </si>
  <si>
    <t>Barbara Moreau</t>
  </si>
  <si>
    <t>ORD-11618</t>
  </si>
  <si>
    <t>Christopher Fischer</t>
  </si>
  <si>
    <t>ORD-11146</t>
  </si>
  <si>
    <t>ORD-11252</t>
  </si>
  <si>
    <t>ORD-10389</t>
  </si>
  <si>
    <t>Ingrid Sato</t>
  </si>
  <si>
    <t>ORD-10405</t>
  </si>
  <si>
    <t>Zara Fischer</t>
  </si>
  <si>
    <t>ORD-10539</t>
  </si>
  <si>
    <t>ORD-10924</t>
  </si>
  <si>
    <t>Sakura Ahmed</t>
  </si>
  <si>
    <t>ORD-11853</t>
  </si>
  <si>
    <t>Elizabeth Johnson</t>
  </si>
  <si>
    <t>ORD-10061</t>
  </si>
  <si>
    <t>Ethan Sato</t>
  </si>
  <si>
    <t>ORD-10014</t>
  </si>
  <si>
    <t>Elizabeth Wang</t>
  </si>
  <si>
    <t>ORD-10865</t>
  </si>
  <si>
    <t>Mia Laurent</t>
  </si>
  <si>
    <t>ORD-11296</t>
  </si>
  <si>
    <t>Linda Thompson</t>
  </si>
  <si>
    <t>ORD-10193</t>
  </si>
  <si>
    <t>Fatima Zhang</t>
  </si>
  <si>
    <t>ORD-10433</t>
  </si>
  <si>
    <t>Mary Fischer</t>
  </si>
  <si>
    <t>ORD-10638</t>
  </si>
  <si>
    <t>Hanna Sharma</t>
  </si>
  <si>
    <t>ORD-10785</t>
  </si>
  <si>
    <t>Ayumi Laurent</t>
  </si>
  <si>
    <t>ORD-10794</t>
  </si>
  <si>
    <t>Noah Ferrari</t>
  </si>
  <si>
    <t>ORD-11629</t>
  </si>
  <si>
    <t>Thomas Costa</t>
  </si>
  <si>
    <t>ORD-11790</t>
  </si>
  <si>
    <t>Wei Wang</t>
  </si>
  <si>
    <t>ORD-10120</t>
  </si>
  <si>
    <t>Ali Hassan</t>
  </si>
  <si>
    <t>ORD-10415</t>
  </si>
  <si>
    <t>Layla Williams</t>
  </si>
  <si>
    <t>ORD-10633</t>
  </si>
  <si>
    <t>Wei Moreau</t>
  </si>
  <si>
    <t>ORD-10715</t>
  </si>
  <si>
    <t>ORD-11371</t>
  </si>
  <si>
    <t>Omar Yamamoto</t>
  </si>
  <si>
    <t>ORD-11223</t>
  </si>
  <si>
    <t>Nadia Dubois</t>
  </si>
  <si>
    <t>ORD-11617</t>
  </si>
  <si>
    <t>ORD-10150</t>
  </si>
  <si>
    <t>Zara Williams</t>
  </si>
  <si>
    <t>ORD-10151</t>
  </si>
  <si>
    <t>Joseph Ali</t>
  </si>
  <si>
    <t>ORD-10400</t>
  </si>
  <si>
    <t>Ahmed Tanaka</t>
  </si>
  <si>
    <t>ORD-10830</t>
  </si>
  <si>
    <t>Ivan Robinson</t>
  </si>
  <si>
    <t>ORD-11902</t>
  </si>
  <si>
    <t>Christopher Miller</t>
  </si>
  <si>
    <t>ORD-10243</t>
  </si>
  <si>
    <t>Pierre Hassan</t>
  </si>
  <si>
    <t>ORD-10048</t>
  </si>
  <si>
    <t>Sophie Kim</t>
  </si>
  <si>
    <t>ORD-10401</t>
  </si>
  <si>
    <t>ORD-11327</t>
  </si>
  <si>
    <t>Amir Johansson</t>
  </si>
  <si>
    <t>ORD-11039</t>
  </si>
  <si>
    <t>ORD-11369</t>
  </si>
  <si>
    <t>Lucas MÃ¼ller</t>
  </si>
  <si>
    <t>ORD-11506</t>
  </si>
  <si>
    <t>ORD-11590</t>
  </si>
  <si>
    <t>James Oliveira</t>
  </si>
  <si>
    <t>ORD-11943</t>
  </si>
  <si>
    <t>Sophie Pereira</t>
  </si>
  <si>
    <t>ORD-11207</t>
  </si>
  <si>
    <t>Oscar Zhang</t>
  </si>
  <si>
    <t>ORD-11758</t>
  </si>
  <si>
    <t>ORD-10469</t>
  </si>
  <si>
    <t>Carlos Sharma</t>
  </si>
  <si>
    <t>ORD-10669</t>
  </si>
  <si>
    <t>ORD-11335</t>
  </si>
  <si>
    <t>Ivan Martin</t>
  </si>
  <si>
    <t>ORD-10533</t>
  </si>
  <si>
    <t>ORD-10567</t>
  </si>
  <si>
    <t>ORD-10093</t>
  </si>
  <si>
    <t>Raj Johnson</t>
  </si>
  <si>
    <t>ORD-11257</t>
  </si>
  <si>
    <t>Olivia Zhang</t>
  </si>
  <si>
    <t>ORD-11445</t>
  </si>
  <si>
    <t>Ava Rodriguez</t>
  </si>
  <si>
    <t>ORD-10239</t>
  </si>
  <si>
    <t>James Ali</t>
  </si>
  <si>
    <t>ORD-11043</t>
  </si>
  <si>
    <t>Liam Patel</t>
  </si>
  <si>
    <t>ORD-11113</t>
  </si>
  <si>
    <t>ORD-10046</t>
  </si>
  <si>
    <t>Ethan Moreau</t>
  </si>
  <si>
    <t>ORD-10543</t>
  </si>
  <si>
    <t>Maria Suzuki</t>
  </si>
  <si>
    <t>ORD-10602</t>
  </si>
  <si>
    <t>ORD-10969</t>
  </si>
  <si>
    <t>Jessica Moreau</t>
  </si>
  <si>
    <t>ORD-11869</t>
  </si>
  <si>
    <t>ORD-10491</t>
  </si>
  <si>
    <t>Sarah Santos</t>
  </si>
  <si>
    <t>ORD-11211</t>
  </si>
  <si>
    <t>James Johansson</t>
  </si>
  <si>
    <t>ORD-10436</t>
  </si>
  <si>
    <t>ORD-10701</t>
  </si>
  <si>
    <t>Yuki Thomas</t>
  </si>
  <si>
    <t>ORD-11338</t>
  </si>
  <si>
    <t>ORD-11778</t>
  </si>
  <si>
    <t>Clara Garcia</t>
  </si>
  <si>
    <t>ORD-11973</t>
  </si>
  <si>
    <t>Lucas Sato</t>
  </si>
  <si>
    <t>ORD-11980</t>
  </si>
  <si>
    <t>Ingrid Yamamoto</t>
  </si>
  <si>
    <t>ORD-10073</t>
  </si>
  <si>
    <t>Xiao Robinson</t>
  </si>
  <si>
    <t>ORD-10134</t>
  </si>
  <si>
    <t>Wei Ali</t>
  </si>
  <si>
    <t>ORD-11792</t>
  </si>
  <si>
    <t>Jamal Wang</t>
  </si>
  <si>
    <t>ORD-10160</t>
  </si>
  <si>
    <t>Ivan Moreau</t>
  </si>
  <si>
    <t>ORD-10178</t>
  </si>
  <si>
    <t>Sarah Johansson</t>
  </si>
  <si>
    <t>ORD-10690</t>
  </si>
  <si>
    <t>ORD-10812</t>
  </si>
  <si>
    <t>Linda Harris</t>
  </si>
  <si>
    <t>ORD-11514</t>
  </si>
  <si>
    <t>Ivan Park</t>
  </si>
  <si>
    <t>ORD-11709</t>
  </si>
  <si>
    <t>Elizabeth Leroy</t>
  </si>
  <si>
    <t>ORD-10624</t>
  </si>
  <si>
    <t>Jennifer Zhang</t>
  </si>
  <si>
    <t>ORD-10742</t>
  </si>
  <si>
    <t>ORD-11067</t>
  </si>
  <si>
    <t>Mia Li</t>
  </si>
  <si>
    <t>ORD-10494</t>
  </si>
  <si>
    <t>ORD-11384</t>
  </si>
  <si>
    <t>Ahmed Ali</t>
  </si>
  <si>
    <t>ORD-10645</t>
  </si>
  <si>
    <t>Ahmed Thomas</t>
  </si>
  <si>
    <t>ORD-10666</t>
  </si>
  <si>
    <t>Ahmed Johnson</t>
  </si>
  <si>
    <t>ORD-10759</t>
  </si>
  <si>
    <t>ORD-11276</t>
  </si>
  <si>
    <t>Barbara Johnson</t>
  </si>
  <si>
    <t>ORD-11950</t>
  </si>
  <si>
    <t>ORD-10994</t>
  </si>
  <si>
    <t>Jessica Nilsson</t>
  </si>
  <si>
    <t>ORD-11908</t>
  </si>
  <si>
    <t>Zara Weber</t>
  </si>
  <si>
    <t>ORD-10741</t>
  </si>
  <si>
    <t>Ivan Ali</t>
  </si>
  <si>
    <t>ORD-11476</t>
  </si>
  <si>
    <t>Ava Rossi</t>
  </si>
  <si>
    <t>ORD-10260</t>
  </si>
  <si>
    <t>Ayumi Taylor</t>
  </si>
  <si>
    <t>ORD-10967</t>
  </si>
  <si>
    <t>ORD-11242</t>
  </si>
  <si>
    <t>Clara MÃ¼ller</t>
  </si>
  <si>
    <t>ORD-10029</t>
  </si>
  <si>
    <t>Clara Ali</t>
  </si>
  <si>
    <t>ORD-10815</t>
  </si>
  <si>
    <t>ORD-11948</t>
  </si>
  <si>
    <t>Ingrid Santos</t>
  </si>
  <si>
    <t>ORD-10588</t>
  </si>
  <si>
    <t>Patricia Costa</t>
  </si>
  <si>
    <t>ORD-10761</t>
  </si>
  <si>
    <t>Liam Russo</t>
  </si>
  <si>
    <t>ORD-11477</t>
  </si>
  <si>
    <t>Karen Romano</t>
  </si>
  <si>
    <t>ORD-11880</t>
  </si>
  <si>
    <t>Richard Park</t>
  </si>
  <si>
    <t>ORD-11764</t>
  </si>
  <si>
    <t>ORD-11426</t>
  </si>
  <si>
    <t>Jamal Chen</t>
  </si>
  <si>
    <t>ORD-11195</t>
  </si>
  <si>
    <t>Nadia Robinson</t>
  </si>
  <si>
    <t>ORD-11309</t>
  </si>
  <si>
    <t>Giulia Johansson</t>
  </si>
  <si>
    <t>ORD-10654</t>
  </si>
  <si>
    <t>Pierre Ahmed</t>
  </si>
  <si>
    <t>ORD-11517</t>
  </si>
  <si>
    <t>Zara Davis</t>
  </si>
  <si>
    <t>ORD-10241</t>
  </si>
  <si>
    <t>Liam Taylor</t>
  </si>
  <si>
    <t>ORD-10808</t>
  </si>
  <si>
    <t>ORD-10899</t>
  </si>
  <si>
    <t>ORD-11129</t>
  </si>
  <si>
    <t>Jamal Taylor</t>
  </si>
  <si>
    <t>ORD-10026</t>
  </si>
  <si>
    <t>Layla Ahmed</t>
  </si>
  <si>
    <t>ORD-11083</t>
  </si>
  <si>
    <t>ORD-10948</t>
  </si>
  <si>
    <t>ORD-11036</t>
  </si>
  <si>
    <t>David Rossi</t>
  </si>
  <si>
    <t>ORD-11331</t>
  </si>
  <si>
    <t>Thomas Thomas</t>
  </si>
  <si>
    <t>ORD-10975</t>
  </si>
  <si>
    <t>Oscar Nilsson</t>
  </si>
  <si>
    <t>ORD-10074</t>
  </si>
  <si>
    <t>Nadia Oliveira</t>
  </si>
  <si>
    <t>ORD-11866</t>
  </si>
  <si>
    <t>ORD-10807</t>
  </si>
  <si>
    <t>ORD-11852</t>
  </si>
  <si>
    <t>ORD-10259</t>
  </si>
  <si>
    <t>Sakura Costa</t>
  </si>
  <si>
    <t>ORD-10973</t>
  </si>
  <si>
    <t>Richard Rossi</t>
  </si>
  <si>
    <t>ORD-10497</t>
  </si>
  <si>
    <t>ORD-11804</t>
  </si>
  <si>
    <t>Jamal Kim</t>
  </si>
  <si>
    <t>ORD-11381</t>
  </si>
  <si>
    <t>Sophie Ahmed</t>
  </si>
  <si>
    <t>ORD-10668</t>
  </si>
  <si>
    <t>Christopher Jackson</t>
  </si>
  <si>
    <t>ORD-10970</t>
  </si>
  <si>
    <t>ORD-11364</t>
  </si>
  <si>
    <t>Barbara Khan</t>
  </si>
  <si>
    <t>ORD-10699</t>
  </si>
  <si>
    <t>ORD-11901</t>
  </si>
  <si>
    <t>ORD-11236</t>
  </si>
  <si>
    <t>Clara Laurent</t>
  </si>
  <si>
    <t>ORD-10215</t>
  </si>
  <si>
    <t>Liam Rodriguez</t>
  </si>
  <si>
    <t>ORD-10702</t>
  </si>
  <si>
    <t>Marco Kim</t>
  </si>
  <si>
    <t>ORD-11730</t>
  </si>
  <si>
    <t>Robert Rodriguez</t>
  </si>
  <si>
    <t>ORD-11359</t>
  </si>
  <si>
    <t>Michael Nilsson</t>
  </si>
  <si>
    <t>ORD-11600</t>
  </si>
  <si>
    <t>Ali Leroy</t>
  </si>
  <si>
    <t>ORD-11282</t>
  </si>
  <si>
    <t>Amir Rodriguez</t>
  </si>
  <si>
    <t>ORD-11421</t>
  </si>
  <si>
    <t>Karen Santos</t>
  </si>
  <si>
    <t>ORD-10655</t>
  </si>
  <si>
    <t>Patricia Ferrari</t>
  </si>
  <si>
    <t>ORD-11194</t>
  </si>
  <si>
    <t>Robert Harris</t>
  </si>
  <si>
    <t>ORD-11403</t>
  </si>
  <si>
    <t>ORD-11606</t>
  </si>
  <si>
    <t>ORD-10601</t>
  </si>
  <si>
    <t>Christopher Martinez</t>
  </si>
  <si>
    <t>ORD-10022</t>
  </si>
  <si>
    <t>Giulia Rodriguez</t>
  </si>
  <si>
    <t>ORD-10249</t>
  </si>
  <si>
    <t>ORD-11042</t>
  </si>
  <si>
    <t>Thomas Laurent</t>
  </si>
  <si>
    <t>ORD-11893</t>
  </si>
  <si>
    <t>ORD-11930</t>
  </si>
  <si>
    <t>Isabella Tanaka</t>
  </si>
  <si>
    <t>ORD-11957</t>
  </si>
  <si>
    <t>Barbara Singh</t>
  </si>
  <si>
    <t>ORD-11351</t>
  </si>
  <si>
    <t>Raj Garcia</t>
  </si>
  <si>
    <t>ORD-11115</t>
  </si>
  <si>
    <t>ORD-11122</t>
  </si>
  <si>
    <t>Isabella Davis</t>
  </si>
  <si>
    <t>ORD-11138</t>
  </si>
  <si>
    <t>Mary Patel</t>
  </si>
  <si>
    <t>ORD-10308</t>
  </si>
  <si>
    <t>Christopher Clark</t>
  </si>
  <si>
    <t>ORD-10644</t>
  </si>
  <si>
    <t>ORD-10805</t>
  </si>
  <si>
    <t>Marco Davis</t>
  </si>
  <si>
    <t>ORD-10993</t>
  </si>
  <si>
    <t>Maria Moreau</t>
  </si>
  <si>
    <t>ORD-11056</t>
  </si>
  <si>
    <t>James Patel</t>
  </si>
  <si>
    <t>ORD-11509</t>
  </si>
  <si>
    <t>Priya Singh</t>
  </si>
  <si>
    <t>ORD-11689</t>
  </si>
  <si>
    <t>Ayumi Smith</t>
  </si>
  <si>
    <t>ORD-11732</t>
  </si>
  <si>
    <t>Emma Clark</t>
  </si>
  <si>
    <t>ORD-10604</t>
  </si>
  <si>
    <t>Li Harris</t>
  </si>
  <si>
    <t>ORD-11436</t>
  </si>
  <si>
    <t>Noah Suzuki</t>
  </si>
  <si>
    <t>ORD-10802</t>
  </si>
  <si>
    <t>ORD-11496</t>
  </si>
  <si>
    <t>Robert Wang</t>
  </si>
  <si>
    <t>ORD-10611</t>
  </si>
  <si>
    <t>Ayumi Pereira</t>
  </si>
  <si>
    <t>ORD-11694</t>
  </si>
  <si>
    <t>Chen Rossi</t>
  </si>
  <si>
    <t>ORD-10506</t>
  </si>
  <si>
    <t>ORD-10509</t>
  </si>
  <si>
    <t>ORD-11744</t>
  </si>
  <si>
    <t>Kenji Smith</t>
  </si>
  <si>
    <t>ORD-11876</t>
  </si>
  <si>
    <t>ORD-10814</t>
  </si>
  <si>
    <t>Patricia Park</t>
  </si>
  <si>
    <t>ORD-11350</t>
  </si>
  <si>
    <t>ORD-11408</t>
  </si>
  <si>
    <t>ORD-11839</t>
  </si>
  <si>
    <t>Li Suzuki</t>
  </si>
  <si>
    <t>ORD-10079</t>
  </si>
  <si>
    <t>Jessica Schmidt</t>
  </si>
  <si>
    <t>ORD-11001</t>
  </si>
  <si>
    <t>ORD-11801</t>
  </si>
  <si>
    <t>Thomas Tanaka</t>
  </si>
  <si>
    <t>ORD-11897</t>
  </si>
  <si>
    <t>ORD-11919</t>
  </si>
  <si>
    <t>Sakura Harris</t>
  </si>
  <si>
    <t>ORD-10730</t>
  </si>
  <si>
    <t>Richard Dubois</t>
  </si>
  <si>
    <t>ORD-11412</t>
  </si>
  <si>
    <t>Raj Yamamoto</t>
  </si>
  <si>
    <t>ORD-10873</t>
  </si>
  <si>
    <t>ORD-11472</t>
  </si>
  <si>
    <t>Amir Taylor</t>
  </si>
  <si>
    <t>ORD-11818</t>
  </si>
  <si>
    <t>Clara Costa</t>
  </si>
  <si>
    <t>ORD-10035</t>
  </si>
  <si>
    <t>Elizabeth Schmidt</t>
  </si>
  <si>
    <t>ORD-11120</t>
  </si>
  <si>
    <t>ORD-10647</t>
  </si>
  <si>
    <t>Ahmed Smith</t>
  </si>
  <si>
    <t>ORD-11796</t>
  </si>
  <si>
    <t>ORD-10657</t>
  </si>
  <si>
    <t>Jamal Singh</t>
  </si>
  <si>
    <t>ORD-11443</t>
  </si>
  <si>
    <t>Ayumi Clark</t>
  </si>
  <si>
    <t>ORD-10481</t>
  </si>
  <si>
    <t>Lucas Yamamoto</t>
  </si>
  <si>
    <t>ORD-11017</t>
  </si>
  <si>
    <t>ORD-11755</t>
  </si>
  <si>
    <t>ORD-10317</t>
  </si>
  <si>
    <t>Ingrid Williams</t>
  </si>
  <si>
    <t>ORD-11275</t>
  </si>
  <si>
    <t>Jennifer Thomas</t>
  </si>
  <si>
    <t>ORD-11471</t>
  </si>
  <si>
    <t>Joseph Weber</t>
  </si>
  <si>
    <t>ORD-11595</t>
  </si>
  <si>
    <t>Hanna Williams</t>
  </si>
  <si>
    <t>ORD-11821</t>
  </si>
  <si>
    <t>ORD-10905</t>
  </si>
  <si>
    <t>ORD-11427</t>
  </si>
  <si>
    <t>Michael Leroy</t>
  </si>
  <si>
    <t>ORD-11511</t>
  </si>
  <si>
    <t>Kenji Johansson</t>
  </si>
  <si>
    <t>ORD-11727</t>
  </si>
  <si>
    <t>Robert Patel</t>
  </si>
  <si>
    <t>ORD-10519</t>
  </si>
  <si>
    <t>ORD-11845</t>
  </si>
  <si>
    <t>Maria MÃ¼ller</t>
  </si>
  <si>
    <t>ORD-11166</t>
  </si>
  <si>
    <t>ORD-10619</t>
  </si>
  <si>
    <t>John Rodriguez</t>
  </si>
  <si>
    <t>ORD-11249</t>
  </si>
  <si>
    <t>ORD-11308</t>
  </si>
  <si>
    <t>Ivan Leroy</t>
  </si>
  <si>
    <t>ORD-10159</t>
  </si>
  <si>
    <t>ORD-10247</t>
  </si>
  <si>
    <t>Giulia Singh</t>
  </si>
  <si>
    <t>ORD-10444</t>
  </si>
  <si>
    <t>ORD-10136</t>
  </si>
  <si>
    <t>Xiao Weber</t>
  </si>
  <si>
    <t>ORD-10387</t>
  </si>
  <si>
    <t>Jennifer Harris</t>
  </si>
  <si>
    <t>ORD-10751</t>
  </si>
  <si>
    <t>ORD-11820</t>
  </si>
  <si>
    <t>Mia Anderson</t>
  </si>
  <si>
    <t>ORD-10538</t>
  </si>
  <si>
    <t>ORD-11584</t>
  </si>
  <si>
    <t>Richard Zhang</t>
  </si>
  <si>
    <t>ORD-11281</t>
  </si>
  <si>
    <t>Ali Taylor</t>
  </si>
  <si>
    <t>ORD-10348</t>
  </si>
  <si>
    <t>Olivia White</t>
  </si>
  <si>
    <t>ORD-10585</t>
  </si>
  <si>
    <t>Ahmed Zhang</t>
  </si>
  <si>
    <t>ORD-10889</t>
  </si>
  <si>
    <t>ORD-10987</t>
  </si>
  <si>
    <t>Patricia Wang</t>
  </si>
  <si>
    <t>ORD-11487</t>
  </si>
  <si>
    <t>Sakura Zhang</t>
  </si>
  <si>
    <t>ORD-11238</t>
  </si>
  <si>
    <t>Carlos Jones</t>
  </si>
  <si>
    <t>ORD-10894</t>
  </si>
  <si>
    <t>John Martin</t>
  </si>
  <si>
    <t>ORD-11005</t>
  </si>
  <si>
    <t>Emma Anderson</t>
  </si>
  <si>
    <t>ORD-11310</t>
  </si>
  <si>
    <t>Hans Ali</t>
  </si>
  <si>
    <t>ORD-11862</t>
  </si>
  <si>
    <t>Thomas Clark</t>
  </si>
  <si>
    <t>ORD-11221</t>
  </si>
  <si>
    <t>Olivia Kim</t>
  </si>
  <si>
    <t>ORD-11757</t>
  </si>
  <si>
    <t>ORD-11860</t>
  </si>
  <si>
    <t>ORD-10337</t>
  </si>
  <si>
    <t>ORD-11695</t>
  </si>
  <si>
    <t>Sophie Jackson</t>
  </si>
  <si>
    <t>ORD-10774</t>
  </si>
  <si>
    <t>Lucas Tanaka</t>
  </si>
  <si>
    <t>ORD-11193</t>
  </si>
  <si>
    <t>Raj Harris</t>
  </si>
  <si>
    <t>ORD-10331</t>
  </si>
  <si>
    <t>Giulia White</t>
  </si>
  <si>
    <t>ORD-10704</t>
  </si>
  <si>
    <t>Fatima MÃ¼ller</t>
  </si>
  <si>
    <t>ORD-11754</t>
  </si>
  <si>
    <t>Sakura Chen</t>
  </si>
  <si>
    <t>ORD-10976</t>
  </si>
  <si>
    <t>ORD-10087</t>
  </si>
  <si>
    <t>Omar Schmidt</t>
  </si>
  <si>
    <t>ORD-11637</t>
  </si>
  <si>
    <t>Sarah Brown</t>
  </si>
  <si>
    <t>ORD-11935</t>
  </si>
  <si>
    <t>Isabella Thompson</t>
  </si>
  <si>
    <t>ORD-10541</t>
  </si>
  <si>
    <t>ORD-11429</t>
  </si>
  <si>
    <t>Olga Wang</t>
  </si>
  <si>
    <t>ORD-11614</t>
  </si>
  <si>
    <t>ORD-11856</t>
  </si>
  <si>
    <t>ORD-10255</t>
  </si>
  <si>
    <t>Diego Rossi</t>
  </si>
  <si>
    <t>ORD-10906</t>
  </si>
  <si>
    <t>ORD-11368</t>
  </si>
  <si>
    <t>ORD-10300</t>
  </si>
  <si>
    <t>David Johansson</t>
  </si>
  <si>
    <t>ORD-10803</t>
  </si>
  <si>
    <t>Emma Romano</t>
  </si>
  <si>
    <t>ORD-10264</t>
  </si>
  <si>
    <t>ORD-10615</t>
  </si>
  <si>
    <t>Giulia Smith</t>
  </si>
  <si>
    <t>ORD-11666</t>
  </si>
  <si>
    <t>ORD-10778</t>
  </si>
  <si>
    <t>ORD-11647</t>
  </si>
  <si>
    <t>Emma Chen</t>
  </si>
  <si>
    <t>ORD-11591</t>
  </si>
  <si>
    <t>Priya Romano</t>
  </si>
  <si>
    <t>ORD-11057</t>
  </si>
  <si>
    <t>Ali MÃ¼ller</t>
  </si>
  <si>
    <t>ORD-11127</t>
  </si>
  <si>
    <t>Diego Weber</t>
  </si>
  <si>
    <t>ORD-11410</t>
  </si>
  <si>
    <t>William Wang</t>
  </si>
  <si>
    <t>ORD-10123</t>
  </si>
  <si>
    <t>Priya Patel</t>
  </si>
  <si>
    <t>ORD-11126</t>
  </si>
  <si>
    <t>David Park</t>
  </si>
  <si>
    <t>ORD-11157</t>
  </si>
  <si>
    <t>James Miller</t>
  </si>
  <si>
    <t>ORD-11219</t>
  </si>
  <si>
    <t>Olga Ali</t>
  </si>
  <si>
    <t>ORD-11438</t>
  </si>
  <si>
    <t>ORD-11493</t>
  </si>
  <si>
    <t>Amina Khan</t>
  </si>
  <si>
    <t>ORD-10684</t>
  </si>
  <si>
    <t>Ingrid Clark</t>
  </si>
  <si>
    <t>ORD-11089</t>
  </si>
  <si>
    <t>Hans Zhang</t>
  </si>
  <si>
    <t>ORD-11190</t>
  </si>
  <si>
    <t>Jennifer Leroy</t>
  </si>
  <si>
    <t>ORD-11312</t>
  </si>
  <si>
    <t>Ahmed Hassan</t>
  </si>
  <si>
    <t>ORD-11485</t>
  </si>
  <si>
    <t>Joseph Garcia</t>
  </si>
  <si>
    <t>ORD-10148</t>
  </si>
  <si>
    <t>Sarah Smith</t>
  </si>
  <si>
    <t>ORD-10679</t>
  </si>
  <si>
    <t>Sophie Jones</t>
  </si>
  <si>
    <t>ORD-11027</t>
  </si>
  <si>
    <t>ORD-10990</t>
  </si>
  <si>
    <t>ORD-11848</t>
  </si>
  <si>
    <t>Richard Weber</t>
  </si>
  <si>
    <t>ORD-10080</t>
  </si>
  <si>
    <t>Hans Sharma</t>
  </si>
  <si>
    <t>ORD-10187</t>
  </si>
  <si>
    <t>ORD-10198</t>
  </si>
  <si>
    <t>ORD-11003</t>
  </si>
  <si>
    <t>Layla Jackson</t>
  </si>
  <si>
    <t>ORD-11524</t>
  </si>
  <si>
    <t>ORD-11540</t>
  </si>
  <si>
    <t>ORD-11554</t>
  </si>
  <si>
    <t>Hanna Li</t>
  </si>
  <si>
    <t>ORD-11278</t>
  </si>
  <si>
    <t>Wei Anderson</t>
  </si>
  <si>
    <t>ORD-11829</t>
  </si>
  <si>
    <t>ORD-10966</t>
  </si>
  <si>
    <t>ORD-11078</t>
  </si>
  <si>
    <t>Layla Leroy</t>
  </si>
  <si>
    <t>ORD-11656</t>
  </si>
  <si>
    <t>ORD-10634</t>
  </si>
  <si>
    <t>Priya Sharma</t>
  </si>
  <si>
    <t>ORD-11841</t>
  </si>
  <si>
    <t>Pierre Garcia</t>
  </si>
  <si>
    <t>ORD-10172</t>
  </si>
  <si>
    <t>Amina Singh</t>
  </si>
  <si>
    <t>ORD-10626</t>
  </si>
  <si>
    <t>David Chen</t>
  </si>
  <si>
    <t>ORD-11577</t>
  </si>
  <si>
    <t>Xiao White</t>
  </si>
  <si>
    <t>ORD-10027</t>
  </si>
  <si>
    <t>Pierre Pereira</t>
  </si>
  <si>
    <t>ORD-11416</t>
  </si>
  <si>
    <t>ORD-11879</t>
  </si>
  <si>
    <t>ORD-10854</t>
  </si>
  <si>
    <t>Ingrid Robinson</t>
  </si>
  <si>
    <t>ORD-10244</t>
  </si>
  <si>
    <t>ORD-10756</t>
  </si>
  <si>
    <t>Lucas Costa</t>
  </si>
  <si>
    <t>ORD-10289</t>
  </si>
  <si>
    <t>ORD-10982</t>
  </si>
  <si>
    <t>Sophie Johnson</t>
  </si>
  <si>
    <t>ORD-11772</t>
  </si>
  <si>
    <t>Christopher Tanaka</t>
  </si>
  <si>
    <t>ORD-10371</t>
  </si>
  <si>
    <t>Sophie Rossi</t>
  </si>
  <si>
    <t>ORD-10856</t>
  </si>
  <si>
    <t>Raj Pereira</t>
  </si>
  <si>
    <t>ORD-10191</t>
  </si>
  <si>
    <t>ORD-11469</t>
  </si>
  <si>
    <t>ORD-11952</t>
  </si>
  <si>
    <t>Hanna Rodriguez</t>
  </si>
  <si>
    <t>ORD-11041</t>
  </si>
  <si>
    <t>ORD-11317</t>
  </si>
  <si>
    <t>John Pereira</t>
  </si>
  <si>
    <t>ORD-11405</t>
  </si>
  <si>
    <t>Layla Ferrari</t>
  </si>
  <si>
    <t>ORD-11819</t>
  </si>
  <si>
    <t>Mia Johansson</t>
  </si>
  <si>
    <t>ORD-10293</t>
  </si>
  <si>
    <t>Emma Wang</t>
  </si>
  <si>
    <t>ORD-10485</t>
  </si>
  <si>
    <t>Omar Patel</t>
  </si>
  <si>
    <t>ORD-10490</t>
  </si>
  <si>
    <t>ORD-11756</t>
  </si>
  <si>
    <t>Jessica Brown</t>
  </si>
  <si>
    <t>ORD-10135</t>
  </si>
  <si>
    <t>ORD-10698</t>
  </si>
  <si>
    <t>Joseph Thompson</t>
  </si>
  <si>
    <t>ORD-10911</t>
  </si>
  <si>
    <t>Xiao Sharma</t>
  </si>
  <si>
    <t>ORD-11206</t>
  </si>
  <si>
    <t>Christopher Jones</t>
  </si>
  <si>
    <t>ORD-11578</t>
  </si>
  <si>
    <t>Sarah Leroy</t>
  </si>
  <si>
    <t>ORD-11677</t>
  </si>
  <si>
    <t>Robert Davis</t>
  </si>
  <si>
    <t>ORD-10081</t>
  </si>
  <si>
    <t>ORD-10618</t>
  </si>
  <si>
    <t>Isabella Nilsson</t>
  </si>
  <si>
    <t>ORD-11389</t>
  </si>
  <si>
    <t>ORD-11495</t>
  </si>
  <si>
    <t>Joseph Schmidt</t>
  </si>
  <si>
    <t>ORD-11913</t>
  </si>
  <si>
    <t>Richard Williams</t>
  </si>
  <si>
    <t>ORD-10002</t>
  </si>
  <si>
    <t>Patricia Leroy</t>
  </si>
  <si>
    <t>ORD-10324</t>
  </si>
  <si>
    <t>Nadia Rodriguez</t>
  </si>
  <si>
    <t>ORD-10849</t>
  </si>
  <si>
    <t>ORD-10039</t>
  </si>
  <si>
    <t>Oscar Ali</t>
  </si>
  <si>
    <t>ORD-10158</t>
  </si>
  <si>
    <t>David Fischer</t>
  </si>
  <si>
    <t>ORD-10267</t>
  </si>
  <si>
    <t>Barbara White</t>
  </si>
  <si>
    <t>ORD-11873</t>
  </si>
  <si>
    <t>Susan Garcia</t>
  </si>
  <si>
    <t>ORD-10692</t>
  </si>
  <si>
    <t>Sakura Davis</t>
  </si>
  <si>
    <t>ORD-11014</t>
  </si>
  <si>
    <t>ORD-11563</t>
  </si>
  <si>
    <t>Oscar Martin</t>
  </si>
  <si>
    <t>ORD-10764</t>
  </si>
  <si>
    <t>ORD-11386</t>
  </si>
  <si>
    <t>ORD-11397</t>
  </si>
  <si>
    <t>Thomas Zhang</t>
  </si>
  <si>
    <t>ORD-11538</t>
  </si>
  <si>
    <t>ORD-11978</t>
  </si>
  <si>
    <t>ORD-11989</t>
  </si>
  <si>
    <t>Fatima Davis</t>
  </si>
  <si>
    <t>ORD-11459</t>
  </si>
  <si>
    <t>ORD-10789</t>
  </si>
  <si>
    <t>Jamal Hassan</t>
  </si>
  <si>
    <t>ORD-11076</t>
  </si>
  <si>
    <t>ORD-11611</t>
  </si>
  <si>
    <t>ORD-10470</t>
  </si>
  <si>
    <t>Hans Khan</t>
  </si>
  <si>
    <t>ORD-11729</t>
  </si>
  <si>
    <t>ORD-11916</t>
  </si>
  <si>
    <t>ORD-10328</t>
  </si>
  <si>
    <t>Ivan Sharma</t>
  </si>
  <si>
    <t>ORD-10583</t>
  </si>
  <si>
    <t>Christopher Ahmed</t>
  </si>
  <si>
    <t>ORD-10482</t>
  </si>
  <si>
    <t>Hanna Nilsson</t>
  </si>
  <si>
    <t>ORD-10685</t>
  </si>
  <si>
    <t>William Zhang</t>
  </si>
  <si>
    <t>ORD-10946</t>
  </si>
  <si>
    <t>Liam White</t>
  </si>
  <si>
    <t>ORD-11954</t>
  </si>
  <si>
    <t>Kenji Yamamoto</t>
  </si>
  <si>
    <t>ORD-10492</t>
  </si>
  <si>
    <t>ORD-10851</t>
  </si>
  <si>
    <t>Emma Martin</t>
  </si>
  <si>
    <t>ORD-11521</t>
  </si>
  <si>
    <t>Michael Miller</t>
  </si>
  <si>
    <t>ORD-11571</t>
  </si>
  <si>
    <t>Olivia Clark</t>
  </si>
  <si>
    <t>ORD-11528</t>
  </si>
  <si>
    <t>Noah Nilsson</t>
  </si>
  <si>
    <t>ORD-10122</t>
  </si>
  <si>
    <t>William Khan</t>
  </si>
  <si>
    <t>ORD-10612</t>
  </si>
  <si>
    <t>Ingrid Romano</t>
  </si>
  <si>
    <t>ORD-10163</t>
  </si>
  <si>
    <t>ORD-10406</t>
  </si>
  <si>
    <t>Barbara Fischer</t>
  </si>
  <si>
    <t>ORD-10507</t>
  </si>
  <si>
    <t>ORD-11235</t>
  </si>
  <si>
    <t>Ayumi Zhang</t>
  </si>
  <si>
    <t>ORD-10194</t>
  </si>
  <si>
    <t>Patricia Zhang</t>
  </si>
  <si>
    <t>ORD-10206</t>
  </si>
  <si>
    <t>Ava Oliveira</t>
  </si>
  <si>
    <t>ORD-10209</t>
  </si>
  <si>
    <t>ORD-10762</t>
  </si>
  <si>
    <t>ORD-10390</t>
  </si>
  <si>
    <t>Layla Chen</t>
  </si>
  <si>
    <t>ORD-10534</t>
  </si>
  <si>
    <t>Thomas Weber</t>
  </si>
  <si>
    <t>ORD-11645</t>
  </si>
  <si>
    <t>ORD-11536</t>
  </si>
  <si>
    <t>Linda Wang</t>
  </si>
  <si>
    <t>ORD-11725</t>
  </si>
  <si>
    <t>ORD-10181</t>
  </si>
  <si>
    <t>ORD-10423</t>
  </si>
  <si>
    <t>Amina Tanaka</t>
  </si>
  <si>
    <t>ORD-10784</t>
  </si>
  <si>
    <t>Christopher Hassan</t>
  </si>
  <si>
    <t>ORD-11616</t>
  </si>
  <si>
    <t>Sarah Hassan</t>
  </si>
  <si>
    <t>ORD-10597</t>
  </si>
  <si>
    <t>Thomas Brown</t>
  </si>
  <si>
    <t>ORD-10974</t>
  </si>
  <si>
    <t>ORD-11013</t>
  </si>
  <si>
    <t>ORD-11486</t>
  </si>
  <si>
    <t>ORD-10622</t>
  </si>
  <si>
    <t>ORD-11736</t>
  </si>
  <si>
    <t>ORD-11844</t>
  </si>
  <si>
    <t>Linda Johnson</t>
  </si>
  <si>
    <t>ORD-11985</t>
  </si>
  <si>
    <t>Richard Leroy</t>
  </si>
  <si>
    <t>ORD-10777</t>
  </si>
  <si>
    <t>ORD-11116</t>
  </si>
  <si>
    <t>Mia Brown</t>
  </si>
  <si>
    <t>ORD-10270</t>
  </si>
  <si>
    <t>Ahmed Weber</t>
  </si>
  <si>
    <t>ORD-11392</t>
  </si>
  <si>
    <t>Diego Li</t>
  </si>
  <si>
    <t>ORD-11662</t>
  </si>
  <si>
    <t>Jennifer Thompson</t>
  </si>
  <si>
    <t>ORD-11722</t>
  </si>
  <si>
    <t>ORD-11050</t>
  </si>
  <si>
    <t>ORD-11800</t>
  </si>
  <si>
    <t>Ethan Jones</t>
  </si>
  <si>
    <t>ORD-10304</t>
  </si>
  <si>
    <t>ORD-10428</t>
  </si>
  <si>
    <t>Felix Patel</t>
  </si>
  <si>
    <t>ORD-11134</t>
  </si>
  <si>
    <t>ORD-11313</t>
  </si>
  <si>
    <t>Clara Moreau</t>
  </si>
  <si>
    <t>ORD-11243</t>
  </si>
  <si>
    <t>Isabella Russo</t>
  </si>
  <si>
    <t>ORD-11097</t>
  </si>
  <si>
    <t>ORD-11105</t>
  </si>
  <si>
    <t>Diego Suzuki</t>
  </si>
  <si>
    <t>ORD-11878</t>
  </si>
  <si>
    <t>Sophie Chen</t>
  </si>
  <si>
    <t>ORD-10357</t>
  </si>
  <si>
    <t>ORD-11377</t>
  </si>
  <si>
    <t>Giulia MÃ¼ller</t>
  </si>
  <si>
    <t>ORD-10617</t>
  </si>
  <si>
    <t>Yuki Suzuki</t>
  </si>
  <si>
    <t>ORD-10797</t>
  </si>
  <si>
    <t>ORD-10886</t>
  </si>
  <si>
    <t>ORD-11185</t>
  </si>
  <si>
    <t>William Garcia</t>
  </si>
  <si>
    <t>ORD-11382</t>
  </si>
  <si>
    <t>Ivan Santos</t>
  </si>
  <si>
    <t>ORD-10870</t>
  </si>
  <si>
    <t>Emma Jones</t>
  </si>
  <si>
    <t>ORD-10535</t>
  </si>
  <si>
    <t>Liam Zhang</t>
  </si>
  <si>
    <t>ORD-10570</t>
  </si>
  <si>
    <t>Felix Pereira</t>
  </si>
  <si>
    <t>ORD-11320</t>
  </si>
  <si>
    <t>ORD-10735</t>
  </si>
  <si>
    <t>Ali Yamamoto</t>
  </si>
  <si>
    <t>ORD-10200</t>
  </si>
  <si>
    <t>ORD-10776</t>
  </si>
  <si>
    <t>Karen Yamamoto</t>
  </si>
  <si>
    <t>ORD-11022</t>
  </si>
  <si>
    <t>Amina Anderson</t>
  </si>
  <si>
    <t>ORD-10033</t>
  </si>
  <si>
    <t>Olga Johansson</t>
  </si>
  <si>
    <t>ORD-11875</t>
  </si>
  <si>
    <t>David Kumar</t>
  </si>
  <si>
    <t>ORD-11958</t>
  </si>
  <si>
    <t>Susan Harris</t>
  </si>
  <si>
    <t>ORD-10564</t>
  </si>
  <si>
    <t>Christopher Chen</t>
  </si>
  <si>
    <t>ORD-10630</t>
  </si>
  <si>
    <t>Carlos Jackson</t>
  </si>
  <si>
    <t>ORD-10639</t>
  </si>
  <si>
    <t>Hans Ferrari</t>
  </si>
  <si>
    <t>ORD-11585</t>
  </si>
  <si>
    <t>Clara Martinez</t>
  </si>
  <si>
    <t>ORD-11963</t>
  </si>
  <si>
    <t>ORD-10522</t>
  </si>
  <si>
    <t>ORD-11032</t>
  </si>
  <si>
    <t>ORD-11425</t>
  </si>
  <si>
    <t>ORD-11602</t>
  </si>
  <si>
    <t>ORD-11865</t>
  </si>
  <si>
    <t>Olga Yamamoto</t>
  </si>
  <si>
    <t>ORD-11907</t>
  </si>
  <si>
    <t>Nadia Thomas</t>
  </si>
  <si>
    <t>ORD-10232</t>
  </si>
  <si>
    <t>ORD-10829</t>
  </si>
  <si>
    <t>ORD-10914</t>
  </si>
  <si>
    <t>ORD-10656</t>
  </si>
  <si>
    <t>ORD-11872</t>
  </si>
  <si>
    <t>Noah Tanaka</t>
  </si>
  <si>
    <t>ORD-10834</t>
  </si>
  <si>
    <t>Chen Khan</t>
  </si>
  <si>
    <t>ORD-11775</t>
  </si>
  <si>
    <t>Ayumi Romano</t>
  </si>
  <si>
    <t>ORD-10479</t>
  </si>
  <si>
    <t>Joseph Clark</t>
  </si>
  <si>
    <t>ORD-10161</t>
  </si>
  <si>
    <t>ORD-10596</t>
  </si>
  <si>
    <t>Elizabeth Park</t>
  </si>
  <si>
    <t>ORD-11574</t>
  </si>
  <si>
    <t>ORD-10859</t>
  </si>
  <si>
    <t>ORD-10285</t>
  </si>
  <si>
    <t>ORD-10995</t>
  </si>
  <si>
    <t>Olivia Schmidt</t>
  </si>
  <si>
    <t>ORD-11291</t>
  </si>
  <si>
    <t>ORD-11983</t>
  </si>
  <si>
    <t>Clara Sharma</t>
  </si>
  <si>
    <t>ORD-10553</t>
  </si>
  <si>
    <t>Hanna Fischer</t>
  </si>
  <si>
    <t>ORD-11640</t>
  </si>
  <si>
    <t>ORD-10101</t>
  </si>
  <si>
    <t>ORD-11004</t>
  </si>
  <si>
    <t>Marco Ferrari</t>
  </si>
  <si>
    <t>ORD-11114</t>
  </si>
  <si>
    <t>Sakura Kim</t>
  </si>
  <si>
    <t>ORD-11388</t>
  </si>
  <si>
    <t>Chen Ali</t>
  </si>
  <si>
    <t>ORD-10526</t>
  </si>
  <si>
    <t>ORD-10740</t>
  </si>
  <si>
    <t>ORD-11305</t>
  </si>
  <si>
    <t>Clara Martin</t>
  </si>
  <si>
    <t>ORD-11937</t>
  </si>
  <si>
    <t>Carlos Tanaka</t>
  </si>
  <si>
    <t>ORD-10959</t>
  </si>
  <si>
    <t>Ethan Thomas</t>
  </si>
  <si>
    <t>ORD-11527</t>
  </si>
  <si>
    <t>Elizabeth Santos</t>
  </si>
  <si>
    <t>ORD-10192</t>
  </si>
  <si>
    <t>Wei Laurent</t>
  </si>
  <si>
    <t>ORD-10465</t>
  </si>
  <si>
    <t>ORD-10782</t>
  </si>
  <si>
    <t>ORD-11016</t>
  </si>
  <si>
    <t>ORD-11150</t>
  </si>
  <si>
    <t>ORD-11213</t>
  </si>
  <si>
    <t>David Nilsson</t>
  </si>
  <si>
    <t>ORD-11630</t>
  </si>
  <si>
    <t>Giulia Russo</t>
  </si>
  <si>
    <t>ORD-10089</t>
  </si>
  <si>
    <t>ORD-10598</t>
  </si>
  <si>
    <t>Ingrid Pereira</t>
  </si>
  <si>
    <t>ORD-10094</t>
  </si>
  <si>
    <t>Patricia Garcia</t>
  </si>
  <si>
    <t>ORD-11072</t>
  </si>
  <si>
    <t>Oscar Chen</t>
  </si>
  <si>
    <t>ORD-10603</t>
  </si>
  <si>
    <t>ORD-10875</t>
  </si>
  <si>
    <t>Patricia Pereira</t>
  </si>
  <si>
    <t>ORD-11516</t>
  </si>
  <si>
    <t>Michael Ahmed</t>
  </si>
  <si>
    <t>ORD-11854</t>
  </si>
  <si>
    <t>Richard Sharma</t>
  </si>
  <si>
    <t>ORD-10205</t>
  </si>
  <si>
    <t>Clara Dubois</t>
  </si>
  <si>
    <t>ORD-10334</t>
  </si>
  <si>
    <t>Ethan Santos</t>
  </si>
  <si>
    <t>ORD-10895</t>
  </si>
  <si>
    <t>Mary Anderson</t>
  </si>
  <si>
    <t>ORD-11012</t>
  </si>
  <si>
    <t>Diego Russo</t>
  </si>
  <si>
    <t>ORD-11063</t>
  </si>
  <si>
    <t>ORD-10036</t>
  </si>
  <si>
    <t>Xiao Brown</t>
  </si>
  <si>
    <t>ORD-10280</t>
  </si>
  <si>
    <t>ORD-11214</t>
  </si>
  <si>
    <t>Hanna Park</t>
  </si>
  <si>
    <t>ORD-10065</t>
  </si>
  <si>
    <t>ORD-10934</t>
  </si>
  <si>
    <t>Clara Brown</t>
  </si>
  <si>
    <t>ORD-11400</t>
  </si>
  <si>
    <t>Linda Hassan</t>
  </si>
  <si>
    <t>ORD-10115</t>
  </si>
  <si>
    <t>ORD-11977</t>
  </si>
  <si>
    <t>Li Smith</t>
  </si>
  <si>
    <t>ORD-10683</t>
  </si>
  <si>
    <t>Mia Wang</t>
  </si>
  <si>
    <t>ORD-10913</t>
  </si>
  <si>
    <t>Nadia Leroy</t>
  </si>
  <si>
    <t>ORD-11241</t>
  </si>
  <si>
    <t>ORD-11525</t>
  </si>
  <si>
    <t>ORD-11923</t>
  </si>
  <si>
    <t>ORD-10226</t>
  </si>
  <si>
    <t>Jennifer White</t>
  </si>
  <si>
    <t>ORD-10477</t>
  </si>
  <si>
    <t>Jessica Johnson</t>
  </si>
  <si>
    <t>ORD-10746</t>
  </si>
  <si>
    <t>Ivan Laurent</t>
  </si>
  <si>
    <t>ORD-11095</t>
  </si>
  <si>
    <t>ORD-11838</t>
  </si>
  <si>
    <t>Barbara Robinson</t>
  </si>
  <si>
    <t>ORD-11118</t>
  </si>
  <si>
    <t>Mia Johnson</t>
  </si>
  <si>
    <t>ORD-11439</t>
  </si>
  <si>
    <t>ORD-10770</t>
  </si>
  <si>
    <t>ORD-11176</t>
  </si>
  <si>
    <t>Carlos Thomas</t>
  </si>
  <si>
    <t>ORD-10310</t>
  </si>
  <si>
    <t>Michael Oliveira</t>
  </si>
  <si>
    <t>ORD-10397</t>
  </si>
  <si>
    <t>Yuki Robinson</t>
  </si>
  <si>
    <t>ORD-11289</t>
  </si>
  <si>
    <t>ORD-10627</t>
  </si>
  <si>
    <t>Oscar MÃ¼ller</t>
  </si>
  <si>
    <t>ORD-10410</t>
  </si>
  <si>
    <t>Karen Patel</t>
  </si>
  <si>
    <t>ORD-11465</t>
  </si>
  <si>
    <t>Kenji Santos</t>
  </si>
  <si>
    <t>ORD-11264</t>
  </si>
  <si>
    <t>Sophie Sato</t>
  </si>
  <si>
    <t>ORD-11619</t>
  </si>
  <si>
    <t>Emma Sato</t>
  </si>
  <si>
    <t>ORD-10670</t>
  </si>
  <si>
    <t>ORD-10118</t>
  </si>
  <si>
    <t>Noah Rodriguez</t>
  </si>
  <si>
    <t>ORD-11621</t>
  </si>
  <si>
    <t>ORD-10985</t>
  </si>
  <si>
    <t>ORD-11180</t>
  </si>
  <si>
    <t>Robert Thomas</t>
  </si>
  <si>
    <t>ORD-10763</t>
  </si>
  <si>
    <t>ORD-11112</t>
  </si>
  <si>
    <t>Felix Leroy</t>
  </si>
  <si>
    <t>ORD-10369</t>
  </si>
  <si>
    <t>Wei Sharma</t>
  </si>
  <si>
    <t>ORD-10800</t>
  </si>
  <si>
    <t>Kenji Williams</t>
  </si>
  <si>
    <t>ORD-11420</t>
  </si>
  <si>
    <t>ORD-11366</t>
  </si>
  <si>
    <t>Ingrid Nilsson</t>
  </si>
  <si>
    <t>ORD-10393</t>
  </si>
  <si>
    <t>ORD-11899</t>
  </si>
  <si>
    <t>Ivan Nilsson</t>
  </si>
  <si>
    <t>ORD-10028</t>
  </si>
  <si>
    <t>ORD-11669</t>
  </si>
  <si>
    <t>Amina Sharma</t>
  </si>
  <si>
    <t>ORD-10451</t>
  </si>
  <si>
    <t>ORD-10221</t>
  </si>
  <si>
    <t>James Williams</t>
  </si>
  <si>
    <t>ORD-11905</t>
  </si>
  <si>
    <t>Xiao Santos</t>
  </si>
  <si>
    <t>ORD-10781</t>
  </si>
  <si>
    <t>ORD-11354</t>
  </si>
  <si>
    <t>ORD-10287</t>
  </si>
  <si>
    <t>Hans Oliveira</t>
  </si>
  <si>
    <t>ORD-10164</t>
  </si>
  <si>
    <t>ORD-10739</t>
  </si>
  <si>
    <t>Amir Brown</t>
  </si>
  <si>
    <t>ORD-10307</t>
  </si>
  <si>
    <t>Ali Kim</t>
  </si>
  <si>
    <t>ORD-10610</t>
  </si>
  <si>
    <t>ORD-11971</t>
  </si>
  <si>
    <t>William Martin</t>
  </si>
  <si>
    <t>ORD-10458</t>
  </si>
  <si>
    <t>ORD-11140</t>
  </si>
  <si>
    <t>Jennifer Robinson</t>
  </si>
  <si>
    <t>ORD-10037</t>
  </si>
  <si>
    <t>Ivan Costa</t>
  </si>
  <si>
    <t>ORD-11894</t>
  </si>
  <si>
    <t>Elizabeth Miller</t>
  </si>
  <si>
    <t>ORD-10486</t>
  </si>
  <si>
    <t>Lucas Romano</t>
  </si>
  <si>
    <t>ORD-10351</t>
  </si>
  <si>
    <t>Fatima Johnson</t>
  </si>
  <si>
    <t>ORD-10798</t>
  </si>
  <si>
    <t>Pierre Anderson</t>
  </si>
  <si>
    <t>ORD-10965</t>
  </si>
  <si>
    <t>ORD-11990</t>
  </si>
  <si>
    <t>Jennifer Clark</t>
  </si>
  <si>
    <t>ORD-10986</t>
  </si>
  <si>
    <t>ORD-11620</t>
  </si>
  <si>
    <t>Pierre Costa</t>
  </si>
  <si>
    <t>ORD-10771</t>
  </si>
  <si>
    <t>Ayumi Singh</t>
  </si>
  <si>
    <t>ORD-11087</t>
  </si>
  <si>
    <t>ORD-11075</t>
  </si>
  <si>
    <t>Nadia Ahmed</t>
  </si>
  <si>
    <t>ORD-10053</t>
  </si>
  <si>
    <t>ORD-11086</t>
  </si>
  <si>
    <t>Amina Nilsson</t>
  </si>
  <si>
    <t>ORD-10166</t>
  </si>
  <si>
    <t>Jennifer Pereira</t>
  </si>
  <si>
    <t>ORD-10185</t>
  </si>
  <si>
    <t>ORD-10234</t>
  </si>
  <si>
    <t>Sophie Sharma</t>
  </si>
  <si>
    <t>ORD-10145</t>
  </si>
  <si>
    <t>ORD-10671</t>
  </si>
  <si>
    <t>Diego Sharma</t>
  </si>
  <si>
    <t>ORD-11794</t>
  </si>
  <si>
    <t>ORD-10111</t>
  </si>
  <si>
    <t>Sakura Nilsson</t>
  </si>
  <si>
    <t>ORD-10643</t>
  </si>
  <si>
    <t>Marco Tanaka</t>
  </si>
  <si>
    <t>ORD-11831</t>
  </si>
  <si>
    <t>ORD-10555</t>
  </si>
  <si>
    <t>Ahmed Russo</t>
  </si>
  <si>
    <t>ORD-11046</t>
  </si>
  <si>
    <t>ORD-11931</t>
  </si>
  <si>
    <t>Kenji Miller</t>
  </si>
  <si>
    <t>ORD-10133</t>
  </si>
  <si>
    <t>ORD-10282</t>
  </si>
  <si>
    <t>ORD-10290</t>
  </si>
  <si>
    <t>Isabella Smith</t>
  </si>
  <si>
    <t>ORD-10862</t>
  </si>
  <si>
    <t>Isabella Khan</t>
  </si>
  <si>
    <t>ORD-11715</t>
  </si>
  <si>
    <t>Olga Weber</t>
  </si>
  <si>
    <t>ORD-11753</t>
  </si>
  <si>
    <t>Christopher Rodriguez</t>
  </si>
  <si>
    <t>ORD-10047</t>
  </si>
  <si>
    <t>ORD-10235</t>
  </si>
  <si>
    <t>Robert Tanaka</t>
  </si>
  <si>
    <t>ORD-10386</t>
  </si>
  <si>
    <t>Amir Dubois</t>
  </si>
  <si>
    <t>ORD-10501</t>
  </si>
  <si>
    <t>Clara Hassan</t>
  </si>
  <si>
    <t>ORD-10628</t>
  </si>
  <si>
    <t>Joseph Wang</t>
  </si>
  <si>
    <t>ORD-11748</t>
  </si>
  <si>
    <t>Susan Laurent</t>
  </si>
  <si>
    <t>ORD-10536</t>
  </si>
  <si>
    <t>ORD-10653</t>
  </si>
  <si>
    <t>Amir Ferrari</t>
  </si>
  <si>
    <t>ORD-11721</t>
  </si>
  <si>
    <t>Elizabeth Zhang</t>
  </si>
  <si>
    <t>ORD-10548</t>
  </si>
  <si>
    <t>Chen Chen</t>
  </si>
  <si>
    <t>ORD-10940</t>
  </si>
  <si>
    <t>ORD-11541</t>
  </si>
  <si>
    <t>Sarah Weber</t>
  </si>
  <si>
    <t>ORD-10313</t>
  </si>
  <si>
    <t>Noah Fischer</t>
  </si>
  <si>
    <t>ORD-10319</t>
  </si>
  <si>
    <t>ORD-10269</t>
  </si>
  <si>
    <t>Chen Martinez</t>
  </si>
  <si>
    <t>ORD-10505</t>
  </si>
  <si>
    <t>Fatima Weber</t>
  </si>
  <si>
    <t>ORD-10960</t>
  </si>
  <si>
    <t>Olivia Ali</t>
  </si>
  <si>
    <t>ORD-11040</t>
  </si>
  <si>
    <t>Diego Ferrari</t>
  </si>
  <si>
    <t>ORD-10552</t>
  </si>
  <si>
    <t>ORD-10689</t>
  </si>
  <si>
    <t>Layla Sharma</t>
  </si>
  <si>
    <t>ORD-10972</t>
  </si>
  <si>
    <t>ORD-10170</t>
  </si>
  <si>
    <t>ORD-11044</t>
  </si>
  <si>
    <t>Ingrid Wang</t>
  </si>
  <si>
    <t>ORD-10850</t>
  </si>
  <si>
    <t>ORD-11071</t>
  </si>
  <si>
    <t>ORD-10195</t>
  </si>
  <si>
    <t>Maria Ahmed</t>
  </si>
  <si>
    <t>ORD-10204</t>
  </si>
  <si>
    <t>ORD-10542</t>
  </si>
  <si>
    <t>Thomas Hassan</t>
  </si>
  <si>
    <t>ORD-10368</t>
  </si>
  <si>
    <t>Yuki Miller</t>
  </si>
  <si>
    <t>ORD-11945</t>
  </si>
  <si>
    <t>Sakura Rossi</t>
  </si>
  <si>
    <t>ORD-10179</t>
  </si>
  <si>
    <t>ORD-10299</t>
  </si>
  <si>
    <t>Michael Park</t>
  </si>
  <si>
    <t>ORD-11130</t>
  </si>
  <si>
    <t>James Santos</t>
  </si>
  <si>
    <t>ORD-11984</t>
  </si>
  <si>
    <t>Linda Khan</t>
  </si>
  <si>
    <t>ORD-11703</t>
  </si>
  <si>
    <t>Zara Oliveira</t>
  </si>
  <si>
    <t>ORD-10918</t>
  </si>
  <si>
    <t>ORD-11055</t>
  </si>
  <si>
    <t>David Williams</t>
  </si>
  <si>
    <t>ORD-11567</t>
  </si>
  <si>
    <t>ORD-10649</t>
  </si>
  <si>
    <t>Wei Zhang</t>
  </si>
  <si>
    <t>ORD-10238</t>
  </si>
  <si>
    <t>ORD-10719</t>
  </si>
  <si>
    <t>Sophie Tanaka</t>
  </si>
  <si>
    <t>ORD-10890</t>
  </si>
  <si>
    <t>Olga Garcia</t>
  </si>
  <si>
    <t>ORD-11052</t>
  </si>
  <si>
    <t>Lucas Hassan</t>
  </si>
  <si>
    <t>ORD-11200</t>
  </si>
  <si>
    <t>ORD-11081</t>
  </si>
  <si>
    <t>Amir Williams</t>
  </si>
  <si>
    <t>ORD-11832</t>
  </si>
  <si>
    <t>Giulia Garcia</t>
  </si>
  <si>
    <t>ORD-10836</t>
  </si>
  <si>
    <t>ORD-10981</t>
  </si>
  <si>
    <t>Sophie Leroy</t>
  </si>
  <si>
    <t>ORD-11230</t>
  </si>
  <si>
    <t>ORD-11975</t>
  </si>
  <si>
    <t>ORD-10214</t>
  </si>
  <si>
    <t>Felix Robinson</t>
  </si>
  <si>
    <t>ORD-11024</t>
  </si>
  <si>
    <t>Zara Wang</t>
  </si>
  <si>
    <t>ORD-11096</t>
  </si>
  <si>
    <t>ORD-11285</t>
  </si>
  <si>
    <t>ORD-10068</t>
  </si>
  <si>
    <t>Amir Tanaka</t>
  </si>
  <si>
    <t>ORD-10099</t>
  </si>
  <si>
    <t>ORD-10284</t>
  </si>
  <si>
    <t>Michael Smith</t>
  </si>
  <si>
    <t>ORD-10930</t>
  </si>
  <si>
    <t>ORD-11283</t>
  </si>
  <si>
    <t>ORD-11051</t>
  </si>
  <si>
    <t>Jennifer Dubois</t>
  </si>
  <si>
    <t>ORD-11201</t>
  </si>
  <si>
    <t>Elizabeth Garcia</t>
  </si>
  <si>
    <t>ORD-11266</t>
  </si>
  <si>
    <t>ORD-11360</t>
  </si>
  <si>
    <t>ORD-11842</t>
  </si>
  <si>
    <t>ORD-10097</t>
  </si>
  <si>
    <t>ORD-11482</t>
  </si>
  <si>
    <t>ORD-11752</t>
  </si>
  <si>
    <t>Ahmed Rodriguez</t>
  </si>
  <si>
    <t>ORD-10502</t>
  </si>
  <si>
    <t>ORD-11192</t>
  </si>
  <si>
    <t>Giulia Oliveira</t>
  </si>
  <si>
    <t>ORD-11691</t>
  </si>
  <si>
    <t>ORD-10733</t>
  </si>
  <si>
    <t>Mary Martinez</t>
  </si>
  <si>
    <t>ORD-10809</t>
  </si>
  <si>
    <t>William Rodriguez</t>
  </si>
  <si>
    <t>ORD-10125</t>
  </si>
  <si>
    <t>Priya Harris</t>
  </si>
  <si>
    <t>ORD-10743</t>
  </si>
  <si>
    <t>Liam Smith</t>
  </si>
  <si>
    <t>ORD-10175</t>
  </si>
  <si>
    <t>Jamal Brown</t>
  </si>
  <si>
    <t>ORD-11232</t>
  </si>
  <si>
    <t>Felix Fischer</t>
  </si>
  <si>
    <t>ORD-10431</t>
  </si>
  <si>
    <t>ORD-10729</t>
  </si>
  <si>
    <t>Layla Smith</t>
  </si>
  <si>
    <t>ORD-11215</t>
  </si>
  <si>
    <t>ORD-11197</t>
  </si>
  <si>
    <t>ORD-10216</t>
  </si>
  <si>
    <t>Jennifer Brown</t>
  </si>
  <si>
    <t>ORD-10731</t>
  </si>
  <si>
    <t>Ingrid Jackson</t>
  </si>
  <si>
    <t>ORD-10251</t>
  </si>
  <si>
    <t>ORD-11679</t>
  </si>
  <si>
    <t>ORD-10019</t>
  </si>
  <si>
    <t>Linda Zhang</t>
  </si>
  <si>
    <t>ORD-11773</t>
  </si>
  <si>
    <t>Christopher White</t>
  </si>
  <si>
    <t>ORD-11593</t>
  </si>
  <si>
    <t>ORD-11605</t>
  </si>
  <si>
    <t>ORD-11010</t>
  </si>
  <si>
    <t>Robert Russo</t>
  </si>
  <si>
    <t>ORD-11334</t>
  </si>
  <si>
    <t>Layla Rodriguez</t>
  </si>
  <si>
    <t>ORD-11646</t>
  </si>
  <si>
    <t>ORD-11500</t>
  </si>
  <si>
    <t>ORD-11531</t>
  </si>
  <si>
    <t>Wei White</t>
  </si>
  <si>
    <t>ORD-11972</t>
  </si>
  <si>
    <t>Emma Miller</t>
  </si>
  <si>
    <t>ORD-10566</t>
  </si>
  <si>
    <t>Giulia Harris</t>
  </si>
  <si>
    <t>ORD-11915</t>
  </si>
  <si>
    <t>ORD-11125</t>
  </si>
  <si>
    <t>ORD-11490</t>
  </si>
  <si>
    <t>Wei Jackson</t>
  </si>
  <si>
    <t>ORD-11608</t>
  </si>
  <si>
    <t>Isabella Sato</t>
  </si>
  <si>
    <t>ORD-11119</t>
  </si>
  <si>
    <t>ORD-11743</t>
  </si>
  <si>
    <t>Xiao Jackson</t>
  </si>
  <si>
    <t>ORD-10858</t>
  </si>
  <si>
    <t>Hans Sato</t>
  </si>
  <si>
    <t>ORD-11256</t>
  </si>
  <si>
    <t>Ivan Sato</t>
  </si>
  <si>
    <t>ORD-11940</t>
  </si>
  <si>
    <t>Hanna Hassan</t>
  </si>
  <si>
    <t>ORD-11987</t>
  </si>
  <si>
    <t>Hanna Ferrari</t>
  </si>
  <si>
    <t>ORD-11474</t>
  </si>
  <si>
    <t>ORD-10971</t>
  </si>
  <si>
    <t>ORD-11413</t>
  </si>
  <si>
    <t>Mary Rossi</t>
  </si>
  <si>
    <t>ORD-11492</t>
  </si>
  <si>
    <t>Hans Wang</t>
  </si>
  <si>
    <t>ORD-11741</t>
  </si>
  <si>
    <t>William Ali</t>
  </si>
  <si>
    <t>ORD-10139</t>
  </si>
  <si>
    <t>Olivia Leroy</t>
  </si>
  <si>
    <t>ORD-11028</t>
  </si>
  <si>
    <t>ORD-11543</t>
  </si>
  <si>
    <t>James Rossi</t>
  </si>
  <si>
    <t>ORD-11674</t>
  </si>
  <si>
    <t>ORD-11926</t>
  </si>
  <si>
    <t>Susan Yamamoto</t>
  </si>
  <si>
    <t>ORD-10839</t>
  </si>
  <si>
    <t>ORD-11556</t>
  </si>
  <si>
    <t>ORD-11145</t>
  </si>
  <si>
    <t>ORD-11348</t>
  </si>
  <si>
    <t>Liam Sharma</t>
  </si>
  <si>
    <t>ORD-11970</t>
  </si>
  <si>
    <t>Sophie Zhang</t>
  </si>
  <si>
    <t>ORD-10831</t>
  </si>
  <si>
    <t>ORD-10565</t>
  </si>
  <si>
    <t>ORD-10678</t>
  </si>
  <si>
    <t>ORD-10758</t>
  </si>
  <si>
    <t>Jessica Thomas</t>
  </si>
  <si>
    <t>ORD-11787</t>
  </si>
  <si>
    <t>ORD-10086</t>
  </si>
  <si>
    <t>Joseph Zhang</t>
  </si>
  <si>
    <t>ORD-10682</t>
  </si>
  <si>
    <t>Clara Fischer</t>
  </si>
  <si>
    <t>ORD-11102</t>
  </si>
  <si>
    <t>William Sato</t>
  </si>
  <si>
    <t>ORD-11407</t>
  </si>
  <si>
    <t>Emma Thompson</t>
  </si>
  <si>
    <t>ORD-10303</t>
  </si>
  <si>
    <t>Diego Williams</t>
  </si>
  <si>
    <t>ORD-10773</t>
  </si>
  <si>
    <t>Susan Ali</t>
  </si>
  <si>
    <t>ORD-10902</t>
  </si>
  <si>
    <t>ORD-11222</t>
  </si>
  <si>
    <t>ORD-10062</t>
  </si>
  <si>
    <t>Liam Martin</t>
  </si>
  <si>
    <t>ORD-11274</t>
  </si>
  <si>
    <t>Kenji Hassan</t>
  </si>
  <si>
    <t>ORD-11131</t>
  </si>
  <si>
    <t>ORD-11367</t>
  </si>
  <si>
    <t>Jamal Park</t>
  </si>
  <si>
    <t>ORD-11896</t>
  </si>
  <si>
    <t>Noah Thomas</t>
  </si>
  <si>
    <t>ORD-10749</t>
  </si>
  <si>
    <t>ORD-10414</t>
  </si>
  <si>
    <t>ORD-10921</t>
  </si>
  <si>
    <t>Christopher Romano</t>
  </si>
  <si>
    <t>ORD-11805</t>
  </si>
  <si>
    <t>Joseph Martin</t>
  </si>
  <si>
    <t>ORD-10013</t>
  </si>
  <si>
    <t>Layla Yamamoto</t>
  </si>
  <si>
    <t>ORD-10333</t>
  </si>
  <si>
    <t>ORD-11183</t>
  </si>
  <si>
    <t>Sarah Nilsson</t>
  </si>
  <si>
    <t>ORD-11710</t>
  </si>
  <si>
    <t>Felix Singh</t>
  </si>
  <si>
    <t>ORD-10130</t>
  </si>
  <si>
    <t>ORD-10593</t>
  </si>
  <si>
    <t>ORD-10060</t>
  </si>
  <si>
    <t>ORD-10190</t>
  </si>
  <si>
    <t>Olga Miller</t>
  </si>
  <si>
    <t>ORD-11163</t>
  </si>
  <si>
    <t>Jessica Pereira</t>
  </si>
  <si>
    <t>ORD-10933</t>
  </si>
  <si>
    <t>Raj White</t>
  </si>
  <si>
    <t>ORD-11172</t>
  </si>
  <si>
    <t>ORD-10957</t>
  </si>
  <si>
    <t>Omar Ali</t>
  </si>
  <si>
    <t>ORD-11123</t>
  </si>
  <si>
    <t>Emma Laurent</t>
  </si>
  <si>
    <t>ORD-11889</t>
  </si>
  <si>
    <t>Mary Yamamoto</t>
  </si>
  <si>
    <t>ORD-10472</t>
  </si>
  <si>
    <t>ORD-11151</t>
  </si>
  <si>
    <t>James Khan</t>
  </si>
  <si>
    <t>ORD-11843</t>
  </si>
  <si>
    <t>ORD-11927</t>
  </si>
  <si>
    <t>Pierre Suzuki</t>
  </si>
  <si>
    <t>ORD-11648</t>
  </si>
  <si>
    <t>Lucas Clark</t>
  </si>
  <si>
    <t>ORD-10518</t>
  </si>
  <si>
    <t>ORD-11251</t>
  </si>
  <si>
    <t>Joseph Fischer</t>
  </si>
  <si>
    <t>ORD-10327</t>
  </si>
  <si>
    <t>ORD-10572</t>
  </si>
  <si>
    <t>Oscar Davis</t>
  </si>
  <si>
    <t>ORD-10864</t>
  </si>
  <si>
    <t>ORD-11604</t>
  </si>
  <si>
    <t>Mary Jackson</t>
  </si>
  <si>
    <t>ORD-11933</t>
  </si>
  <si>
    <t>Maria Martin</t>
  </si>
  <si>
    <t>ORD-10276</t>
  </si>
  <si>
    <t>ORD-10353</t>
  </si>
  <si>
    <t>ORD-11374</t>
  </si>
  <si>
    <t>Robert Martinez</t>
  </si>
  <si>
    <t>ORD-11779</t>
  </si>
  <si>
    <t>Richard Martinez</t>
  </si>
  <si>
    <t>ORD-10352</t>
  </si>
  <si>
    <t>ORD-11596</t>
  </si>
  <si>
    <t>ORD-10173</t>
  </si>
  <si>
    <t>ORD-10272</t>
  </si>
  <si>
    <t>ORD-10888</t>
  </si>
  <si>
    <t>ORD-11404</t>
  </si>
  <si>
    <t>Karen Garcia</t>
  </si>
  <si>
    <t>ORD-11693</t>
  </si>
  <si>
    <t>ORD-10922</t>
  </si>
  <si>
    <t>Mia Tanaka</t>
  </si>
  <si>
    <t>ORD-10963</t>
  </si>
  <si>
    <t>Ava Laurent</t>
  </si>
  <si>
    <t>ORD-10155</t>
  </si>
  <si>
    <t>Li Kim</t>
  </si>
  <si>
    <t>ORD-11255</t>
  </si>
  <si>
    <t>Amina Smith</t>
  </si>
  <si>
    <t>ORD-10096</t>
  </si>
  <si>
    <t>ORD-10760</t>
  </si>
  <si>
    <t>ORD-11898</t>
  </si>
  <si>
    <t>Xiao Johansson</t>
  </si>
  <si>
    <t>ORD-10723</t>
  </si>
  <si>
    <t>Hanna Martinez</t>
  </si>
  <si>
    <t>ORD-10943</t>
  </si>
  <si>
    <t>ORD-11342</t>
  </si>
  <si>
    <t>Nadia Nilsson</t>
  </si>
  <si>
    <t>ORD-10142</t>
  </si>
  <si>
    <t>Ingrid Li</t>
  </si>
  <si>
    <t>ORD-10186</t>
  </si>
  <si>
    <t>Sophie Khan</t>
  </si>
  <si>
    <t>ORD-11009</t>
  </si>
  <si>
    <t>Kenji Johnson</t>
  </si>
  <si>
    <t>ORD-11254</t>
  </si>
  <si>
    <t>Barbara Williams</t>
  </si>
  <si>
    <t>ORD-11692</t>
  </si>
  <si>
    <t>Ingrid Suzuki</t>
  </si>
  <si>
    <t>ORD-10268</t>
  </si>
  <si>
    <t>ORD-11168</t>
  </si>
  <si>
    <t>Pierre Robinson</t>
  </si>
  <si>
    <t>ORD-10378</t>
  </si>
  <si>
    <t>ORD-11034</t>
  </si>
  <si>
    <t>Ali Jackson</t>
  </si>
  <si>
    <t>ORD-10077</t>
  </si>
  <si>
    <t>ORD-10938</t>
  </si>
  <si>
    <t>Kenji Harris</t>
  </si>
  <si>
    <t>ORD-11286</t>
  </si>
  <si>
    <t>Robert Sato</t>
  </si>
  <si>
    <t>ORD-11409</t>
  </si>
  <si>
    <t>Chen Taylor</t>
  </si>
  <si>
    <t>ORD-11612</t>
  </si>
  <si>
    <t>Xiao Davis</t>
  </si>
  <si>
    <t>ORD-10577</t>
  </si>
  <si>
    <t>ORD-11570</t>
  </si>
  <si>
    <t>Isabella Thomas</t>
  </si>
  <si>
    <t>ORD-10592</t>
  </si>
  <si>
    <t>ORD-10419</t>
  </si>
  <si>
    <t>Ayumi Russo</t>
  </si>
  <si>
    <t>ORD-10766</t>
  </si>
  <si>
    <t>ORD-10372</t>
  </si>
  <si>
    <t>Maria Leroy</t>
  </si>
  <si>
    <t>ORD-10675</t>
  </si>
  <si>
    <t>ORD-10188</t>
  </si>
  <si>
    <t>Elizabeth MÃ¼ller</t>
  </si>
  <si>
    <t>ORD-11353</t>
  </si>
  <si>
    <t>ORD-11814</t>
  </si>
  <si>
    <t>Jennifer Oliveira</t>
  </si>
  <si>
    <t>ORD-10823</t>
  </si>
  <si>
    <t>Linda Nilsson</t>
  </si>
  <si>
    <t>ORD-10896</t>
  </si>
  <si>
    <t>Ayumi Dubois</t>
  </si>
  <si>
    <t>ORD-11148</t>
  </si>
  <si>
    <t>ORD-11519</t>
  </si>
  <si>
    <t>ORD-11701</t>
  </si>
  <si>
    <t>Susan Russo</t>
  </si>
  <si>
    <t>Sales Before Discount</t>
  </si>
  <si>
    <t>Profit Margin %</t>
  </si>
  <si>
    <t>Orders Values</t>
  </si>
  <si>
    <t>Row Labels</t>
  </si>
  <si>
    <t>Grand Total</t>
  </si>
  <si>
    <t>Sum of Total_Sales</t>
  </si>
  <si>
    <t>Sum of Profit</t>
  </si>
  <si>
    <t>2023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</si>
  <si>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</si>
  <si>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</si>
  <si>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</si>
  <si>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</si>
  <si>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</si>
  <si>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</si>
  <si>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</si>
  <si>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</si>
  <si>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</si>
  <si>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</si>
  <si>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</si>
  <si>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</si>
  <si>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</si>
  <si>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</si>
  <si>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</si>
  <si>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</si>
  <si>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2024</t>
  </si>
  <si>
    <t>2025</t>
  </si>
  <si>
    <t>GLOBAL E-COMMERCE SALES DASHBOARD</t>
  </si>
  <si>
    <t>TOTAL SALES</t>
  </si>
  <si>
    <t>TOTAL PROFIT</t>
  </si>
  <si>
    <t>TOTAL ORDERS</t>
  </si>
  <si>
    <t>TOTAL CUSTOMERS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</si>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</sst>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33" borderId="10" xfId="0" applyFont="1" applyFill="1" applyBorder="1"/>
    <xf numFmtId="0" fontId="0" fillId="0" borderId="10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4" fontId="0" fillId="0" borderId="17" xfId="0" applyNumberFormat="1" applyBorder="1"/>
    <xf numFmtId="0" fontId="0" fillId="0" borderId="17" xfId="0" applyBorder="1"/>
    <xf numFmtId="0" fontId="0" fillId="0" borderId="18" xfId="0" applyBorder="1"/>
    <xf numFmtId="0" fontId="0" fillId="0" borderId="0" xfId="0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  <xf numFmtId="0" fontId="0" fillId="0" borderId="0" xfId="0" applyAlignment="1"/>
    <xf numFmtId="1" fontId="0" fillId="0" borderId="0" xfId="0" applyNumberFormat="1" applyAlignment="1">
      <alignment horizontal="center"/>
    </xf>
    <xf numFmtId="0" fontId="19" fillId="0" borderId="0" xfId="0" applyFont="1" applyAlignment="1">
      <alignment horizontal="center"/>
    </xf>
    <xf numFmtId="2" fontId="0" fillId="0" borderId="0" xfId="0" applyNumberFormat="1"/>
    <xf numFmtId="0" fontId="20" fillId="35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21" fillId="37" borderId="10" xfId="0" applyFont="1" applyFill="1" applyBorder="1" applyAlignment="1">
      <alignment horizontal="center"/>
    </xf>
    <xf numFmtId="1" fontId="13" fillId="37" borderId="10" xfId="0" applyNumberFormat="1" applyFont="1" applyFill="1" applyBorder="1" applyAlignment="1">
      <alignment horizontal="center"/>
    </xf>
    <xf numFmtId="0" fontId="22" fillId="38" borderId="10" xfId="0" applyFont="1" applyFill="1" applyBorder="1" applyAlignment="1">
      <alignment horizontal="center"/>
    </xf>
    <xf numFmtId="1" fontId="23" fillId="38" borderId="10" xfId="0" applyNumberFormat="1" applyFont="1" applyFill="1" applyBorder="1" applyAlignment="1">
      <alignment horizontal="center"/>
    </xf>
    <xf numFmtId="0" fontId="13" fillId="39" borderId="10" xfId="0" applyFont="1" applyFill="1" applyBorder="1"/>
    <xf numFmtId="0" fontId="13" fillId="39" borderId="10" xfId="0" applyFont="1" applyFill="1" applyBorder="1" applyAlignment="1">
      <alignment horizontal="center"/>
    </xf>
    <xf numFmtId="0" fontId="16" fillId="40" borderId="10" xfId="0" applyFont="1" applyFill="1" applyBorder="1"/>
    <xf numFmtId="0" fontId="16" fillId="40" borderId="10" xfId="0" applyFont="1" applyFill="1" applyBorder="1" applyAlignment="1">
      <alignment horizontal="center"/>
    </xf>
    <xf numFmtId="0" fontId="13" fillId="36" borderId="10" xfId="0" applyFont="1" applyFill="1" applyBorder="1"/>
    <xf numFmtId="0" fontId="13" fillId="36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0">
    <dxf>
      <numFmt numFmtId="2" formatCode="0.00"/>
    </dxf>
    <dxf>
      <numFmt numFmtId="164" formatCode="0.0"/>
    </dxf>
    <dxf>
      <numFmt numFmtId="1" formatCode="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" formatCode="0"/>
    </dxf>
    <dxf>
      <numFmt numFmtId="164" formatCode="0.0"/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[Global_Ecommerce_Sales.xlsx]Pivot_Region!PivotTable1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Pivot_Region!$A$3:$A$8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Asia Pacific</c:v>
                </c:pt>
                <c:pt idx="3">
                  <c:v>South America</c:v>
                </c:pt>
                <c:pt idx="4">
                  <c:v>Middle East &amp; Africa</c:v>
                </c:pt>
              </c:strCache>
            </c:strRef>
          </c:cat>
          <c:val>
            <c:numRef>
              <c:f>Pivot_Region!$B$3:$B$8</c:f>
              <c:numCache>
                <c:formatCode>0</c:formatCode>
                <c:ptCount val="5"/>
                <c:pt idx="0">
                  <c:v>137006.19999999998</c:v>
                </c:pt>
                <c:pt idx="1">
                  <c:v>133876.37999999986</c:v>
                </c:pt>
                <c:pt idx="2">
                  <c:v>121707.51000000013</c:v>
                </c:pt>
                <c:pt idx="3">
                  <c:v>46051.12999999999</c:v>
                </c:pt>
                <c:pt idx="4">
                  <c:v>45918.119999999988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E-4A8A-BE73-955D632AB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0007919"/>
        <c:axId val="1400009167"/>
      </c:barChart>
      <c:catAx>
        <c:axId val="140000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009167"/>
        <c:crosses val="autoZero"/>
        <c:auto val="1"/>
        <c:lblAlgn val="ctr"/>
        <c:lblOffset val="100"/>
        <c:noMultiLvlLbl val="0"/>
      </c:catAx>
      <c:valAx>
        <c:axId val="140000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00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[Global_Ecommerce_Sales.xlsx]Pivot_Catogory!PivotTable2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 By Category</a:t>
            </a:r>
          </a:p>
        </c:rich>
      </c:tx>
      <c:layout>
        <c:manualLayout>
          <c:xMode val="edge"/>
          <c:yMode val="edge"/>
          <c:x val="0.55430555555555561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Pivot_Catogory!$B$2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Pivot_Catogory!$A$3:$A$7</c:f>
              <c:strCache>
                <c:ptCount val="4"/>
                <c:pt idx="0">
                  <c:v>Furniture</c:v>
                </c:pt>
                <c:pt idx="1">
                  <c:v>Technology</c:v>
                </c:pt>
                <c:pt idx="2">
                  <c:v>Clothing &amp; Accessories</c:v>
                </c:pt>
                <c:pt idx="3">
                  <c:v>Office Supplies</c:v>
                </c:pt>
              </c:strCache>
            </c:strRef>
          </c:cat>
          <c:val>
            <c:numRef>
              <c:f>Pivot_Catogory!$B$3:$B$7</c:f>
              <c:numCache>
                <c:formatCode>0</c:formatCode>
                <c:ptCount val="4"/>
                <c:pt idx="0">
                  <c:v>81171.570000000051</c:v>
                </c:pt>
                <c:pt idx="1">
                  <c:v>48268.650000000038</c:v>
                </c:pt>
                <c:pt idx="2">
                  <c:v>26112.940000000006</c:v>
                </c:pt>
                <c:pt idx="3">
                  <c:v>3319.1599999999953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A-4E0A-967C-104CC06D0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3888863"/>
        <c:axId val="1493889695"/>
      </c:barChart>
      <c:catAx>
        <c:axId val="1493888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889695"/>
        <c:crosses val="autoZero"/>
        <c:auto val="1"/>
        <c:lblAlgn val="ctr"/>
        <c:lblOffset val="100"/>
        <c:noMultiLvlLbl val="0"/>
      </c:catAx>
      <c:valAx>
        <c:axId val="149388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88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[Global_Ecommerce_Sales.xlsx]Pivot_Monthly!PivotTable3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Monthly Sales Trend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Pivot_Monthly!$A$3:$A$54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  <c:pt idx="30">
                    <c:v>Qtr3</c:v>
                  </c:pt>
                  <c:pt idx="33">
                    <c:v>Qtr4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Pivot_Monthly!$B$3:$B$54</c:f>
              <c:numCache>
                <c:formatCode>0</c:formatCode>
                <c:ptCount val="36"/>
                <c:pt idx="0">
                  <c:v>3573.0100000000007</c:v>
                </c:pt>
                <c:pt idx="1">
                  <c:v>5980.0600000000022</c:v>
                </c:pt>
                <c:pt idx="2">
                  <c:v>5718.77</c:v>
                </c:pt>
                <c:pt idx="3">
                  <c:v>3994.2500000000009</c:v>
                </c:pt>
                <c:pt idx="4">
                  <c:v>2591.8599999999997</c:v>
                </c:pt>
                <c:pt idx="5">
                  <c:v>5240.3400000000011</c:v>
                </c:pt>
                <c:pt idx="6">
                  <c:v>5195.9700000000021</c:v>
                </c:pt>
                <c:pt idx="7">
                  <c:v>4216.3200000000024</c:v>
                </c:pt>
                <c:pt idx="8">
                  <c:v>3577.0000000000005</c:v>
                </c:pt>
                <c:pt idx="9">
                  <c:v>5573.0500000000011</c:v>
                </c:pt>
                <c:pt idx="10">
                  <c:v>2469.77</c:v>
                </c:pt>
                <c:pt idx="11">
                  <c:v>5023.34</c:v>
                </c:pt>
                <c:pt idx="12">
                  <c:v>2490.1399999999994</c:v>
                </c:pt>
                <c:pt idx="13">
                  <c:v>4131.2599999999984</c:v>
                </c:pt>
                <c:pt idx="14">
                  <c:v>3583.3099999999995</c:v>
                </c:pt>
                <c:pt idx="15">
                  <c:v>4900.6500000000005</c:v>
                </c:pt>
                <c:pt idx="16">
                  <c:v>5909.2999999999993</c:v>
                </c:pt>
                <c:pt idx="17">
                  <c:v>3051.84</c:v>
                </c:pt>
                <c:pt idx="18">
                  <c:v>5137.37</c:v>
                </c:pt>
                <c:pt idx="19">
                  <c:v>3198.940000000001</c:v>
                </c:pt>
                <c:pt idx="20">
                  <c:v>3094.8400000000006</c:v>
                </c:pt>
                <c:pt idx="21">
                  <c:v>5443.33</c:v>
                </c:pt>
                <c:pt idx="22">
                  <c:v>5630.7800000000016</c:v>
                </c:pt>
                <c:pt idx="23">
                  <c:v>5044.3499999999995</c:v>
                </c:pt>
                <c:pt idx="24">
                  <c:v>4309.7699999999995</c:v>
                </c:pt>
                <c:pt idx="25">
                  <c:v>2430.75</c:v>
                </c:pt>
                <c:pt idx="26">
                  <c:v>2489.6</c:v>
                </c:pt>
                <c:pt idx="27">
                  <c:v>5761.6099999999988</c:v>
                </c:pt>
                <c:pt idx="28">
                  <c:v>5697.409999999998</c:v>
                </c:pt>
                <c:pt idx="29">
                  <c:v>5477.02</c:v>
                </c:pt>
                <c:pt idx="30">
                  <c:v>4791.4900000000007</c:v>
                </c:pt>
                <c:pt idx="31">
                  <c:v>3822.1099999999997</c:v>
                </c:pt>
                <c:pt idx="32">
                  <c:v>4722.0900000000011</c:v>
                </c:pt>
                <c:pt idx="33">
                  <c:v>5580.52</c:v>
                </c:pt>
                <c:pt idx="34">
                  <c:v>4534.7599999999993</c:v>
                </c:pt>
                <c:pt idx="35">
                  <c:v>4485.34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03-4CB0-AF74-97F09729D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2791887"/>
        <c:axId val="1302787727"/>
      </c:lineChart>
      <c:catAx>
        <c:axId val="130279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87727"/>
        <c:crosses val="autoZero"/>
        <c:auto val="1"/>
        <c:lblAlgn val="ctr"/>
        <c:lblOffset val="100"/>
        <c:noMultiLvlLbl val="0"/>
      </c:catAx>
      <c:valAx>
        <c:axId val="130278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[Global_Ecommerce_Sales.xlsx]Pivot_Product!PivotTable6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Top 10 Products by Sales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Pivot_Product!$B$2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Pivot_Product!$A$3:$A$13</c:f>
              <c:strCache>
                <c:ptCount val="10"/>
                <c:pt idx="0">
                  <c:v>Standing Desk Converter</c:v>
                </c:pt>
                <c:pt idx="1">
                  <c:v>Ergonomic Office Chair</c:v>
                </c:pt>
                <c:pt idx="2">
                  <c:v>Corner L-Shaped Desk</c:v>
                </c:pt>
                <c:pt idx="3">
                  <c:v>Mesh Back Task Chair</c:v>
                </c:pt>
                <c:pt idx="4">
                  <c:v>Wireless Bluetooth Headphones</c:v>
                </c:pt>
                <c:pt idx="5">
                  <c:v>Mechanical Gaming Keyboard</c:v>
                </c:pt>
                <c:pt idx="6">
                  <c:v>Filing Cabinet 3-Drawer</c:v>
                </c:pt>
                <c:pt idx="7">
                  <c:v>Folding Table Portable</c:v>
                </c:pt>
                <c:pt idx="8">
                  <c:v>Portable External SSD 1TB</c:v>
                </c:pt>
                <c:pt idx="9">
                  <c:v>Bookshelf 5-Tier</c:v>
                </c:pt>
              </c:strCache>
            </c:strRef>
          </c:cat>
          <c:val>
            <c:numRef>
              <c:f>Pivot_Product!$B$3:$B$13</c:f>
              <c:numCache>
                <c:formatCode>0</c:formatCode>
                <c:ptCount val="10"/>
                <c:pt idx="0">
                  <c:v>46614.219999999972</c:v>
                </c:pt>
                <c:pt idx="1">
                  <c:v>45405.15</c:v>
                </c:pt>
                <c:pt idx="2">
                  <c:v>41070.479999999989</c:v>
                </c:pt>
                <c:pt idx="3">
                  <c:v>38179.76999999999</c:v>
                </c:pt>
                <c:pt idx="4">
                  <c:v>28258.700000000008</c:v>
                </c:pt>
                <c:pt idx="5">
                  <c:v>24072.42</c:v>
                </c:pt>
                <c:pt idx="6">
                  <c:v>23108.010000000002</c:v>
                </c:pt>
                <c:pt idx="7">
                  <c:v>18663.129999999997</c:v>
                </c:pt>
                <c:pt idx="8">
                  <c:v>18065.3</c:v>
                </c:pt>
                <c:pt idx="9">
                  <c:v>17741.589999999997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0-44C9-9163-B71BFE15A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3022479"/>
        <c:axId val="1393024975"/>
      </c:barChart>
      <c:catAx>
        <c:axId val="139302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024975"/>
        <c:crosses val="autoZero"/>
        <c:auto val="1"/>
        <c:lblAlgn val="ctr"/>
        <c:lblOffset val="100"/>
        <c:noMultiLvlLbl val="0"/>
      </c:catAx>
      <c:valAx>
        <c:axId val="139302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02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[Global_Ecommerce_Sales.xlsx]Pivot_Customer!PivotTable4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Sales by Customer Segment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Pivot_Customer!$B$3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Pivot_Customer!$A$4:$A$7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Pivot_Customer!$B$4:$B$7</c:f>
              <c:numCache>
                <c:formatCode>0</c:formatCode>
                <c:ptCount val="3"/>
                <c:pt idx="0">
                  <c:v>256287.74</c:v>
                </c:pt>
                <c:pt idx="1">
                  <c:v>146050.38999999996</c:v>
                </c:pt>
                <c:pt idx="2">
                  <c:v>82221.209999999977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D-4303-9AAB-F44BFFC48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519855"/>
        <c:axId val="1396521103"/>
      </c:barChart>
      <c:catAx>
        <c:axId val="139651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21103"/>
        <c:crosses val="autoZero"/>
        <c:auto val="1"/>
        <c:lblAlgn val="ctr"/>
        <c:lblOffset val="100"/>
        <c:noMultiLvlLbl val="0"/>
      </c:catAx>
      <c:valAx>
        <c:axId val="139652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1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[Global_Ecommerce_Sales.xlsx]Pivot_Payment!PivotTable5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Sales by Payment Method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Pivot_Payment!$B$2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4F-48EC-86BC-A1C0ADFD21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4F-48EC-86BC-A1C0ADFD21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4F-48EC-86BC-A1C0ADFD218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4F-48EC-86BC-A1C0ADFD2186}"/>
              </c:ext>
            </c:extLst>
          </c:dPt>
          <c:cat>
            <c:strRef>
              <c:f>Pivot_Payment!$A$3:$A$7</c:f>
              <c:strCache>
                <c:ptCount val="4"/>
                <c:pt idx="0">
                  <c:v>Credit Card</c:v>
                </c:pt>
                <c:pt idx="1">
                  <c:v>PayPal</c:v>
                </c:pt>
                <c:pt idx="2">
                  <c:v>Cash on Delivery</c:v>
                </c:pt>
                <c:pt idx="3">
                  <c:v>Bank Transfer</c:v>
                </c:pt>
              </c:strCache>
            </c:strRef>
          </c:cat>
          <c:val>
            <c:numRef>
              <c:f>Pivot_Payment!$B$3:$B$7</c:f>
              <c:numCache>
                <c:formatCode>0</c:formatCode>
                <c:ptCount val="4"/>
                <c:pt idx="0">
                  <c:v>192717.8899999999</c:v>
                </c:pt>
                <c:pt idx="1">
                  <c:v>143112.87000000005</c:v>
                </c:pt>
                <c:pt idx="2">
                  <c:v>77129.539999999979</c:v>
                </c:pt>
                <c:pt idx="3">
                  <c:v>71599.040000000052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4F-48EC-86BC-A1C0ADFD2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Discount vs Profit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'Discount vs Profit'!$A$2:$A$2001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20</c:v>
                </c:pt>
                <c:pt idx="2">
                  <c:v>0</c:v>
                </c:pt>
                <c:pt idx="3">
                  <c:v>15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15</c:v>
                </c:pt>
                <c:pt idx="11">
                  <c:v>10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15</c:v>
                </c:pt>
                <c:pt idx="17">
                  <c:v>5</c:v>
                </c:pt>
                <c:pt idx="18">
                  <c:v>0</c:v>
                </c:pt>
                <c:pt idx="19">
                  <c:v>5</c:v>
                </c:pt>
                <c:pt idx="20">
                  <c:v>25</c:v>
                </c:pt>
                <c:pt idx="21">
                  <c:v>10</c:v>
                </c:pt>
                <c:pt idx="22">
                  <c:v>0</c:v>
                </c:pt>
                <c:pt idx="23">
                  <c:v>5</c:v>
                </c:pt>
                <c:pt idx="24">
                  <c:v>10</c:v>
                </c:pt>
                <c:pt idx="25">
                  <c:v>20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5</c:v>
                </c:pt>
                <c:pt idx="31">
                  <c:v>15</c:v>
                </c:pt>
                <c:pt idx="32">
                  <c:v>5</c:v>
                </c:pt>
                <c:pt idx="33">
                  <c:v>20</c:v>
                </c:pt>
                <c:pt idx="34">
                  <c:v>10</c:v>
                </c:pt>
                <c:pt idx="35">
                  <c:v>5</c:v>
                </c:pt>
                <c:pt idx="36">
                  <c:v>0</c:v>
                </c:pt>
                <c:pt idx="37">
                  <c:v>15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</c:v>
                </c:pt>
                <c:pt idx="42">
                  <c:v>0</c:v>
                </c:pt>
                <c:pt idx="43">
                  <c:v>0</c:v>
                </c:pt>
                <c:pt idx="44">
                  <c:v>5</c:v>
                </c:pt>
                <c:pt idx="45">
                  <c:v>10</c:v>
                </c:pt>
                <c:pt idx="46">
                  <c:v>5</c:v>
                </c:pt>
                <c:pt idx="47">
                  <c:v>0</c:v>
                </c:pt>
                <c:pt idx="48">
                  <c:v>5</c:v>
                </c:pt>
                <c:pt idx="49">
                  <c:v>5</c:v>
                </c:pt>
                <c:pt idx="50">
                  <c:v>10</c:v>
                </c:pt>
                <c:pt idx="51">
                  <c:v>15</c:v>
                </c:pt>
                <c:pt idx="52">
                  <c:v>15</c:v>
                </c:pt>
                <c:pt idx="53">
                  <c:v>10</c:v>
                </c:pt>
                <c:pt idx="54">
                  <c:v>15</c:v>
                </c:pt>
                <c:pt idx="55">
                  <c:v>5</c:v>
                </c:pt>
                <c:pt idx="56">
                  <c:v>15</c:v>
                </c:pt>
                <c:pt idx="57">
                  <c:v>0</c:v>
                </c:pt>
                <c:pt idx="58">
                  <c:v>0</c:v>
                </c:pt>
                <c:pt idx="59">
                  <c:v>10</c:v>
                </c:pt>
                <c:pt idx="60">
                  <c:v>10</c:v>
                </c:pt>
                <c:pt idx="61">
                  <c:v>5</c:v>
                </c:pt>
                <c:pt idx="62">
                  <c:v>10</c:v>
                </c:pt>
                <c:pt idx="63">
                  <c:v>0</c:v>
                </c:pt>
                <c:pt idx="64">
                  <c:v>0</c:v>
                </c:pt>
                <c:pt idx="65">
                  <c:v>10</c:v>
                </c:pt>
                <c:pt idx="66">
                  <c:v>15</c:v>
                </c:pt>
                <c:pt idx="67">
                  <c:v>5</c:v>
                </c:pt>
                <c:pt idx="68">
                  <c:v>0</c:v>
                </c:pt>
                <c:pt idx="69">
                  <c:v>10</c:v>
                </c:pt>
                <c:pt idx="70">
                  <c:v>25</c:v>
                </c:pt>
                <c:pt idx="71">
                  <c:v>5</c:v>
                </c:pt>
                <c:pt idx="72">
                  <c:v>5</c:v>
                </c:pt>
                <c:pt idx="73">
                  <c:v>10</c:v>
                </c:pt>
                <c:pt idx="74">
                  <c:v>0</c:v>
                </c:pt>
                <c:pt idx="75">
                  <c:v>5</c:v>
                </c:pt>
                <c:pt idx="76">
                  <c:v>15</c:v>
                </c:pt>
                <c:pt idx="77">
                  <c:v>10</c:v>
                </c:pt>
                <c:pt idx="78">
                  <c:v>20</c:v>
                </c:pt>
                <c:pt idx="79">
                  <c:v>5</c:v>
                </c:pt>
                <c:pt idx="80">
                  <c:v>15</c:v>
                </c:pt>
                <c:pt idx="81">
                  <c:v>0</c:v>
                </c:pt>
                <c:pt idx="82">
                  <c:v>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15</c:v>
                </c:pt>
                <c:pt idx="89">
                  <c:v>10</c:v>
                </c:pt>
                <c:pt idx="90">
                  <c:v>0</c:v>
                </c:pt>
                <c:pt idx="91">
                  <c:v>0</c:v>
                </c:pt>
                <c:pt idx="92">
                  <c:v>15</c:v>
                </c:pt>
                <c:pt idx="93">
                  <c:v>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</c:v>
                </c:pt>
                <c:pt idx="98">
                  <c:v>10</c:v>
                </c:pt>
                <c:pt idx="99">
                  <c:v>0</c:v>
                </c:pt>
                <c:pt idx="100">
                  <c:v>0</c:v>
                </c:pt>
                <c:pt idx="101">
                  <c:v>5</c:v>
                </c:pt>
                <c:pt idx="102">
                  <c:v>25</c:v>
                </c:pt>
                <c:pt idx="103">
                  <c:v>10</c:v>
                </c:pt>
                <c:pt idx="104">
                  <c:v>20</c:v>
                </c:pt>
                <c:pt idx="105">
                  <c:v>0</c:v>
                </c:pt>
                <c:pt idx="106">
                  <c:v>10</c:v>
                </c:pt>
                <c:pt idx="107">
                  <c:v>0</c:v>
                </c:pt>
                <c:pt idx="108">
                  <c:v>10</c:v>
                </c:pt>
                <c:pt idx="109">
                  <c:v>20</c:v>
                </c:pt>
                <c:pt idx="110">
                  <c:v>0</c:v>
                </c:pt>
                <c:pt idx="111">
                  <c:v>10</c:v>
                </c:pt>
                <c:pt idx="112">
                  <c:v>20</c:v>
                </c:pt>
                <c:pt idx="113">
                  <c:v>0</c:v>
                </c:pt>
                <c:pt idx="114">
                  <c:v>5</c:v>
                </c:pt>
                <c:pt idx="115">
                  <c:v>0</c:v>
                </c:pt>
                <c:pt idx="116">
                  <c:v>5</c:v>
                </c:pt>
                <c:pt idx="117">
                  <c:v>10</c:v>
                </c:pt>
                <c:pt idx="118">
                  <c:v>0</c:v>
                </c:pt>
                <c:pt idx="119">
                  <c:v>10</c:v>
                </c:pt>
                <c:pt idx="120">
                  <c:v>0</c:v>
                </c:pt>
                <c:pt idx="121">
                  <c:v>0</c:v>
                </c:pt>
                <c:pt idx="122">
                  <c:v>10</c:v>
                </c:pt>
                <c:pt idx="123">
                  <c:v>0</c:v>
                </c:pt>
                <c:pt idx="124">
                  <c:v>10</c:v>
                </c:pt>
                <c:pt idx="125">
                  <c:v>0</c:v>
                </c:pt>
                <c:pt idx="126">
                  <c:v>0</c:v>
                </c:pt>
                <c:pt idx="127">
                  <c:v>15</c:v>
                </c:pt>
                <c:pt idx="128">
                  <c:v>15</c:v>
                </c:pt>
                <c:pt idx="129">
                  <c:v>0</c:v>
                </c:pt>
                <c:pt idx="130">
                  <c:v>5</c:v>
                </c:pt>
                <c:pt idx="131">
                  <c:v>0</c:v>
                </c:pt>
                <c:pt idx="132">
                  <c:v>0</c:v>
                </c:pt>
                <c:pt idx="133">
                  <c:v>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5</c:v>
                </c:pt>
                <c:pt idx="139">
                  <c:v>5</c:v>
                </c:pt>
                <c:pt idx="140">
                  <c:v>0</c:v>
                </c:pt>
                <c:pt idx="141">
                  <c:v>10</c:v>
                </c:pt>
                <c:pt idx="142">
                  <c:v>10</c:v>
                </c:pt>
                <c:pt idx="143">
                  <c:v>0</c:v>
                </c:pt>
                <c:pt idx="144">
                  <c:v>15</c:v>
                </c:pt>
                <c:pt idx="145">
                  <c:v>5</c:v>
                </c:pt>
                <c:pt idx="146">
                  <c:v>15</c:v>
                </c:pt>
                <c:pt idx="147">
                  <c:v>10</c:v>
                </c:pt>
                <c:pt idx="148">
                  <c:v>5</c:v>
                </c:pt>
                <c:pt idx="149">
                  <c:v>20</c:v>
                </c:pt>
                <c:pt idx="150">
                  <c:v>0</c:v>
                </c:pt>
                <c:pt idx="151">
                  <c:v>30</c:v>
                </c:pt>
                <c:pt idx="152">
                  <c:v>5</c:v>
                </c:pt>
                <c:pt idx="153">
                  <c:v>15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</c:v>
                </c:pt>
                <c:pt idx="158">
                  <c:v>5</c:v>
                </c:pt>
                <c:pt idx="159">
                  <c:v>10</c:v>
                </c:pt>
                <c:pt idx="160">
                  <c:v>15</c:v>
                </c:pt>
                <c:pt idx="161">
                  <c:v>5</c:v>
                </c:pt>
                <c:pt idx="162">
                  <c:v>0</c:v>
                </c:pt>
                <c:pt idx="163">
                  <c:v>0</c:v>
                </c:pt>
                <c:pt idx="164">
                  <c:v>15</c:v>
                </c:pt>
                <c:pt idx="165">
                  <c:v>0</c:v>
                </c:pt>
                <c:pt idx="166">
                  <c:v>5</c:v>
                </c:pt>
                <c:pt idx="167">
                  <c:v>0</c:v>
                </c:pt>
                <c:pt idx="168">
                  <c:v>5</c:v>
                </c:pt>
                <c:pt idx="169">
                  <c:v>5</c:v>
                </c:pt>
                <c:pt idx="170">
                  <c:v>10</c:v>
                </c:pt>
                <c:pt idx="171">
                  <c:v>20</c:v>
                </c:pt>
                <c:pt idx="172">
                  <c:v>10</c:v>
                </c:pt>
                <c:pt idx="173">
                  <c:v>10</c:v>
                </c:pt>
                <c:pt idx="174">
                  <c:v>0</c:v>
                </c:pt>
                <c:pt idx="175">
                  <c:v>0</c:v>
                </c:pt>
                <c:pt idx="176">
                  <c:v>25</c:v>
                </c:pt>
                <c:pt idx="177">
                  <c:v>5</c:v>
                </c:pt>
                <c:pt idx="178">
                  <c:v>5</c:v>
                </c:pt>
                <c:pt idx="179">
                  <c:v>10</c:v>
                </c:pt>
                <c:pt idx="180">
                  <c:v>5</c:v>
                </c:pt>
                <c:pt idx="181">
                  <c:v>0</c:v>
                </c:pt>
                <c:pt idx="182">
                  <c:v>15</c:v>
                </c:pt>
                <c:pt idx="183">
                  <c:v>20</c:v>
                </c:pt>
                <c:pt idx="184">
                  <c:v>15</c:v>
                </c:pt>
                <c:pt idx="185">
                  <c:v>0</c:v>
                </c:pt>
                <c:pt idx="186">
                  <c:v>15</c:v>
                </c:pt>
                <c:pt idx="187">
                  <c:v>0</c:v>
                </c:pt>
                <c:pt idx="188">
                  <c:v>20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5</c:v>
                </c:pt>
                <c:pt idx="193">
                  <c:v>5</c:v>
                </c:pt>
                <c:pt idx="194">
                  <c:v>0</c:v>
                </c:pt>
                <c:pt idx="195">
                  <c:v>0</c:v>
                </c:pt>
                <c:pt idx="196">
                  <c:v>5</c:v>
                </c:pt>
                <c:pt idx="197">
                  <c:v>5</c:v>
                </c:pt>
                <c:pt idx="198">
                  <c:v>0</c:v>
                </c:pt>
                <c:pt idx="199">
                  <c:v>5</c:v>
                </c:pt>
                <c:pt idx="200">
                  <c:v>0</c:v>
                </c:pt>
                <c:pt idx="201">
                  <c:v>20</c:v>
                </c:pt>
                <c:pt idx="202">
                  <c:v>10</c:v>
                </c:pt>
                <c:pt idx="203">
                  <c:v>15</c:v>
                </c:pt>
                <c:pt idx="204">
                  <c:v>0</c:v>
                </c:pt>
                <c:pt idx="205">
                  <c:v>15</c:v>
                </c:pt>
                <c:pt idx="206">
                  <c:v>5</c:v>
                </c:pt>
                <c:pt idx="207">
                  <c:v>15</c:v>
                </c:pt>
                <c:pt idx="208">
                  <c:v>30</c:v>
                </c:pt>
                <c:pt idx="209">
                  <c:v>15</c:v>
                </c:pt>
                <c:pt idx="210">
                  <c:v>15</c:v>
                </c:pt>
                <c:pt idx="211">
                  <c:v>20</c:v>
                </c:pt>
                <c:pt idx="212">
                  <c:v>20</c:v>
                </c:pt>
                <c:pt idx="213">
                  <c:v>10</c:v>
                </c:pt>
                <c:pt idx="214">
                  <c:v>5</c:v>
                </c:pt>
                <c:pt idx="215">
                  <c:v>5</c:v>
                </c:pt>
                <c:pt idx="216">
                  <c:v>15</c:v>
                </c:pt>
                <c:pt idx="217">
                  <c:v>5</c:v>
                </c:pt>
                <c:pt idx="218">
                  <c:v>25</c:v>
                </c:pt>
                <c:pt idx="219">
                  <c:v>10</c:v>
                </c:pt>
                <c:pt idx="220">
                  <c:v>10</c:v>
                </c:pt>
                <c:pt idx="221">
                  <c:v>15</c:v>
                </c:pt>
                <c:pt idx="222">
                  <c:v>10</c:v>
                </c:pt>
                <c:pt idx="223">
                  <c:v>0</c:v>
                </c:pt>
                <c:pt idx="224">
                  <c:v>0</c:v>
                </c:pt>
                <c:pt idx="225">
                  <c:v>15</c:v>
                </c:pt>
                <c:pt idx="226">
                  <c:v>25</c:v>
                </c:pt>
                <c:pt idx="227">
                  <c:v>25</c:v>
                </c:pt>
                <c:pt idx="228">
                  <c:v>0</c:v>
                </c:pt>
                <c:pt idx="229">
                  <c:v>5</c:v>
                </c:pt>
                <c:pt idx="230">
                  <c:v>0</c:v>
                </c:pt>
                <c:pt idx="231">
                  <c:v>10</c:v>
                </c:pt>
                <c:pt idx="232">
                  <c:v>5</c:v>
                </c:pt>
                <c:pt idx="233">
                  <c:v>20</c:v>
                </c:pt>
                <c:pt idx="234">
                  <c:v>15</c:v>
                </c:pt>
                <c:pt idx="235">
                  <c:v>5</c:v>
                </c:pt>
                <c:pt idx="236">
                  <c:v>0</c:v>
                </c:pt>
                <c:pt idx="237">
                  <c:v>15</c:v>
                </c:pt>
                <c:pt idx="238">
                  <c:v>15</c:v>
                </c:pt>
                <c:pt idx="239">
                  <c:v>5</c:v>
                </c:pt>
                <c:pt idx="240">
                  <c:v>0</c:v>
                </c:pt>
                <c:pt idx="241">
                  <c:v>10</c:v>
                </c:pt>
                <c:pt idx="242">
                  <c:v>20</c:v>
                </c:pt>
                <c:pt idx="243">
                  <c:v>15</c:v>
                </c:pt>
                <c:pt idx="244">
                  <c:v>10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5</c:v>
                </c:pt>
                <c:pt idx="249">
                  <c:v>0</c:v>
                </c:pt>
                <c:pt idx="250">
                  <c:v>20</c:v>
                </c:pt>
                <c:pt idx="251">
                  <c:v>5</c:v>
                </c:pt>
                <c:pt idx="252">
                  <c:v>0</c:v>
                </c:pt>
                <c:pt idx="253">
                  <c:v>5</c:v>
                </c:pt>
                <c:pt idx="254">
                  <c:v>20</c:v>
                </c:pt>
                <c:pt idx="255">
                  <c:v>10</c:v>
                </c:pt>
                <c:pt idx="256">
                  <c:v>15</c:v>
                </c:pt>
                <c:pt idx="257">
                  <c:v>5</c:v>
                </c:pt>
                <c:pt idx="258">
                  <c:v>0</c:v>
                </c:pt>
                <c:pt idx="259">
                  <c:v>5</c:v>
                </c:pt>
                <c:pt idx="260">
                  <c:v>5</c:v>
                </c:pt>
                <c:pt idx="261">
                  <c:v>15</c:v>
                </c:pt>
                <c:pt idx="262">
                  <c:v>15</c:v>
                </c:pt>
                <c:pt idx="263">
                  <c:v>0</c:v>
                </c:pt>
                <c:pt idx="264">
                  <c:v>0</c:v>
                </c:pt>
                <c:pt idx="265">
                  <c:v>15</c:v>
                </c:pt>
                <c:pt idx="266">
                  <c:v>0</c:v>
                </c:pt>
                <c:pt idx="267">
                  <c:v>10</c:v>
                </c:pt>
                <c:pt idx="268">
                  <c:v>15</c:v>
                </c:pt>
                <c:pt idx="269">
                  <c:v>15</c:v>
                </c:pt>
                <c:pt idx="270">
                  <c:v>0</c:v>
                </c:pt>
                <c:pt idx="271">
                  <c:v>15</c:v>
                </c:pt>
                <c:pt idx="272">
                  <c:v>10</c:v>
                </c:pt>
                <c:pt idx="273">
                  <c:v>0</c:v>
                </c:pt>
                <c:pt idx="274">
                  <c:v>15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0</c:v>
                </c:pt>
                <c:pt idx="279">
                  <c:v>20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10</c:v>
                </c:pt>
                <c:pt idx="284">
                  <c:v>10</c:v>
                </c:pt>
                <c:pt idx="285">
                  <c:v>5</c:v>
                </c:pt>
                <c:pt idx="286">
                  <c:v>5</c:v>
                </c:pt>
                <c:pt idx="287">
                  <c:v>15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0</c:v>
                </c:pt>
                <c:pt idx="292">
                  <c:v>0</c:v>
                </c:pt>
                <c:pt idx="293">
                  <c:v>10</c:v>
                </c:pt>
                <c:pt idx="294">
                  <c:v>0</c:v>
                </c:pt>
                <c:pt idx="295">
                  <c:v>10</c:v>
                </c:pt>
                <c:pt idx="296">
                  <c:v>20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20</c:v>
                </c:pt>
                <c:pt idx="301">
                  <c:v>15</c:v>
                </c:pt>
                <c:pt idx="302">
                  <c:v>5</c:v>
                </c:pt>
                <c:pt idx="303">
                  <c:v>20</c:v>
                </c:pt>
                <c:pt idx="304">
                  <c:v>0</c:v>
                </c:pt>
                <c:pt idx="305">
                  <c:v>15</c:v>
                </c:pt>
                <c:pt idx="306">
                  <c:v>10</c:v>
                </c:pt>
                <c:pt idx="307">
                  <c:v>10</c:v>
                </c:pt>
                <c:pt idx="308">
                  <c:v>0</c:v>
                </c:pt>
                <c:pt idx="309">
                  <c:v>15</c:v>
                </c:pt>
                <c:pt idx="310">
                  <c:v>5</c:v>
                </c:pt>
                <c:pt idx="311">
                  <c:v>20</c:v>
                </c:pt>
                <c:pt idx="312">
                  <c:v>0</c:v>
                </c:pt>
                <c:pt idx="313">
                  <c:v>15</c:v>
                </c:pt>
                <c:pt idx="314">
                  <c:v>0</c:v>
                </c:pt>
                <c:pt idx="315">
                  <c:v>0</c:v>
                </c:pt>
                <c:pt idx="316">
                  <c:v>5</c:v>
                </c:pt>
                <c:pt idx="317">
                  <c:v>10</c:v>
                </c:pt>
                <c:pt idx="318">
                  <c:v>5</c:v>
                </c:pt>
                <c:pt idx="319">
                  <c:v>0</c:v>
                </c:pt>
                <c:pt idx="320">
                  <c:v>0</c:v>
                </c:pt>
                <c:pt idx="321">
                  <c:v>20</c:v>
                </c:pt>
                <c:pt idx="322">
                  <c:v>10</c:v>
                </c:pt>
                <c:pt idx="323">
                  <c:v>15</c:v>
                </c:pt>
                <c:pt idx="324">
                  <c:v>5</c:v>
                </c:pt>
                <c:pt idx="325">
                  <c:v>5</c:v>
                </c:pt>
                <c:pt idx="326">
                  <c:v>10</c:v>
                </c:pt>
                <c:pt idx="327">
                  <c:v>0</c:v>
                </c:pt>
                <c:pt idx="328">
                  <c:v>10</c:v>
                </c:pt>
                <c:pt idx="329">
                  <c:v>0</c:v>
                </c:pt>
                <c:pt idx="330">
                  <c:v>10</c:v>
                </c:pt>
                <c:pt idx="331">
                  <c:v>10</c:v>
                </c:pt>
                <c:pt idx="332">
                  <c:v>25</c:v>
                </c:pt>
                <c:pt idx="333">
                  <c:v>10</c:v>
                </c:pt>
                <c:pt idx="334">
                  <c:v>10</c:v>
                </c:pt>
                <c:pt idx="335">
                  <c:v>5</c:v>
                </c:pt>
                <c:pt idx="336">
                  <c:v>20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0</c:v>
                </c:pt>
                <c:pt idx="341">
                  <c:v>5</c:v>
                </c:pt>
                <c:pt idx="342">
                  <c:v>15</c:v>
                </c:pt>
                <c:pt idx="343">
                  <c:v>0</c:v>
                </c:pt>
                <c:pt idx="344">
                  <c:v>20</c:v>
                </c:pt>
                <c:pt idx="345">
                  <c:v>0</c:v>
                </c:pt>
                <c:pt idx="346">
                  <c:v>10</c:v>
                </c:pt>
                <c:pt idx="347">
                  <c:v>0</c:v>
                </c:pt>
                <c:pt idx="348">
                  <c:v>0</c:v>
                </c:pt>
                <c:pt idx="349">
                  <c:v>15</c:v>
                </c:pt>
                <c:pt idx="350">
                  <c:v>10</c:v>
                </c:pt>
                <c:pt idx="351">
                  <c:v>0</c:v>
                </c:pt>
                <c:pt idx="352">
                  <c:v>15</c:v>
                </c:pt>
                <c:pt idx="353">
                  <c:v>15</c:v>
                </c:pt>
                <c:pt idx="354">
                  <c:v>5</c:v>
                </c:pt>
                <c:pt idx="355">
                  <c:v>20</c:v>
                </c:pt>
                <c:pt idx="356">
                  <c:v>30</c:v>
                </c:pt>
                <c:pt idx="357">
                  <c:v>10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10</c:v>
                </c:pt>
                <c:pt idx="364">
                  <c:v>25</c:v>
                </c:pt>
                <c:pt idx="365">
                  <c:v>10</c:v>
                </c:pt>
                <c:pt idx="366">
                  <c:v>20</c:v>
                </c:pt>
                <c:pt idx="367">
                  <c:v>10</c:v>
                </c:pt>
                <c:pt idx="368">
                  <c:v>15</c:v>
                </c:pt>
                <c:pt idx="369">
                  <c:v>5</c:v>
                </c:pt>
                <c:pt idx="370">
                  <c:v>0</c:v>
                </c:pt>
                <c:pt idx="371">
                  <c:v>5</c:v>
                </c:pt>
                <c:pt idx="372">
                  <c:v>10</c:v>
                </c:pt>
                <c:pt idx="373">
                  <c:v>10</c:v>
                </c:pt>
                <c:pt idx="374">
                  <c:v>20</c:v>
                </c:pt>
                <c:pt idx="375">
                  <c:v>20</c:v>
                </c:pt>
                <c:pt idx="376">
                  <c:v>10</c:v>
                </c:pt>
                <c:pt idx="377">
                  <c:v>15</c:v>
                </c:pt>
                <c:pt idx="378">
                  <c:v>10</c:v>
                </c:pt>
                <c:pt idx="379">
                  <c:v>10</c:v>
                </c:pt>
                <c:pt idx="380">
                  <c:v>0</c:v>
                </c:pt>
                <c:pt idx="381">
                  <c:v>15</c:v>
                </c:pt>
                <c:pt idx="382">
                  <c:v>10</c:v>
                </c:pt>
                <c:pt idx="383">
                  <c:v>5</c:v>
                </c:pt>
                <c:pt idx="384">
                  <c:v>10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0</c:v>
                </c:pt>
                <c:pt idx="389">
                  <c:v>0</c:v>
                </c:pt>
                <c:pt idx="390">
                  <c:v>10</c:v>
                </c:pt>
                <c:pt idx="391">
                  <c:v>15</c:v>
                </c:pt>
                <c:pt idx="392">
                  <c:v>10</c:v>
                </c:pt>
                <c:pt idx="393">
                  <c:v>25</c:v>
                </c:pt>
                <c:pt idx="394">
                  <c:v>0</c:v>
                </c:pt>
                <c:pt idx="395">
                  <c:v>20</c:v>
                </c:pt>
                <c:pt idx="396">
                  <c:v>30</c:v>
                </c:pt>
                <c:pt idx="397">
                  <c:v>10</c:v>
                </c:pt>
                <c:pt idx="398">
                  <c:v>15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10</c:v>
                </c:pt>
                <c:pt idx="403">
                  <c:v>5</c:v>
                </c:pt>
                <c:pt idx="404">
                  <c:v>20</c:v>
                </c:pt>
                <c:pt idx="405">
                  <c:v>0</c:v>
                </c:pt>
                <c:pt idx="406">
                  <c:v>0</c:v>
                </c:pt>
                <c:pt idx="407">
                  <c:v>5</c:v>
                </c:pt>
                <c:pt idx="408">
                  <c:v>0</c:v>
                </c:pt>
                <c:pt idx="409">
                  <c:v>10</c:v>
                </c:pt>
                <c:pt idx="410">
                  <c:v>10</c:v>
                </c:pt>
                <c:pt idx="411">
                  <c:v>5</c:v>
                </c:pt>
                <c:pt idx="412">
                  <c:v>5</c:v>
                </c:pt>
                <c:pt idx="413">
                  <c:v>10</c:v>
                </c:pt>
                <c:pt idx="414">
                  <c:v>10</c:v>
                </c:pt>
                <c:pt idx="415">
                  <c:v>25</c:v>
                </c:pt>
                <c:pt idx="416">
                  <c:v>5</c:v>
                </c:pt>
                <c:pt idx="417">
                  <c:v>20</c:v>
                </c:pt>
                <c:pt idx="418">
                  <c:v>10</c:v>
                </c:pt>
                <c:pt idx="419">
                  <c:v>30</c:v>
                </c:pt>
                <c:pt idx="420">
                  <c:v>20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0</c:v>
                </c:pt>
                <c:pt idx="425">
                  <c:v>0</c:v>
                </c:pt>
                <c:pt idx="426">
                  <c:v>15</c:v>
                </c:pt>
                <c:pt idx="427">
                  <c:v>25</c:v>
                </c:pt>
                <c:pt idx="428">
                  <c:v>10</c:v>
                </c:pt>
                <c:pt idx="429">
                  <c:v>10</c:v>
                </c:pt>
                <c:pt idx="430">
                  <c:v>10</c:v>
                </c:pt>
                <c:pt idx="431">
                  <c:v>15</c:v>
                </c:pt>
                <c:pt idx="432">
                  <c:v>5</c:v>
                </c:pt>
                <c:pt idx="433">
                  <c:v>10</c:v>
                </c:pt>
                <c:pt idx="434">
                  <c:v>0</c:v>
                </c:pt>
                <c:pt idx="435">
                  <c:v>5</c:v>
                </c:pt>
                <c:pt idx="436">
                  <c:v>5</c:v>
                </c:pt>
                <c:pt idx="437">
                  <c:v>10</c:v>
                </c:pt>
                <c:pt idx="438">
                  <c:v>5</c:v>
                </c:pt>
                <c:pt idx="439">
                  <c:v>0</c:v>
                </c:pt>
                <c:pt idx="440">
                  <c:v>10</c:v>
                </c:pt>
                <c:pt idx="441">
                  <c:v>0</c:v>
                </c:pt>
                <c:pt idx="442">
                  <c:v>0</c:v>
                </c:pt>
                <c:pt idx="443">
                  <c:v>10</c:v>
                </c:pt>
                <c:pt idx="444">
                  <c:v>15</c:v>
                </c:pt>
                <c:pt idx="445">
                  <c:v>10</c:v>
                </c:pt>
                <c:pt idx="446">
                  <c:v>0</c:v>
                </c:pt>
                <c:pt idx="447">
                  <c:v>20</c:v>
                </c:pt>
                <c:pt idx="448">
                  <c:v>10</c:v>
                </c:pt>
                <c:pt idx="449">
                  <c:v>10</c:v>
                </c:pt>
                <c:pt idx="450">
                  <c:v>10</c:v>
                </c:pt>
                <c:pt idx="451">
                  <c:v>15</c:v>
                </c:pt>
                <c:pt idx="452">
                  <c:v>30</c:v>
                </c:pt>
                <c:pt idx="453">
                  <c:v>0</c:v>
                </c:pt>
                <c:pt idx="454">
                  <c:v>10</c:v>
                </c:pt>
                <c:pt idx="455">
                  <c:v>15</c:v>
                </c:pt>
                <c:pt idx="456">
                  <c:v>20</c:v>
                </c:pt>
                <c:pt idx="457">
                  <c:v>25</c:v>
                </c:pt>
                <c:pt idx="458">
                  <c:v>5</c:v>
                </c:pt>
                <c:pt idx="459">
                  <c:v>30</c:v>
                </c:pt>
                <c:pt idx="460">
                  <c:v>15</c:v>
                </c:pt>
                <c:pt idx="461">
                  <c:v>5</c:v>
                </c:pt>
                <c:pt idx="462">
                  <c:v>10</c:v>
                </c:pt>
                <c:pt idx="463">
                  <c:v>0</c:v>
                </c:pt>
                <c:pt idx="464">
                  <c:v>5</c:v>
                </c:pt>
                <c:pt idx="465">
                  <c:v>0</c:v>
                </c:pt>
                <c:pt idx="466">
                  <c:v>15</c:v>
                </c:pt>
                <c:pt idx="467">
                  <c:v>20</c:v>
                </c:pt>
                <c:pt idx="468">
                  <c:v>0</c:v>
                </c:pt>
                <c:pt idx="469">
                  <c:v>10</c:v>
                </c:pt>
                <c:pt idx="470">
                  <c:v>10</c:v>
                </c:pt>
                <c:pt idx="471">
                  <c:v>0</c:v>
                </c:pt>
                <c:pt idx="472">
                  <c:v>15</c:v>
                </c:pt>
                <c:pt idx="473">
                  <c:v>10</c:v>
                </c:pt>
                <c:pt idx="474">
                  <c:v>15</c:v>
                </c:pt>
                <c:pt idx="475">
                  <c:v>0</c:v>
                </c:pt>
                <c:pt idx="476">
                  <c:v>0</c:v>
                </c:pt>
                <c:pt idx="477">
                  <c:v>5</c:v>
                </c:pt>
                <c:pt idx="478">
                  <c:v>15</c:v>
                </c:pt>
                <c:pt idx="479">
                  <c:v>0</c:v>
                </c:pt>
                <c:pt idx="480">
                  <c:v>15</c:v>
                </c:pt>
                <c:pt idx="481">
                  <c:v>15</c:v>
                </c:pt>
                <c:pt idx="482">
                  <c:v>0</c:v>
                </c:pt>
                <c:pt idx="483">
                  <c:v>10</c:v>
                </c:pt>
                <c:pt idx="484">
                  <c:v>15</c:v>
                </c:pt>
                <c:pt idx="485">
                  <c:v>10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0</c:v>
                </c:pt>
                <c:pt idx="490">
                  <c:v>5</c:v>
                </c:pt>
                <c:pt idx="491">
                  <c:v>0</c:v>
                </c:pt>
                <c:pt idx="492">
                  <c:v>20</c:v>
                </c:pt>
                <c:pt idx="493">
                  <c:v>10</c:v>
                </c:pt>
                <c:pt idx="494">
                  <c:v>10</c:v>
                </c:pt>
                <c:pt idx="495">
                  <c:v>0</c:v>
                </c:pt>
                <c:pt idx="496">
                  <c:v>30</c:v>
                </c:pt>
                <c:pt idx="497">
                  <c:v>0</c:v>
                </c:pt>
                <c:pt idx="498">
                  <c:v>15</c:v>
                </c:pt>
                <c:pt idx="499">
                  <c:v>25</c:v>
                </c:pt>
                <c:pt idx="500">
                  <c:v>5</c:v>
                </c:pt>
                <c:pt idx="501">
                  <c:v>10</c:v>
                </c:pt>
                <c:pt idx="502">
                  <c:v>5</c:v>
                </c:pt>
                <c:pt idx="503">
                  <c:v>15</c:v>
                </c:pt>
                <c:pt idx="504">
                  <c:v>5</c:v>
                </c:pt>
                <c:pt idx="505">
                  <c:v>10</c:v>
                </c:pt>
                <c:pt idx="506">
                  <c:v>25</c:v>
                </c:pt>
                <c:pt idx="507">
                  <c:v>0</c:v>
                </c:pt>
                <c:pt idx="508">
                  <c:v>5</c:v>
                </c:pt>
                <c:pt idx="509">
                  <c:v>5</c:v>
                </c:pt>
                <c:pt idx="510">
                  <c:v>0</c:v>
                </c:pt>
                <c:pt idx="511">
                  <c:v>10</c:v>
                </c:pt>
                <c:pt idx="512">
                  <c:v>0</c:v>
                </c:pt>
                <c:pt idx="513">
                  <c:v>15</c:v>
                </c:pt>
                <c:pt idx="514">
                  <c:v>10</c:v>
                </c:pt>
                <c:pt idx="515">
                  <c:v>15</c:v>
                </c:pt>
                <c:pt idx="516">
                  <c:v>5</c:v>
                </c:pt>
                <c:pt idx="517">
                  <c:v>0</c:v>
                </c:pt>
                <c:pt idx="518">
                  <c:v>5</c:v>
                </c:pt>
                <c:pt idx="519">
                  <c:v>25</c:v>
                </c:pt>
                <c:pt idx="520">
                  <c:v>0</c:v>
                </c:pt>
                <c:pt idx="521">
                  <c:v>25</c:v>
                </c:pt>
                <c:pt idx="522">
                  <c:v>0</c:v>
                </c:pt>
                <c:pt idx="523">
                  <c:v>15</c:v>
                </c:pt>
                <c:pt idx="524">
                  <c:v>10</c:v>
                </c:pt>
                <c:pt idx="525">
                  <c:v>10</c:v>
                </c:pt>
                <c:pt idx="526">
                  <c:v>25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10</c:v>
                </c:pt>
                <c:pt idx="532">
                  <c:v>0</c:v>
                </c:pt>
                <c:pt idx="533">
                  <c:v>15</c:v>
                </c:pt>
                <c:pt idx="534">
                  <c:v>10</c:v>
                </c:pt>
                <c:pt idx="535">
                  <c:v>10</c:v>
                </c:pt>
                <c:pt idx="536">
                  <c:v>5</c:v>
                </c:pt>
                <c:pt idx="537">
                  <c:v>0</c:v>
                </c:pt>
                <c:pt idx="538">
                  <c:v>0</c:v>
                </c:pt>
                <c:pt idx="539">
                  <c:v>15</c:v>
                </c:pt>
                <c:pt idx="540">
                  <c:v>15</c:v>
                </c:pt>
                <c:pt idx="541">
                  <c:v>5</c:v>
                </c:pt>
                <c:pt idx="542">
                  <c:v>15</c:v>
                </c:pt>
                <c:pt idx="543">
                  <c:v>25</c:v>
                </c:pt>
                <c:pt idx="544">
                  <c:v>10</c:v>
                </c:pt>
                <c:pt idx="545">
                  <c:v>5</c:v>
                </c:pt>
                <c:pt idx="546">
                  <c:v>5</c:v>
                </c:pt>
                <c:pt idx="547">
                  <c:v>0</c:v>
                </c:pt>
                <c:pt idx="548">
                  <c:v>10</c:v>
                </c:pt>
                <c:pt idx="549">
                  <c:v>10</c:v>
                </c:pt>
                <c:pt idx="550">
                  <c:v>0</c:v>
                </c:pt>
                <c:pt idx="551">
                  <c:v>20</c:v>
                </c:pt>
                <c:pt idx="552">
                  <c:v>5</c:v>
                </c:pt>
                <c:pt idx="553">
                  <c:v>5</c:v>
                </c:pt>
                <c:pt idx="554">
                  <c:v>0</c:v>
                </c:pt>
                <c:pt idx="555">
                  <c:v>5</c:v>
                </c:pt>
                <c:pt idx="556">
                  <c:v>15</c:v>
                </c:pt>
                <c:pt idx="557">
                  <c:v>0</c:v>
                </c:pt>
                <c:pt idx="558">
                  <c:v>15</c:v>
                </c:pt>
                <c:pt idx="559">
                  <c:v>15</c:v>
                </c:pt>
                <c:pt idx="560">
                  <c:v>5</c:v>
                </c:pt>
                <c:pt idx="561">
                  <c:v>0</c:v>
                </c:pt>
                <c:pt idx="562">
                  <c:v>15</c:v>
                </c:pt>
                <c:pt idx="563">
                  <c:v>5</c:v>
                </c:pt>
                <c:pt idx="564">
                  <c:v>0</c:v>
                </c:pt>
                <c:pt idx="565">
                  <c:v>0</c:v>
                </c:pt>
                <c:pt idx="566">
                  <c:v>10</c:v>
                </c:pt>
                <c:pt idx="567">
                  <c:v>20</c:v>
                </c:pt>
                <c:pt idx="568">
                  <c:v>15</c:v>
                </c:pt>
                <c:pt idx="569">
                  <c:v>5</c:v>
                </c:pt>
                <c:pt idx="570">
                  <c:v>15</c:v>
                </c:pt>
                <c:pt idx="571">
                  <c:v>15</c:v>
                </c:pt>
                <c:pt idx="572">
                  <c:v>0</c:v>
                </c:pt>
                <c:pt idx="573">
                  <c:v>5</c:v>
                </c:pt>
                <c:pt idx="574">
                  <c:v>5</c:v>
                </c:pt>
                <c:pt idx="575">
                  <c:v>0</c:v>
                </c:pt>
                <c:pt idx="576">
                  <c:v>0</c:v>
                </c:pt>
                <c:pt idx="577">
                  <c:v>10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10</c:v>
                </c:pt>
                <c:pt idx="582">
                  <c:v>10</c:v>
                </c:pt>
                <c:pt idx="583">
                  <c:v>10</c:v>
                </c:pt>
                <c:pt idx="584">
                  <c:v>20</c:v>
                </c:pt>
                <c:pt idx="585">
                  <c:v>0</c:v>
                </c:pt>
                <c:pt idx="586">
                  <c:v>10</c:v>
                </c:pt>
                <c:pt idx="587">
                  <c:v>0</c:v>
                </c:pt>
                <c:pt idx="588">
                  <c:v>15</c:v>
                </c:pt>
                <c:pt idx="589">
                  <c:v>10</c:v>
                </c:pt>
                <c:pt idx="590">
                  <c:v>10</c:v>
                </c:pt>
                <c:pt idx="591">
                  <c:v>10</c:v>
                </c:pt>
                <c:pt idx="592">
                  <c:v>5</c:v>
                </c:pt>
                <c:pt idx="593">
                  <c:v>25</c:v>
                </c:pt>
                <c:pt idx="594">
                  <c:v>10</c:v>
                </c:pt>
                <c:pt idx="595">
                  <c:v>20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20</c:v>
                </c:pt>
                <c:pt idx="600">
                  <c:v>0</c:v>
                </c:pt>
                <c:pt idx="601">
                  <c:v>0</c:v>
                </c:pt>
                <c:pt idx="602">
                  <c:v>20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15</c:v>
                </c:pt>
                <c:pt idx="610">
                  <c:v>25</c:v>
                </c:pt>
                <c:pt idx="611">
                  <c:v>0</c:v>
                </c:pt>
                <c:pt idx="612">
                  <c:v>5</c:v>
                </c:pt>
                <c:pt idx="613">
                  <c:v>5</c:v>
                </c:pt>
                <c:pt idx="614">
                  <c:v>10</c:v>
                </c:pt>
                <c:pt idx="615">
                  <c:v>15</c:v>
                </c:pt>
                <c:pt idx="616">
                  <c:v>10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15</c:v>
                </c:pt>
                <c:pt idx="621">
                  <c:v>15</c:v>
                </c:pt>
                <c:pt idx="622">
                  <c:v>5</c:v>
                </c:pt>
                <c:pt idx="623">
                  <c:v>10</c:v>
                </c:pt>
                <c:pt idx="624">
                  <c:v>5</c:v>
                </c:pt>
                <c:pt idx="625">
                  <c:v>10</c:v>
                </c:pt>
                <c:pt idx="626">
                  <c:v>0</c:v>
                </c:pt>
                <c:pt idx="627">
                  <c:v>5</c:v>
                </c:pt>
                <c:pt idx="628">
                  <c:v>0</c:v>
                </c:pt>
                <c:pt idx="629">
                  <c:v>15</c:v>
                </c:pt>
                <c:pt idx="630">
                  <c:v>0</c:v>
                </c:pt>
                <c:pt idx="631">
                  <c:v>0</c:v>
                </c:pt>
                <c:pt idx="632">
                  <c:v>10</c:v>
                </c:pt>
                <c:pt idx="633">
                  <c:v>10</c:v>
                </c:pt>
                <c:pt idx="634">
                  <c:v>5</c:v>
                </c:pt>
                <c:pt idx="635">
                  <c:v>5</c:v>
                </c:pt>
                <c:pt idx="636">
                  <c:v>15</c:v>
                </c:pt>
                <c:pt idx="637">
                  <c:v>0</c:v>
                </c:pt>
                <c:pt idx="638">
                  <c:v>15</c:v>
                </c:pt>
                <c:pt idx="639">
                  <c:v>20</c:v>
                </c:pt>
                <c:pt idx="640">
                  <c:v>15</c:v>
                </c:pt>
                <c:pt idx="641">
                  <c:v>5</c:v>
                </c:pt>
                <c:pt idx="642">
                  <c:v>20</c:v>
                </c:pt>
                <c:pt idx="643">
                  <c:v>20</c:v>
                </c:pt>
                <c:pt idx="644">
                  <c:v>10</c:v>
                </c:pt>
                <c:pt idx="645">
                  <c:v>5</c:v>
                </c:pt>
                <c:pt idx="646">
                  <c:v>15</c:v>
                </c:pt>
                <c:pt idx="647">
                  <c:v>0</c:v>
                </c:pt>
                <c:pt idx="648">
                  <c:v>5</c:v>
                </c:pt>
                <c:pt idx="649">
                  <c:v>15</c:v>
                </c:pt>
                <c:pt idx="650">
                  <c:v>20</c:v>
                </c:pt>
                <c:pt idx="651">
                  <c:v>15</c:v>
                </c:pt>
                <c:pt idx="652">
                  <c:v>10</c:v>
                </c:pt>
                <c:pt idx="653">
                  <c:v>20</c:v>
                </c:pt>
                <c:pt idx="654">
                  <c:v>10</c:v>
                </c:pt>
                <c:pt idx="655">
                  <c:v>10</c:v>
                </c:pt>
                <c:pt idx="656">
                  <c:v>20</c:v>
                </c:pt>
                <c:pt idx="657">
                  <c:v>15</c:v>
                </c:pt>
                <c:pt idx="658">
                  <c:v>20</c:v>
                </c:pt>
                <c:pt idx="659">
                  <c:v>5</c:v>
                </c:pt>
                <c:pt idx="660">
                  <c:v>5</c:v>
                </c:pt>
                <c:pt idx="661">
                  <c:v>25</c:v>
                </c:pt>
                <c:pt idx="662">
                  <c:v>0</c:v>
                </c:pt>
                <c:pt idx="663">
                  <c:v>5</c:v>
                </c:pt>
                <c:pt idx="664">
                  <c:v>15</c:v>
                </c:pt>
                <c:pt idx="665">
                  <c:v>15</c:v>
                </c:pt>
                <c:pt idx="666">
                  <c:v>15</c:v>
                </c:pt>
                <c:pt idx="667">
                  <c:v>0</c:v>
                </c:pt>
                <c:pt idx="668">
                  <c:v>0</c:v>
                </c:pt>
                <c:pt idx="669">
                  <c:v>5</c:v>
                </c:pt>
                <c:pt idx="670">
                  <c:v>0</c:v>
                </c:pt>
                <c:pt idx="671">
                  <c:v>0</c:v>
                </c:pt>
                <c:pt idx="672">
                  <c:v>10</c:v>
                </c:pt>
                <c:pt idx="673">
                  <c:v>10</c:v>
                </c:pt>
                <c:pt idx="674">
                  <c:v>5</c:v>
                </c:pt>
                <c:pt idx="675">
                  <c:v>0</c:v>
                </c:pt>
                <c:pt idx="676">
                  <c:v>0</c:v>
                </c:pt>
                <c:pt idx="677">
                  <c:v>10</c:v>
                </c:pt>
                <c:pt idx="678">
                  <c:v>5</c:v>
                </c:pt>
                <c:pt idx="679">
                  <c:v>0</c:v>
                </c:pt>
                <c:pt idx="680">
                  <c:v>5</c:v>
                </c:pt>
                <c:pt idx="681">
                  <c:v>5</c:v>
                </c:pt>
                <c:pt idx="682">
                  <c:v>0</c:v>
                </c:pt>
                <c:pt idx="683">
                  <c:v>5</c:v>
                </c:pt>
                <c:pt idx="684">
                  <c:v>5</c:v>
                </c:pt>
                <c:pt idx="685">
                  <c:v>15</c:v>
                </c:pt>
                <c:pt idx="686">
                  <c:v>0</c:v>
                </c:pt>
                <c:pt idx="687">
                  <c:v>10</c:v>
                </c:pt>
                <c:pt idx="688">
                  <c:v>15</c:v>
                </c:pt>
                <c:pt idx="689">
                  <c:v>0</c:v>
                </c:pt>
                <c:pt idx="690">
                  <c:v>20</c:v>
                </c:pt>
                <c:pt idx="691">
                  <c:v>5</c:v>
                </c:pt>
                <c:pt idx="692">
                  <c:v>15</c:v>
                </c:pt>
                <c:pt idx="693">
                  <c:v>0</c:v>
                </c:pt>
                <c:pt idx="694">
                  <c:v>10</c:v>
                </c:pt>
                <c:pt idx="695">
                  <c:v>10</c:v>
                </c:pt>
                <c:pt idx="696">
                  <c:v>20</c:v>
                </c:pt>
                <c:pt idx="697">
                  <c:v>15</c:v>
                </c:pt>
                <c:pt idx="698">
                  <c:v>10</c:v>
                </c:pt>
                <c:pt idx="699">
                  <c:v>20</c:v>
                </c:pt>
                <c:pt idx="700">
                  <c:v>10</c:v>
                </c:pt>
                <c:pt idx="701">
                  <c:v>5</c:v>
                </c:pt>
                <c:pt idx="702">
                  <c:v>5</c:v>
                </c:pt>
                <c:pt idx="703">
                  <c:v>25</c:v>
                </c:pt>
                <c:pt idx="704">
                  <c:v>10</c:v>
                </c:pt>
                <c:pt idx="705">
                  <c:v>20</c:v>
                </c:pt>
                <c:pt idx="706">
                  <c:v>0</c:v>
                </c:pt>
                <c:pt idx="707">
                  <c:v>0</c:v>
                </c:pt>
                <c:pt idx="708">
                  <c:v>20</c:v>
                </c:pt>
                <c:pt idx="709">
                  <c:v>25</c:v>
                </c:pt>
                <c:pt idx="710">
                  <c:v>20</c:v>
                </c:pt>
                <c:pt idx="711">
                  <c:v>15</c:v>
                </c:pt>
                <c:pt idx="712">
                  <c:v>5</c:v>
                </c:pt>
                <c:pt idx="713">
                  <c:v>20</c:v>
                </c:pt>
                <c:pt idx="714">
                  <c:v>0</c:v>
                </c:pt>
                <c:pt idx="715">
                  <c:v>5</c:v>
                </c:pt>
                <c:pt idx="716">
                  <c:v>15</c:v>
                </c:pt>
                <c:pt idx="717">
                  <c:v>0</c:v>
                </c:pt>
                <c:pt idx="718">
                  <c:v>5</c:v>
                </c:pt>
                <c:pt idx="719">
                  <c:v>10</c:v>
                </c:pt>
                <c:pt idx="720">
                  <c:v>5</c:v>
                </c:pt>
                <c:pt idx="721">
                  <c:v>0</c:v>
                </c:pt>
                <c:pt idx="722">
                  <c:v>0</c:v>
                </c:pt>
                <c:pt idx="723">
                  <c:v>20</c:v>
                </c:pt>
                <c:pt idx="724">
                  <c:v>0</c:v>
                </c:pt>
                <c:pt idx="725">
                  <c:v>0</c:v>
                </c:pt>
                <c:pt idx="726">
                  <c:v>5</c:v>
                </c:pt>
                <c:pt idx="727">
                  <c:v>15</c:v>
                </c:pt>
                <c:pt idx="728">
                  <c:v>0</c:v>
                </c:pt>
                <c:pt idx="729">
                  <c:v>15</c:v>
                </c:pt>
                <c:pt idx="730">
                  <c:v>5</c:v>
                </c:pt>
                <c:pt idx="731">
                  <c:v>15</c:v>
                </c:pt>
                <c:pt idx="732">
                  <c:v>10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0</c:v>
                </c:pt>
                <c:pt idx="737">
                  <c:v>0</c:v>
                </c:pt>
                <c:pt idx="738">
                  <c:v>5</c:v>
                </c:pt>
                <c:pt idx="739">
                  <c:v>0</c:v>
                </c:pt>
                <c:pt idx="740">
                  <c:v>15</c:v>
                </c:pt>
                <c:pt idx="741">
                  <c:v>25</c:v>
                </c:pt>
                <c:pt idx="742">
                  <c:v>0</c:v>
                </c:pt>
                <c:pt idx="743">
                  <c:v>20</c:v>
                </c:pt>
                <c:pt idx="744">
                  <c:v>5</c:v>
                </c:pt>
                <c:pt idx="745">
                  <c:v>15</c:v>
                </c:pt>
                <c:pt idx="746">
                  <c:v>0</c:v>
                </c:pt>
                <c:pt idx="747">
                  <c:v>0</c:v>
                </c:pt>
                <c:pt idx="748">
                  <c:v>10</c:v>
                </c:pt>
                <c:pt idx="749">
                  <c:v>5</c:v>
                </c:pt>
                <c:pt idx="750">
                  <c:v>0</c:v>
                </c:pt>
                <c:pt idx="751">
                  <c:v>20</c:v>
                </c:pt>
                <c:pt idx="752">
                  <c:v>15</c:v>
                </c:pt>
                <c:pt idx="753">
                  <c:v>15</c:v>
                </c:pt>
                <c:pt idx="754">
                  <c:v>5</c:v>
                </c:pt>
                <c:pt idx="755">
                  <c:v>10</c:v>
                </c:pt>
                <c:pt idx="756">
                  <c:v>0</c:v>
                </c:pt>
                <c:pt idx="757">
                  <c:v>10</c:v>
                </c:pt>
                <c:pt idx="758">
                  <c:v>5</c:v>
                </c:pt>
                <c:pt idx="759">
                  <c:v>5</c:v>
                </c:pt>
                <c:pt idx="760">
                  <c:v>15</c:v>
                </c:pt>
                <c:pt idx="761">
                  <c:v>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10</c:v>
                </c:pt>
                <c:pt idx="766">
                  <c:v>15</c:v>
                </c:pt>
                <c:pt idx="767">
                  <c:v>0</c:v>
                </c:pt>
                <c:pt idx="768">
                  <c:v>20</c:v>
                </c:pt>
                <c:pt idx="769">
                  <c:v>10</c:v>
                </c:pt>
                <c:pt idx="770">
                  <c:v>0</c:v>
                </c:pt>
                <c:pt idx="771">
                  <c:v>20</c:v>
                </c:pt>
                <c:pt idx="772">
                  <c:v>0</c:v>
                </c:pt>
                <c:pt idx="773">
                  <c:v>10</c:v>
                </c:pt>
                <c:pt idx="774">
                  <c:v>0</c:v>
                </c:pt>
                <c:pt idx="775">
                  <c:v>10</c:v>
                </c:pt>
                <c:pt idx="776">
                  <c:v>0</c:v>
                </c:pt>
                <c:pt idx="777">
                  <c:v>15</c:v>
                </c:pt>
                <c:pt idx="778">
                  <c:v>5</c:v>
                </c:pt>
                <c:pt idx="779">
                  <c:v>0</c:v>
                </c:pt>
                <c:pt idx="780">
                  <c:v>5</c:v>
                </c:pt>
                <c:pt idx="781">
                  <c:v>0</c:v>
                </c:pt>
                <c:pt idx="782">
                  <c:v>25</c:v>
                </c:pt>
                <c:pt idx="783">
                  <c:v>10</c:v>
                </c:pt>
                <c:pt idx="784">
                  <c:v>5</c:v>
                </c:pt>
                <c:pt idx="785">
                  <c:v>5</c:v>
                </c:pt>
                <c:pt idx="786">
                  <c:v>15</c:v>
                </c:pt>
                <c:pt idx="787">
                  <c:v>5</c:v>
                </c:pt>
                <c:pt idx="788">
                  <c:v>15</c:v>
                </c:pt>
                <c:pt idx="789">
                  <c:v>15</c:v>
                </c:pt>
                <c:pt idx="790">
                  <c:v>5</c:v>
                </c:pt>
                <c:pt idx="791">
                  <c:v>15</c:v>
                </c:pt>
                <c:pt idx="792">
                  <c:v>10</c:v>
                </c:pt>
                <c:pt idx="793">
                  <c:v>10</c:v>
                </c:pt>
                <c:pt idx="794">
                  <c:v>20</c:v>
                </c:pt>
                <c:pt idx="795">
                  <c:v>5</c:v>
                </c:pt>
                <c:pt idx="796">
                  <c:v>0</c:v>
                </c:pt>
                <c:pt idx="797">
                  <c:v>0</c:v>
                </c:pt>
                <c:pt idx="798">
                  <c:v>10</c:v>
                </c:pt>
                <c:pt idx="799">
                  <c:v>25</c:v>
                </c:pt>
                <c:pt idx="800">
                  <c:v>15</c:v>
                </c:pt>
                <c:pt idx="801">
                  <c:v>0</c:v>
                </c:pt>
                <c:pt idx="802">
                  <c:v>15</c:v>
                </c:pt>
                <c:pt idx="803">
                  <c:v>10</c:v>
                </c:pt>
                <c:pt idx="804">
                  <c:v>10</c:v>
                </c:pt>
                <c:pt idx="805">
                  <c:v>25</c:v>
                </c:pt>
                <c:pt idx="806">
                  <c:v>20</c:v>
                </c:pt>
                <c:pt idx="807">
                  <c:v>15</c:v>
                </c:pt>
                <c:pt idx="808">
                  <c:v>20</c:v>
                </c:pt>
                <c:pt idx="809">
                  <c:v>15</c:v>
                </c:pt>
                <c:pt idx="810">
                  <c:v>15</c:v>
                </c:pt>
                <c:pt idx="811">
                  <c:v>10</c:v>
                </c:pt>
                <c:pt idx="812">
                  <c:v>0</c:v>
                </c:pt>
                <c:pt idx="813">
                  <c:v>5</c:v>
                </c:pt>
                <c:pt idx="814">
                  <c:v>10</c:v>
                </c:pt>
                <c:pt idx="815">
                  <c:v>10</c:v>
                </c:pt>
                <c:pt idx="816">
                  <c:v>5</c:v>
                </c:pt>
                <c:pt idx="817">
                  <c:v>15</c:v>
                </c:pt>
                <c:pt idx="818">
                  <c:v>5</c:v>
                </c:pt>
                <c:pt idx="819">
                  <c:v>10</c:v>
                </c:pt>
                <c:pt idx="820">
                  <c:v>10</c:v>
                </c:pt>
                <c:pt idx="821">
                  <c:v>10</c:v>
                </c:pt>
                <c:pt idx="822">
                  <c:v>15</c:v>
                </c:pt>
                <c:pt idx="823">
                  <c:v>5</c:v>
                </c:pt>
                <c:pt idx="824">
                  <c:v>10</c:v>
                </c:pt>
                <c:pt idx="825">
                  <c:v>0</c:v>
                </c:pt>
                <c:pt idx="826">
                  <c:v>20</c:v>
                </c:pt>
                <c:pt idx="827">
                  <c:v>5</c:v>
                </c:pt>
                <c:pt idx="828">
                  <c:v>5</c:v>
                </c:pt>
                <c:pt idx="829">
                  <c:v>10</c:v>
                </c:pt>
                <c:pt idx="830">
                  <c:v>5</c:v>
                </c:pt>
                <c:pt idx="831">
                  <c:v>5</c:v>
                </c:pt>
                <c:pt idx="832">
                  <c:v>10</c:v>
                </c:pt>
                <c:pt idx="833">
                  <c:v>10</c:v>
                </c:pt>
                <c:pt idx="834">
                  <c:v>5</c:v>
                </c:pt>
                <c:pt idx="835">
                  <c:v>10</c:v>
                </c:pt>
                <c:pt idx="836">
                  <c:v>25</c:v>
                </c:pt>
                <c:pt idx="837">
                  <c:v>25</c:v>
                </c:pt>
                <c:pt idx="838">
                  <c:v>25</c:v>
                </c:pt>
                <c:pt idx="839">
                  <c:v>15</c:v>
                </c:pt>
                <c:pt idx="840">
                  <c:v>15</c:v>
                </c:pt>
                <c:pt idx="841">
                  <c:v>10</c:v>
                </c:pt>
                <c:pt idx="842">
                  <c:v>15</c:v>
                </c:pt>
                <c:pt idx="843">
                  <c:v>20</c:v>
                </c:pt>
                <c:pt idx="844">
                  <c:v>20</c:v>
                </c:pt>
                <c:pt idx="845">
                  <c:v>5</c:v>
                </c:pt>
                <c:pt idx="846">
                  <c:v>20</c:v>
                </c:pt>
                <c:pt idx="847">
                  <c:v>10</c:v>
                </c:pt>
                <c:pt idx="848">
                  <c:v>5</c:v>
                </c:pt>
                <c:pt idx="849">
                  <c:v>20</c:v>
                </c:pt>
                <c:pt idx="850">
                  <c:v>5</c:v>
                </c:pt>
                <c:pt idx="851">
                  <c:v>5</c:v>
                </c:pt>
                <c:pt idx="852">
                  <c:v>20</c:v>
                </c:pt>
                <c:pt idx="853">
                  <c:v>20</c:v>
                </c:pt>
                <c:pt idx="854">
                  <c:v>10</c:v>
                </c:pt>
                <c:pt idx="855">
                  <c:v>0</c:v>
                </c:pt>
                <c:pt idx="856">
                  <c:v>5</c:v>
                </c:pt>
                <c:pt idx="857">
                  <c:v>10</c:v>
                </c:pt>
                <c:pt idx="858">
                  <c:v>25</c:v>
                </c:pt>
                <c:pt idx="859">
                  <c:v>10</c:v>
                </c:pt>
                <c:pt idx="860">
                  <c:v>15</c:v>
                </c:pt>
                <c:pt idx="861">
                  <c:v>10</c:v>
                </c:pt>
                <c:pt idx="862">
                  <c:v>15</c:v>
                </c:pt>
                <c:pt idx="863">
                  <c:v>15</c:v>
                </c:pt>
                <c:pt idx="864">
                  <c:v>30</c:v>
                </c:pt>
                <c:pt idx="865">
                  <c:v>5</c:v>
                </c:pt>
                <c:pt idx="866">
                  <c:v>5</c:v>
                </c:pt>
                <c:pt idx="867">
                  <c:v>15</c:v>
                </c:pt>
                <c:pt idx="868">
                  <c:v>10</c:v>
                </c:pt>
                <c:pt idx="869">
                  <c:v>0</c:v>
                </c:pt>
                <c:pt idx="870">
                  <c:v>5</c:v>
                </c:pt>
                <c:pt idx="871">
                  <c:v>10</c:v>
                </c:pt>
                <c:pt idx="872">
                  <c:v>0</c:v>
                </c:pt>
                <c:pt idx="873">
                  <c:v>10</c:v>
                </c:pt>
                <c:pt idx="874">
                  <c:v>10</c:v>
                </c:pt>
                <c:pt idx="875">
                  <c:v>15</c:v>
                </c:pt>
                <c:pt idx="876">
                  <c:v>15</c:v>
                </c:pt>
                <c:pt idx="877">
                  <c:v>0</c:v>
                </c:pt>
                <c:pt idx="878">
                  <c:v>5</c:v>
                </c:pt>
                <c:pt idx="879">
                  <c:v>0</c:v>
                </c:pt>
                <c:pt idx="880">
                  <c:v>0</c:v>
                </c:pt>
                <c:pt idx="881">
                  <c:v>20</c:v>
                </c:pt>
                <c:pt idx="882">
                  <c:v>5</c:v>
                </c:pt>
                <c:pt idx="883">
                  <c:v>0</c:v>
                </c:pt>
                <c:pt idx="884">
                  <c:v>0</c:v>
                </c:pt>
                <c:pt idx="885">
                  <c:v>5</c:v>
                </c:pt>
                <c:pt idx="886">
                  <c:v>5</c:v>
                </c:pt>
                <c:pt idx="887">
                  <c:v>0</c:v>
                </c:pt>
                <c:pt idx="888">
                  <c:v>15</c:v>
                </c:pt>
                <c:pt idx="889">
                  <c:v>15</c:v>
                </c:pt>
                <c:pt idx="890">
                  <c:v>10</c:v>
                </c:pt>
                <c:pt idx="891">
                  <c:v>15</c:v>
                </c:pt>
                <c:pt idx="892">
                  <c:v>10</c:v>
                </c:pt>
                <c:pt idx="893">
                  <c:v>15</c:v>
                </c:pt>
                <c:pt idx="894">
                  <c:v>20</c:v>
                </c:pt>
                <c:pt idx="895">
                  <c:v>5</c:v>
                </c:pt>
                <c:pt idx="896">
                  <c:v>0</c:v>
                </c:pt>
                <c:pt idx="897">
                  <c:v>10</c:v>
                </c:pt>
                <c:pt idx="898">
                  <c:v>0</c:v>
                </c:pt>
                <c:pt idx="899">
                  <c:v>30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20</c:v>
                </c:pt>
                <c:pt idx="907">
                  <c:v>10</c:v>
                </c:pt>
                <c:pt idx="908">
                  <c:v>0</c:v>
                </c:pt>
                <c:pt idx="909">
                  <c:v>10</c:v>
                </c:pt>
                <c:pt idx="910">
                  <c:v>5</c:v>
                </c:pt>
                <c:pt idx="911">
                  <c:v>0</c:v>
                </c:pt>
                <c:pt idx="912">
                  <c:v>0</c:v>
                </c:pt>
                <c:pt idx="913">
                  <c:v>10</c:v>
                </c:pt>
                <c:pt idx="914">
                  <c:v>10</c:v>
                </c:pt>
                <c:pt idx="915">
                  <c:v>15</c:v>
                </c:pt>
                <c:pt idx="916">
                  <c:v>0</c:v>
                </c:pt>
                <c:pt idx="917">
                  <c:v>0</c:v>
                </c:pt>
                <c:pt idx="918">
                  <c:v>5</c:v>
                </c:pt>
                <c:pt idx="919">
                  <c:v>0</c:v>
                </c:pt>
                <c:pt idx="920">
                  <c:v>10</c:v>
                </c:pt>
                <c:pt idx="921">
                  <c:v>10</c:v>
                </c:pt>
                <c:pt idx="922">
                  <c:v>10</c:v>
                </c:pt>
                <c:pt idx="923">
                  <c:v>0</c:v>
                </c:pt>
                <c:pt idx="924">
                  <c:v>0</c:v>
                </c:pt>
                <c:pt idx="925">
                  <c:v>10</c:v>
                </c:pt>
                <c:pt idx="926">
                  <c:v>10</c:v>
                </c:pt>
                <c:pt idx="927">
                  <c:v>0</c:v>
                </c:pt>
                <c:pt idx="928">
                  <c:v>15</c:v>
                </c:pt>
                <c:pt idx="929">
                  <c:v>15</c:v>
                </c:pt>
                <c:pt idx="930">
                  <c:v>15</c:v>
                </c:pt>
                <c:pt idx="931">
                  <c:v>10</c:v>
                </c:pt>
                <c:pt idx="932">
                  <c:v>5</c:v>
                </c:pt>
                <c:pt idx="933">
                  <c:v>5</c:v>
                </c:pt>
                <c:pt idx="934">
                  <c:v>0</c:v>
                </c:pt>
                <c:pt idx="935">
                  <c:v>5</c:v>
                </c:pt>
                <c:pt idx="936">
                  <c:v>20</c:v>
                </c:pt>
                <c:pt idx="937">
                  <c:v>0</c:v>
                </c:pt>
                <c:pt idx="938">
                  <c:v>15</c:v>
                </c:pt>
                <c:pt idx="939">
                  <c:v>5</c:v>
                </c:pt>
                <c:pt idx="940">
                  <c:v>10</c:v>
                </c:pt>
                <c:pt idx="941">
                  <c:v>5</c:v>
                </c:pt>
                <c:pt idx="942">
                  <c:v>10</c:v>
                </c:pt>
                <c:pt idx="943">
                  <c:v>0</c:v>
                </c:pt>
                <c:pt idx="944">
                  <c:v>15</c:v>
                </c:pt>
                <c:pt idx="945">
                  <c:v>15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0</c:v>
                </c:pt>
                <c:pt idx="950">
                  <c:v>5</c:v>
                </c:pt>
                <c:pt idx="951">
                  <c:v>10</c:v>
                </c:pt>
                <c:pt idx="952">
                  <c:v>10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5</c:v>
                </c:pt>
                <c:pt idx="957">
                  <c:v>10</c:v>
                </c:pt>
                <c:pt idx="958">
                  <c:v>5</c:v>
                </c:pt>
                <c:pt idx="959">
                  <c:v>0</c:v>
                </c:pt>
                <c:pt idx="960">
                  <c:v>5</c:v>
                </c:pt>
                <c:pt idx="961">
                  <c:v>15</c:v>
                </c:pt>
                <c:pt idx="962">
                  <c:v>15</c:v>
                </c:pt>
                <c:pt idx="963">
                  <c:v>20</c:v>
                </c:pt>
                <c:pt idx="964">
                  <c:v>10</c:v>
                </c:pt>
                <c:pt idx="965">
                  <c:v>5</c:v>
                </c:pt>
                <c:pt idx="966">
                  <c:v>10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20</c:v>
                </c:pt>
                <c:pt idx="972">
                  <c:v>10</c:v>
                </c:pt>
                <c:pt idx="973">
                  <c:v>10</c:v>
                </c:pt>
                <c:pt idx="974">
                  <c:v>5</c:v>
                </c:pt>
                <c:pt idx="975">
                  <c:v>20</c:v>
                </c:pt>
                <c:pt idx="976">
                  <c:v>0</c:v>
                </c:pt>
                <c:pt idx="977">
                  <c:v>0</c:v>
                </c:pt>
                <c:pt idx="978">
                  <c:v>10</c:v>
                </c:pt>
                <c:pt idx="979">
                  <c:v>5</c:v>
                </c:pt>
                <c:pt idx="980">
                  <c:v>0</c:v>
                </c:pt>
                <c:pt idx="981">
                  <c:v>15</c:v>
                </c:pt>
                <c:pt idx="982">
                  <c:v>0</c:v>
                </c:pt>
                <c:pt idx="983">
                  <c:v>0</c:v>
                </c:pt>
                <c:pt idx="984">
                  <c:v>5</c:v>
                </c:pt>
                <c:pt idx="985">
                  <c:v>5</c:v>
                </c:pt>
                <c:pt idx="986">
                  <c:v>20</c:v>
                </c:pt>
                <c:pt idx="987">
                  <c:v>10</c:v>
                </c:pt>
                <c:pt idx="988">
                  <c:v>10</c:v>
                </c:pt>
                <c:pt idx="989">
                  <c:v>15</c:v>
                </c:pt>
                <c:pt idx="990">
                  <c:v>5</c:v>
                </c:pt>
                <c:pt idx="991">
                  <c:v>20</c:v>
                </c:pt>
                <c:pt idx="992">
                  <c:v>20</c:v>
                </c:pt>
                <c:pt idx="993">
                  <c:v>10</c:v>
                </c:pt>
                <c:pt idx="994">
                  <c:v>5</c:v>
                </c:pt>
                <c:pt idx="995">
                  <c:v>15</c:v>
                </c:pt>
                <c:pt idx="996">
                  <c:v>5</c:v>
                </c:pt>
                <c:pt idx="997">
                  <c:v>0</c:v>
                </c:pt>
                <c:pt idx="998">
                  <c:v>15</c:v>
                </c:pt>
                <c:pt idx="999">
                  <c:v>10</c:v>
                </c:pt>
                <c:pt idx="1000">
                  <c:v>10</c:v>
                </c:pt>
                <c:pt idx="1001">
                  <c:v>5</c:v>
                </c:pt>
                <c:pt idx="1002">
                  <c:v>15</c:v>
                </c:pt>
                <c:pt idx="1003">
                  <c:v>10</c:v>
                </c:pt>
                <c:pt idx="1004">
                  <c:v>20</c:v>
                </c:pt>
                <c:pt idx="1005">
                  <c:v>25</c:v>
                </c:pt>
                <c:pt idx="1006">
                  <c:v>10</c:v>
                </c:pt>
                <c:pt idx="1007">
                  <c:v>5</c:v>
                </c:pt>
                <c:pt idx="1008">
                  <c:v>0</c:v>
                </c:pt>
                <c:pt idx="1009">
                  <c:v>10</c:v>
                </c:pt>
                <c:pt idx="1010">
                  <c:v>10</c:v>
                </c:pt>
                <c:pt idx="1011">
                  <c:v>5</c:v>
                </c:pt>
                <c:pt idx="1012">
                  <c:v>10</c:v>
                </c:pt>
                <c:pt idx="1013">
                  <c:v>25</c:v>
                </c:pt>
                <c:pt idx="1014">
                  <c:v>0</c:v>
                </c:pt>
                <c:pt idx="1015">
                  <c:v>5</c:v>
                </c:pt>
                <c:pt idx="1016">
                  <c:v>0</c:v>
                </c:pt>
                <c:pt idx="1017">
                  <c:v>10</c:v>
                </c:pt>
                <c:pt idx="1018">
                  <c:v>20</c:v>
                </c:pt>
                <c:pt idx="1019">
                  <c:v>15</c:v>
                </c:pt>
                <c:pt idx="1020">
                  <c:v>5</c:v>
                </c:pt>
                <c:pt idx="1021">
                  <c:v>25</c:v>
                </c:pt>
                <c:pt idx="1022">
                  <c:v>0</c:v>
                </c:pt>
                <c:pt idx="1023">
                  <c:v>0</c:v>
                </c:pt>
                <c:pt idx="1024">
                  <c:v>15</c:v>
                </c:pt>
                <c:pt idx="1025">
                  <c:v>0</c:v>
                </c:pt>
                <c:pt idx="1026">
                  <c:v>5</c:v>
                </c:pt>
                <c:pt idx="1027">
                  <c:v>5</c:v>
                </c:pt>
                <c:pt idx="1028">
                  <c:v>15</c:v>
                </c:pt>
                <c:pt idx="1029">
                  <c:v>0</c:v>
                </c:pt>
                <c:pt idx="1030">
                  <c:v>5</c:v>
                </c:pt>
                <c:pt idx="1031">
                  <c:v>10</c:v>
                </c:pt>
                <c:pt idx="1032">
                  <c:v>0</c:v>
                </c:pt>
                <c:pt idx="1033">
                  <c:v>0</c:v>
                </c:pt>
                <c:pt idx="1034">
                  <c:v>15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5</c:v>
                </c:pt>
                <c:pt idx="1039">
                  <c:v>20</c:v>
                </c:pt>
                <c:pt idx="1040">
                  <c:v>5</c:v>
                </c:pt>
                <c:pt idx="1041">
                  <c:v>10</c:v>
                </c:pt>
                <c:pt idx="1042">
                  <c:v>10</c:v>
                </c:pt>
                <c:pt idx="1043">
                  <c:v>5</c:v>
                </c:pt>
                <c:pt idx="1044">
                  <c:v>10</c:v>
                </c:pt>
                <c:pt idx="1045">
                  <c:v>20</c:v>
                </c:pt>
                <c:pt idx="1046">
                  <c:v>5</c:v>
                </c:pt>
                <c:pt idx="1047">
                  <c:v>0</c:v>
                </c:pt>
                <c:pt idx="1048">
                  <c:v>20</c:v>
                </c:pt>
                <c:pt idx="1049">
                  <c:v>0</c:v>
                </c:pt>
                <c:pt idx="1050">
                  <c:v>10</c:v>
                </c:pt>
                <c:pt idx="1051">
                  <c:v>10</c:v>
                </c:pt>
                <c:pt idx="1052">
                  <c:v>5</c:v>
                </c:pt>
                <c:pt idx="1053">
                  <c:v>0</c:v>
                </c:pt>
                <c:pt idx="1054">
                  <c:v>15</c:v>
                </c:pt>
                <c:pt idx="1055">
                  <c:v>10</c:v>
                </c:pt>
                <c:pt idx="1056">
                  <c:v>10</c:v>
                </c:pt>
                <c:pt idx="1057">
                  <c:v>0</c:v>
                </c:pt>
                <c:pt idx="1058">
                  <c:v>5</c:v>
                </c:pt>
                <c:pt idx="1059">
                  <c:v>5</c:v>
                </c:pt>
                <c:pt idx="1060">
                  <c:v>15</c:v>
                </c:pt>
                <c:pt idx="1061">
                  <c:v>10</c:v>
                </c:pt>
                <c:pt idx="1062">
                  <c:v>15</c:v>
                </c:pt>
                <c:pt idx="1063">
                  <c:v>5</c:v>
                </c:pt>
                <c:pt idx="1064">
                  <c:v>0</c:v>
                </c:pt>
                <c:pt idx="1065">
                  <c:v>10</c:v>
                </c:pt>
                <c:pt idx="1066">
                  <c:v>0</c:v>
                </c:pt>
                <c:pt idx="1067">
                  <c:v>5</c:v>
                </c:pt>
                <c:pt idx="1068">
                  <c:v>0</c:v>
                </c:pt>
                <c:pt idx="1069">
                  <c:v>10</c:v>
                </c:pt>
                <c:pt idx="1070">
                  <c:v>5</c:v>
                </c:pt>
                <c:pt idx="1071">
                  <c:v>20</c:v>
                </c:pt>
                <c:pt idx="1072">
                  <c:v>15</c:v>
                </c:pt>
                <c:pt idx="1073">
                  <c:v>15</c:v>
                </c:pt>
                <c:pt idx="1074">
                  <c:v>5</c:v>
                </c:pt>
                <c:pt idx="1075">
                  <c:v>15</c:v>
                </c:pt>
                <c:pt idx="1076">
                  <c:v>15</c:v>
                </c:pt>
                <c:pt idx="1077">
                  <c:v>0</c:v>
                </c:pt>
                <c:pt idx="1078">
                  <c:v>10</c:v>
                </c:pt>
                <c:pt idx="1079">
                  <c:v>0</c:v>
                </c:pt>
                <c:pt idx="1080">
                  <c:v>10</c:v>
                </c:pt>
                <c:pt idx="1081">
                  <c:v>0</c:v>
                </c:pt>
                <c:pt idx="1082">
                  <c:v>5</c:v>
                </c:pt>
                <c:pt idx="1083">
                  <c:v>15</c:v>
                </c:pt>
                <c:pt idx="1084">
                  <c:v>10</c:v>
                </c:pt>
                <c:pt idx="1085">
                  <c:v>20</c:v>
                </c:pt>
                <c:pt idx="1086">
                  <c:v>10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10</c:v>
                </c:pt>
                <c:pt idx="1094">
                  <c:v>15</c:v>
                </c:pt>
                <c:pt idx="1095">
                  <c:v>10</c:v>
                </c:pt>
                <c:pt idx="1096">
                  <c:v>0</c:v>
                </c:pt>
                <c:pt idx="1097">
                  <c:v>0</c:v>
                </c:pt>
                <c:pt idx="1098">
                  <c:v>20</c:v>
                </c:pt>
                <c:pt idx="1099">
                  <c:v>15</c:v>
                </c:pt>
                <c:pt idx="1100">
                  <c:v>5</c:v>
                </c:pt>
                <c:pt idx="1101">
                  <c:v>0</c:v>
                </c:pt>
                <c:pt idx="1102">
                  <c:v>20</c:v>
                </c:pt>
                <c:pt idx="1103">
                  <c:v>5</c:v>
                </c:pt>
                <c:pt idx="1104">
                  <c:v>25</c:v>
                </c:pt>
                <c:pt idx="1105">
                  <c:v>25</c:v>
                </c:pt>
                <c:pt idx="1106">
                  <c:v>10</c:v>
                </c:pt>
                <c:pt idx="1107">
                  <c:v>10</c:v>
                </c:pt>
                <c:pt idx="1108">
                  <c:v>0</c:v>
                </c:pt>
                <c:pt idx="1109">
                  <c:v>10</c:v>
                </c:pt>
                <c:pt idx="1110">
                  <c:v>20</c:v>
                </c:pt>
                <c:pt idx="1111">
                  <c:v>0</c:v>
                </c:pt>
                <c:pt idx="1112">
                  <c:v>15</c:v>
                </c:pt>
                <c:pt idx="1113">
                  <c:v>15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0</c:v>
                </c:pt>
                <c:pt idx="1118">
                  <c:v>10</c:v>
                </c:pt>
                <c:pt idx="1119">
                  <c:v>0</c:v>
                </c:pt>
                <c:pt idx="1120">
                  <c:v>15</c:v>
                </c:pt>
                <c:pt idx="1121">
                  <c:v>15</c:v>
                </c:pt>
                <c:pt idx="1122">
                  <c:v>15</c:v>
                </c:pt>
                <c:pt idx="1123">
                  <c:v>10</c:v>
                </c:pt>
                <c:pt idx="1124">
                  <c:v>0</c:v>
                </c:pt>
                <c:pt idx="1125">
                  <c:v>5</c:v>
                </c:pt>
                <c:pt idx="1126">
                  <c:v>15</c:v>
                </c:pt>
                <c:pt idx="1127">
                  <c:v>20</c:v>
                </c:pt>
                <c:pt idx="1128">
                  <c:v>15</c:v>
                </c:pt>
                <c:pt idx="1129">
                  <c:v>0</c:v>
                </c:pt>
                <c:pt idx="1130">
                  <c:v>5</c:v>
                </c:pt>
                <c:pt idx="1131">
                  <c:v>0</c:v>
                </c:pt>
                <c:pt idx="1132">
                  <c:v>5</c:v>
                </c:pt>
                <c:pt idx="1133">
                  <c:v>15</c:v>
                </c:pt>
                <c:pt idx="1134">
                  <c:v>20</c:v>
                </c:pt>
                <c:pt idx="1135">
                  <c:v>10</c:v>
                </c:pt>
                <c:pt idx="1136">
                  <c:v>5</c:v>
                </c:pt>
                <c:pt idx="1137">
                  <c:v>10</c:v>
                </c:pt>
                <c:pt idx="1138">
                  <c:v>5</c:v>
                </c:pt>
                <c:pt idx="1139">
                  <c:v>0</c:v>
                </c:pt>
                <c:pt idx="1140">
                  <c:v>10</c:v>
                </c:pt>
                <c:pt idx="1141">
                  <c:v>5</c:v>
                </c:pt>
                <c:pt idx="1142">
                  <c:v>5</c:v>
                </c:pt>
                <c:pt idx="1143">
                  <c:v>20</c:v>
                </c:pt>
                <c:pt idx="1144">
                  <c:v>5</c:v>
                </c:pt>
                <c:pt idx="1145">
                  <c:v>10</c:v>
                </c:pt>
                <c:pt idx="1146">
                  <c:v>5</c:v>
                </c:pt>
                <c:pt idx="1147">
                  <c:v>5</c:v>
                </c:pt>
                <c:pt idx="1148">
                  <c:v>5</c:v>
                </c:pt>
                <c:pt idx="1149">
                  <c:v>10</c:v>
                </c:pt>
                <c:pt idx="1150">
                  <c:v>10</c:v>
                </c:pt>
                <c:pt idx="1151">
                  <c:v>15</c:v>
                </c:pt>
                <c:pt idx="1152">
                  <c:v>5</c:v>
                </c:pt>
                <c:pt idx="1153">
                  <c:v>5</c:v>
                </c:pt>
                <c:pt idx="1154">
                  <c:v>10</c:v>
                </c:pt>
                <c:pt idx="1155">
                  <c:v>5</c:v>
                </c:pt>
                <c:pt idx="1156">
                  <c:v>0</c:v>
                </c:pt>
                <c:pt idx="1157">
                  <c:v>0</c:v>
                </c:pt>
                <c:pt idx="1158">
                  <c:v>10</c:v>
                </c:pt>
                <c:pt idx="1159">
                  <c:v>5</c:v>
                </c:pt>
                <c:pt idx="1160">
                  <c:v>10</c:v>
                </c:pt>
                <c:pt idx="1161">
                  <c:v>20</c:v>
                </c:pt>
                <c:pt idx="1162">
                  <c:v>25</c:v>
                </c:pt>
                <c:pt idx="1163">
                  <c:v>5</c:v>
                </c:pt>
                <c:pt idx="1164">
                  <c:v>0</c:v>
                </c:pt>
                <c:pt idx="1165">
                  <c:v>0</c:v>
                </c:pt>
                <c:pt idx="1166">
                  <c:v>20</c:v>
                </c:pt>
                <c:pt idx="1167">
                  <c:v>20</c:v>
                </c:pt>
                <c:pt idx="1168">
                  <c:v>0</c:v>
                </c:pt>
                <c:pt idx="1169">
                  <c:v>5</c:v>
                </c:pt>
                <c:pt idx="1170">
                  <c:v>10</c:v>
                </c:pt>
                <c:pt idx="1171">
                  <c:v>10</c:v>
                </c:pt>
                <c:pt idx="1172">
                  <c:v>5</c:v>
                </c:pt>
                <c:pt idx="1173">
                  <c:v>10</c:v>
                </c:pt>
                <c:pt idx="1174">
                  <c:v>30</c:v>
                </c:pt>
                <c:pt idx="1175">
                  <c:v>0</c:v>
                </c:pt>
                <c:pt idx="1176">
                  <c:v>15</c:v>
                </c:pt>
                <c:pt idx="1177">
                  <c:v>15</c:v>
                </c:pt>
                <c:pt idx="1178">
                  <c:v>20</c:v>
                </c:pt>
                <c:pt idx="1179">
                  <c:v>15</c:v>
                </c:pt>
                <c:pt idx="1180">
                  <c:v>25</c:v>
                </c:pt>
                <c:pt idx="1181">
                  <c:v>25</c:v>
                </c:pt>
                <c:pt idx="1182">
                  <c:v>25</c:v>
                </c:pt>
                <c:pt idx="1183">
                  <c:v>15</c:v>
                </c:pt>
                <c:pt idx="1184">
                  <c:v>0</c:v>
                </c:pt>
                <c:pt idx="1185">
                  <c:v>0</c:v>
                </c:pt>
                <c:pt idx="1186">
                  <c:v>5</c:v>
                </c:pt>
                <c:pt idx="1187">
                  <c:v>5</c:v>
                </c:pt>
                <c:pt idx="1188">
                  <c:v>15</c:v>
                </c:pt>
                <c:pt idx="1189">
                  <c:v>15</c:v>
                </c:pt>
                <c:pt idx="1190">
                  <c:v>15</c:v>
                </c:pt>
                <c:pt idx="1191">
                  <c:v>20</c:v>
                </c:pt>
                <c:pt idx="1192">
                  <c:v>20</c:v>
                </c:pt>
                <c:pt idx="1193">
                  <c:v>10</c:v>
                </c:pt>
                <c:pt idx="1194">
                  <c:v>5</c:v>
                </c:pt>
                <c:pt idx="1195">
                  <c:v>10</c:v>
                </c:pt>
                <c:pt idx="1196">
                  <c:v>20</c:v>
                </c:pt>
                <c:pt idx="1197">
                  <c:v>0</c:v>
                </c:pt>
                <c:pt idx="1198">
                  <c:v>5</c:v>
                </c:pt>
                <c:pt idx="1199">
                  <c:v>0</c:v>
                </c:pt>
                <c:pt idx="1200">
                  <c:v>5</c:v>
                </c:pt>
                <c:pt idx="1201">
                  <c:v>15</c:v>
                </c:pt>
                <c:pt idx="1202">
                  <c:v>0</c:v>
                </c:pt>
                <c:pt idx="1203">
                  <c:v>5</c:v>
                </c:pt>
                <c:pt idx="1204">
                  <c:v>5</c:v>
                </c:pt>
                <c:pt idx="1205">
                  <c:v>10</c:v>
                </c:pt>
                <c:pt idx="1206">
                  <c:v>25</c:v>
                </c:pt>
                <c:pt idx="1207">
                  <c:v>0</c:v>
                </c:pt>
                <c:pt idx="1208">
                  <c:v>10</c:v>
                </c:pt>
                <c:pt idx="1209">
                  <c:v>10</c:v>
                </c:pt>
                <c:pt idx="1210">
                  <c:v>5</c:v>
                </c:pt>
                <c:pt idx="1211">
                  <c:v>0</c:v>
                </c:pt>
                <c:pt idx="1212">
                  <c:v>0</c:v>
                </c:pt>
                <c:pt idx="1213">
                  <c:v>5</c:v>
                </c:pt>
                <c:pt idx="1214">
                  <c:v>15</c:v>
                </c:pt>
                <c:pt idx="1215">
                  <c:v>5</c:v>
                </c:pt>
                <c:pt idx="1216">
                  <c:v>0</c:v>
                </c:pt>
                <c:pt idx="1217">
                  <c:v>10</c:v>
                </c:pt>
                <c:pt idx="1218">
                  <c:v>15</c:v>
                </c:pt>
                <c:pt idx="1219">
                  <c:v>0</c:v>
                </c:pt>
                <c:pt idx="1220">
                  <c:v>15</c:v>
                </c:pt>
                <c:pt idx="1221">
                  <c:v>10</c:v>
                </c:pt>
                <c:pt idx="1222">
                  <c:v>10</c:v>
                </c:pt>
                <c:pt idx="1223">
                  <c:v>0</c:v>
                </c:pt>
                <c:pt idx="1224">
                  <c:v>0</c:v>
                </c:pt>
                <c:pt idx="1225">
                  <c:v>20</c:v>
                </c:pt>
                <c:pt idx="1226">
                  <c:v>10</c:v>
                </c:pt>
                <c:pt idx="1227">
                  <c:v>0</c:v>
                </c:pt>
                <c:pt idx="1228">
                  <c:v>10</c:v>
                </c:pt>
                <c:pt idx="1229">
                  <c:v>5</c:v>
                </c:pt>
                <c:pt idx="1230">
                  <c:v>0</c:v>
                </c:pt>
                <c:pt idx="1231">
                  <c:v>5</c:v>
                </c:pt>
                <c:pt idx="1232">
                  <c:v>15</c:v>
                </c:pt>
                <c:pt idx="1233">
                  <c:v>0</c:v>
                </c:pt>
                <c:pt idx="1234">
                  <c:v>0</c:v>
                </c:pt>
                <c:pt idx="1235">
                  <c:v>5</c:v>
                </c:pt>
                <c:pt idx="1236">
                  <c:v>5</c:v>
                </c:pt>
                <c:pt idx="1237">
                  <c:v>0</c:v>
                </c:pt>
                <c:pt idx="1238">
                  <c:v>0</c:v>
                </c:pt>
                <c:pt idx="1239">
                  <c:v>10</c:v>
                </c:pt>
                <c:pt idx="1240">
                  <c:v>15</c:v>
                </c:pt>
                <c:pt idx="1241">
                  <c:v>10</c:v>
                </c:pt>
                <c:pt idx="1242">
                  <c:v>0</c:v>
                </c:pt>
                <c:pt idx="1243">
                  <c:v>5</c:v>
                </c:pt>
                <c:pt idx="1244">
                  <c:v>15</c:v>
                </c:pt>
                <c:pt idx="1245">
                  <c:v>0</c:v>
                </c:pt>
                <c:pt idx="1246">
                  <c:v>10</c:v>
                </c:pt>
                <c:pt idx="1247">
                  <c:v>20</c:v>
                </c:pt>
                <c:pt idx="1248">
                  <c:v>15</c:v>
                </c:pt>
                <c:pt idx="1249">
                  <c:v>5</c:v>
                </c:pt>
                <c:pt idx="1250">
                  <c:v>20</c:v>
                </c:pt>
                <c:pt idx="1251">
                  <c:v>15</c:v>
                </c:pt>
                <c:pt idx="1252">
                  <c:v>10</c:v>
                </c:pt>
                <c:pt idx="1253">
                  <c:v>0</c:v>
                </c:pt>
                <c:pt idx="1254">
                  <c:v>15</c:v>
                </c:pt>
                <c:pt idx="1255">
                  <c:v>0</c:v>
                </c:pt>
                <c:pt idx="1256">
                  <c:v>0</c:v>
                </c:pt>
                <c:pt idx="1257">
                  <c:v>5</c:v>
                </c:pt>
                <c:pt idx="1258">
                  <c:v>10</c:v>
                </c:pt>
                <c:pt idx="1259">
                  <c:v>5</c:v>
                </c:pt>
                <c:pt idx="1260">
                  <c:v>5</c:v>
                </c:pt>
                <c:pt idx="1261">
                  <c:v>5</c:v>
                </c:pt>
                <c:pt idx="1262">
                  <c:v>10</c:v>
                </c:pt>
                <c:pt idx="1263">
                  <c:v>20</c:v>
                </c:pt>
                <c:pt idx="1264">
                  <c:v>10</c:v>
                </c:pt>
                <c:pt idx="1265">
                  <c:v>20</c:v>
                </c:pt>
                <c:pt idx="1266">
                  <c:v>25</c:v>
                </c:pt>
                <c:pt idx="1267">
                  <c:v>10</c:v>
                </c:pt>
                <c:pt idx="1268">
                  <c:v>0</c:v>
                </c:pt>
                <c:pt idx="1269">
                  <c:v>5</c:v>
                </c:pt>
                <c:pt idx="1270">
                  <c:v>0</c:v>
                </c:pt>
                <c:pt idx="1271">
                  <c:v>15</c:v>
                </c:pt>
                <c:pt idx="1272">
                  <c:v>15</c:v>
                </c:pt>
                <c:pt idx="1273">
                  <c:v>15</c:v>
                </c:pt>
                <c:pt idx="1274">
                  <c:v>15</c:v>
                </c:pt>
                <c:pt idx="1275">
                  <c:v>10</c:v>
                </c:pt>
                <c:pt idx="1276">
                  <c:v>10</c:v>
                </c:pt>
                <c:pt idx="1277">
                  <c:v>25</c:v>
                </c:pt>
                <c:pt idx="1278">
                  <c:v>5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10</c:v>
                </c:pt>
                <c:pt idx="1283">
                  <c:v>0</c:v>
                </c:pt>
                <c:pt idx="1284">
                  <c:v>0</c:v>
                </c:pt>
                <c:pt idx="1285">
                  <c:v>10</c:v>
                </c:pt>
                <c:pt idx="1286">
                  <c:v>5</c:v>
                </c:pt>
                <c:pt idx="1287">
                  <c:v>15</c:v>
                </c:pt>
                <c:pt idx="1288">
                  <c:v>20</c:v>
                </c:pt>
                <c:pt idx="1289">
                  <c:v>5</c:v>
                </c:pt>
                <c:pt idx="1290">
                  <c:v>5</c:v>
                </c:pt>
                <c:pt idx="1291">
                  <c:v>5</c:v>
                </c:pt>
                <c:pt idx="1292">
                  <c:v>0</c:v>
                </c:pt>
                <c:pt idx="1293">
                  <c:v>5</c:v>
                </c:pt>
                <c:pt idx="1294">
                  <c:v>5</c:v>
                </c:pt>
                <c:pt idx="1295">
                  <c:v>15</c:v>
                </c:pt>
                <c:pt idx="1296">
                  <c:v>30</c:v>
                </c:pt>
                <c:pt idx="1297">
                  <c:v>5</c:v>
                </c:pt>
                <c:pt idx="1298">
                  <c:v>5</c:v>
                </c:pt>
                <c:pt idx="1299">
                  <c:v>0</c:v>
                </c:pt>
                <c:pt idx="1300">
                  <c:v>10</c:v>
                </c:pt>
                <c:pt idx="1301">
                  <c:v>5</c:v>
                </c:pt>
                <c:pt idx="1302">
                  <c:v>10</c:v>
                </c:pt>
                <c:pt idx="1303">
                  <c:v>0</c:v>
                </c:pt>
                <c:pt idx="1304">
                  <c:v>5</c:v>
                </c:pt>
                <c:pt idx="1305">
                  <c:v>0</c:v>
                </c:pt>
                <c:pt idx="1306">
                  <c:v>5</c:v>
                </c:pt>
                <c:pt idx="1307">
                  <c:v>0</c:v>
                </c:pt>
                <c:pt idx="1308">
                  <c:v>20</c:v>
                </c:pt>
                <c:pt idx="1309">
                  <c:v>5</c:v>
                </c:pt>
                <c:pt idx="1310">
                  <c:v>5</c:v>
                </c:pt>
                <c:pt idx="1311">
                  <c:v>25</c:v>
                </c:pt>
                <c:pt idx="1312">
                  <c:v>10</c:v>
                </c:pt>
                <c:pt idx="1313">
                  <c:v>0</c:v>
                </c:pt>
                <c:pt idx="1314">
                  <c:v>0</c:v>
                </c:pt>
                <c:pt idx="1315">
                  <c:v>10</c:v>
                </c:pt>
                <c:pt idx="1316">
                  <c:v>15</c:v>
                </c:pt>
                <c:pt idx="1317">
                  <c:v>15</c:v>
                </c:pt>
                <c:pt idx="1318">
                  <c:v>5</c:v>
                </c:pt>
                <c:pt idx="1319">
                  <c:v>0</c:v>
                </c:pt>
                <c:pt idx="1320">
                  <c:v>0</c:v>
                </c:pt>
                <c:pt idx="1321">
                  <c:v>15</c:v>
                </c:pt>
                <c:pt idx="1322">
                  <c:v>0</c:v>
                </c:pt>
                <c:pt idx="1323">
                  <c:v>10</c:v>
                </c:pt>
                <c:pt idx="1324">
                  <c:v>5</c:v>
                </c:pt>
                <c:pt idx="1325">
                  <c:v>0</c:v>
                </c:pt>
                <c:pt idx="1326">
                  <c:v>5</c:v>
                </c:pt>
                <c:pt idx="1327">
                  <c:v>5</c:v>
                </c:pt>
                <c:pt idx="1328">
                  <c:v>20</c:v>
                </c:pt>
                <c:pt idx="1329">
                  <c:v>20</c:v>
                </c:pt>
                <c:pt idx="1330">
                  <c:v>0</c:v>
                </c:pt>
                <c:pt idx="1331">
                  <c:v>0</c:v>
                </c:pt>
                <c:pt idx="1332">
                  <c:v>10</c:v>
                </c:pt>
                <c:pt idx="1333">
                  <c:v>5</c:v>
                </c:pt>
                <c:pt idx="1334">
                  <c:v>10</c:v>
                </c:pt>
                <c:pt idx="1335">
                  <c:v>10</c:v>
                </c:pt>
                <c:pt idx="1336">
                  <c:v>10</c:v>
                </c:pt>
                <c:pt idx="1337">
                  <c:v>5</c:v>
                </c:pt>
                <c:pt idx="1338">
                  <c:v>0</c:v>
                </c:pt>
                <c:pt idx="1339">
                  <c:v>0</c:v>
                </c:pt>
                <c:pt idx="1340">
                  <c:v>10</c:v>
                </c:pt>
                <c:pt idx="1341">
                  <c:v>5</c:v>
                </c:pt>
                <c:pt idx="1342">
                  <c:v>0</c:v>
                </c:pt>
                <c:pt idx="1343">
                  <c:v>20</c:v>
                </c:pt>
                <c:pt idx="1344">
                  <c:v>0</c:v>
                </c:pt>
                <c:pt idx="1345">
                  <c:v>10</c:v>
                </c:pt>
                <c:pt idx="1346">
                  <c:v>0</c:v>
                </c:pt>
                <c:pt idx="1347">
                  <c:v>10</c:v>
                </c:pt>
                <c:pt idx="1348">
                  <c:v>5</c:v>
                </c:pt>
                <c:pt idx="1349">
                  <c:v>0</c:v>
                </c:pt>
                <c:pt idx="1350">
                  <c:v>15</c:v>
                </c:pt>
                <c:pt idx="1351">
                  <c:v>15</c:v>
                </c:pt>
                <c:pt idx="1352">
                  <c:v>20</c:v>
                </c:pt>
                <c:pt idx="1353">
                  <c:v>15</c:v>
                </c:pt>
                <c:pt idx="1354">
                  <c:v>20</c:v>
                </c:pt>
                <c:pt idx="1355">
                  <c:v>5</c:v>
                </c:pt>
                <c:pt idx="1356">
                  <c:v>0</c:v>
                </c:pt>
                <c:pt idx="1357">
                  <c:v>15</c:v>
                </c:pt>
                <c:pt idx="1358">
                  <c:v>10</c:v>
                </c:pt>
                <c:pt idx="1359">
                  <c:v>0</c:v>
                </c:pt>
                <c:pt idx="1360">
                  <c:v>20</c:v>
                </c:pt>
                <c:pt idx="1361">
                  <c:v>0</c:v>
                </c:pt>
                <c:pt idx="1362">
                  <c:v>20</c:v>
                </c:pt>
                <c:pt idx="1363">
                  <c:v>10</c:v>
                </c:pt>
                <c:pt idx="1364">
                  <c:v>10</c:v>
                </c:pt>
                <c:pt idx="1365">
                  <c:v>25</c:v>
                </c:pt>
                <c:pt idx="1366">
                  <c:v>5</c:v>
                </c:pt>
                <c:pt idx="1367">
                  <c:v>5</c:v>
                </c:pt>
                <c:pt idx="1368">
                  <c:v>5</c:v>
                </c:pt>
                <c:pt idx="1369">
                  <c:v>0</c:v>
                </c:pt>
                <c:pt idx="1370">
                  <c:v>10</c:v>
                </c:pt>
                <c:pt idx="1371">
                  <c:v>5</c:v>
                </c:pt>
                <c:pt idx="1372">
                  <c:v>0</c:v>
                </c:pt>
                <c:pt idx="1373">
                  <c:v>15</c:v>
                </c:pt>
                <c:pt idx="1374">
                  <c:v>15</c:v>
                </c:pt>
                <c:pt idx="1375">
                  <c:v>10</c:v>
                </c:pt>
                <c:pt idx="1376">
                  <c:v>15</c:v>
                </c:pt>
                <c:pt idx="1377">
                  <c:v>25</c:v>
                </c:pt>
                <c:pt idx="1378">
                  <c:v>0</c:v>
                </c:pt>
                <c:pt idx="1379">
                  <c:v>10</c:v>
                </c:pt>
                <c:pt idx="1380">
                  <c:v>5</c:v>
                </c:pt>
                <c:pt idx="1381">
                  <c:v>0</c:v>
                </c:pt>
                <c:pt idx="1382">
                  <c:v>10</c:v>
                </c:pt>
                <c:pt idx="1383">
                  <c:v>5</c:v>
                </c:pt>
                <c:pt idx="1384">
                  <c:v>15</c:v>
                </c:pt>
                <c:pt idx="1385">
                  <c:v>20</c:v>
                </c:pt>
                <c:pt idx="1386">
                  <c:v>10</c:v>
                </c:pt>
                <c:pt idx="1387">
                  <c:v>20</c:v>
                </c:pt>
                <c:pt idx="1388">
                  <c:v>0</c:v>
                </c:pt>
                <c:pt idx="1389">
                  <c:v>20</c:v>
                </c:pt>
                <c:pt idx="1390">
                  <c:v>0</c:v>
                </c:pt>
                <c:pt idx="1391">
                  <c:v>5</c:v>
                </c:pt>
                <c:pt idx="1392">
                  <c:v>0</c:v>
                </c:pt>
                <c:pt idx="1393">
                  <c:v>0</c:v>
                </c:pt>
                <c:pt idx="1394">
                  <c:v>5</c:v>
                </c:pt>
                <c:pt idx="1395">
                  <c:v>10</c:v>
                </c:pt>
                <c:pt idx="1396">
                  <c:v>15</c:v>
                </c:pt>
                <c:pt idx="1397">
                  <c:v>0</c:v>
                </c:pt>
                <c:pt idx="1398">
                  <c:v>5</c:v>
                </c:pt>
                <c:pt idx="1399">
                  <c:v>5</c:v>
                </c:pt>
                <c:pt idx="1400">
                  <c:v>15</c:v>
                </c:pt>
                <c:pt idx="1401">
                  <c:v>0</c:v>
                </c:pt>
                <c:pt idx="1402">
                  <c:v>10</c:v>
                </c:pt>
                <c:pt idx="1403">
                  <c:v>10</c:v>
                </c:pt>
                <c:pt idx="1404">
                  <c:v>15</c:v>
                </c:pt>
                <c:pt idx="1405">
                  <c:v>0</c:v>
                </c:pt>
                <c:pt idx="1406">
                  <c:v>5</c:v>
                </c:pt>
                <c:pt idx="1407">
                  <c:v>5</c:v>
                </c:pt>
                <c:pt idx="1408">
                  <c:v>15</c:v>
                </c:pt>
                <c:pt idx="1409">
                  <c:v>0</c:v>
                </c:pt>
                <c:pt idx="1410">
                  <c:v>5</c:v>
                </c:pt>
                <c:pt idx="1411">
                  <c:v>15</c:v>
                </c:pt>
                <c:pt idx="1412">
                  <c:v>5</c:v>
                </c:pt>
                <c:pt idx="1413">
                  <c:v>5</c:v>
                </c:pt>
                <c:pt idx="1414">
                  <c:v>0</c:v>
                </c:pt>
                <c:pt idx="1415">
                  <c:v>10</c:v>
                </c:pt>
                <c:pt idx="1416">
                  <c:v>0</c:v>
                </c:pt>
                <c:pt idx="1417">
                  <c:v>5</c:v>
                </c:pt>
                <c:pt idx="1418">
                  <c:v>20</c:v>
                </c:pt>
                <c:pt idx="1419">
                  <c:v>0</c:v>
                </c:pt>
                <c:pt idx="1420">
                  <c:v>20</c:v>
                </c:pt>
                <c:pt idx="1421">
                  <c:v>0</c:v>
                </c:pt>
                <c:pt idx="1422">
                  <c:v>10</c:v>
                </c:pt>
                <c:pt idx="1423">
                  <c:v>5</c:v>
                </c:pt>
                <c:pt idx="1424">
                  <c:v>20</c:v>
                </c:pt>
                <c:pt idx="1425">
                  <c:v>5</c:v>
                </c:pt>
                <c:pt idx="1426">
                  <c:v>10</c:v>
                </c:pt>
                <c:pt idx="1427">
                  <c:v>0</c:v>
                </c:pt>
                <c:pt idx="1428">
                  <c:v>10</c:v>
                </c:pt>
                <c:pt idx="1429">
                  <c:v>5</c:v>
                </c:pt>
                <c:pt idx="1430">
                  <c:v>5</c:v>
                </c:pt>
                <c:pt idx="1431">
                  <c:v>5</c:v>
                </c:pt>
                <c:pt idx="1432">
                  <c:v>5</c:v>
                </c:pt>
                <c:pt idx="1433">
                  <c:v>5</c:v>
                </c:pt>
                <c:pt idx="1434">
                  <c:v>0</c:v>
                </c:pt>
                <c:pt idx="1435">
                  <c:v>10</c:v>
                </c:pt>
                <c:pt idx="1436">
                  <c:v>10</c:v>
                </c:pt>
                <c:pt idx="1437">
                  <c:v>5</c:v>
                </c:pt>
                <c:pt idx="1438">
                  <c:v>5</c:v>
                </c:pt>
                <c:pt idx="1439">
                  <c:v>20</c:v>
                </c:pt>
                <c:pt idx="1440">
                  <c:v>15</c:v>
                </c:pt>
                <c:pt idx="1441">
                  <c:v>25</c:v>
                </c:pt>
                <c:pt idx="1442">
                  <c:v>5</c:v>
                </c:pt>
                <c:pt idx="1443">
                  <c:v>5</c:v>
                </c:pt>
                <c:pt idx="1444">
                  <c:v>20</c:v>
                </c:pt>
                <c:pt idx="1445">
                  <c:v>10</c:v>
                </c:pt>
                <c:pt idx="1446">
                  <c:v>10</c:v>
                </c:pt>
                <c:pt idx="1447">
                  <c:v>0</c:v>
                </c:pt>
                <c:pt idx="1448">
                  <c:v>15</c:v>
                </c:pt>
                <c:pt idx="1449">
                  <c:v>25</c:v>
                </c:pt>
                <c:pt idx="1450">
                  <c:v>5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5</c:v>
                </c:pt>
                <c:pt idx="1455">
                  <c:v>0</c:v>
                </c:pt>
                <c:pt idx="1456">
                  <c:v>5</c:v>
                </c:pt>
                <c:pt idx="1457">
                  <c:v>5</c:v>
                </c:pt>
                <c:pt idx="1458">
                  <c:v>10</c:v>
                </c:pt>
                <c:pt idx="1459">
                  <c:v>10</c:v>
                </c:pt>
                <c:pt idx="1460">
                  <c:v>0</c:v>
                </c:pt>
                <c:pt idx="1461">
                  <c:v>5</c:v>
                </c:pt>
                <c:pt idx="1462">
                  <c:v>0</c:v>
                </c:pt>
                <c:pt idx="1463">
                  <c:v>25</c:v>
                </c:pt>
                <c:pt idx="1464">
                  <c:v>15</c:v>
                </c:pt>
                <c:pt idx="1465">
                  <c:v>15</c:v>
                </c:pt>
                <c:pt idx="1466">
                  <c:v>10</c:v>
                </c:pt>
                <c:pt idx="1467">
                  <c:v>5</c:v>
                </c:pt>
                <c:pt idx="1468">
                  <c:v>0</c:v>
                </c:pt>
                <c:pt idx="1469">
                  <c:v>10</c:v>
                </c:pt>
                <c:pt idx="1470">
                  <c:v>0</c:v>
                </c:pt>
                <c:pt idx="1471">
                  <c:v>10</c:v>
                </c:pt>
                <c:pt idx="1472">
                  <c:v>10</c:v>
                </c:pt>
                <c:pt idx="1473">
                  <c:v>5</c:v>
                </c:pt>
                <c:pt idx="1474">
                  <c:v>15</c:v>
                </c:pt>
                <c:pt idx="1475">
                  <c:v>10</c:v>
                </c:pt>
                <c:pt idx="1476">
                  <c:v>5</c:v>
                </c:pt>
                <c:pt idx="1477">
                  <c:v>0</c:v>
                </c:pt>
                <c:pt idx="1478">
                  <c:v>5</c:v>
                </c:pt>
                <c:pt idx="1479">
                  <c:v>5</c:v>
                </c:pt>
                <c:pt idx="1480">
                  <c:v>10</c:v>
                </c:pt>
                <c:pt idx="1481">
                  <c:v>10</c:v>
                </c:pt>
                <c:pt idx="1482">
                  <c:v>10</c:v>
                </c:pt>
                <c:pt idx="1483">
                  <c:v>20</c:v>
                </c:pt>
                <c:pt idx="1484">
                  <c:v>0</c:v>
                </c:pt>
                <c:pt idx="1485">
                  <c:v>10</c:v>
                </c:pt>
                <c:pt idx="1486">
                  <c:v>0</c:v>
                </c:pt>
                <c:pt idx="1487">
                  <c:v>15</c:v>
                </c:pt>
                <c:pt idx="1488">
                  <c:v>5</c:v>
                </c:pt>
                <c:pt idx="1489">
                  <c:v>15</c:v>
                </c:pt>
                <c:pt idx="1490">
                  <c:v>0</c:v>
                </c:pt>
                <c:pt idx="1491">
                  <c:v>15</c:v>
                </c:pt>
                <c:pt idx="1492">
                  <c:v>0</c:v>
                </c:pt>
                <c:pt idx="1493">
                  <c:v>0</c:v>
                </c:pt>
                <c:pt idx="1494">
                  <c:v>5</c:v>
                </c:pt>
                <c:pt idx="1495">
                  <c:v>10</c:v>
                </c:pt>
                <c:pt idx="1496">
                  <c:v>0</c:v>
                </c:pt>
                <c:pt idx="1497">
                  <c:v>20</c:v>
                </c:pt>
                <c:pt idx="1498">
                  <c:v>0</c:v>
                </c:pt>
                <c:pt idx="1499">
                  <c:v>20</c:v>
                </c:pt>
                <c:pt idx="1500">
                  <c:v>15</c:v>
                </c:pt>
                <c:pt idx="1501">
                  <c:v>0</c:v>
                </c:pt>
                <c:pt idx="1502">
                  <c:v>0</c:v>
                </c:pt>
                <c:pt idx="1503">
                  <c:v>15</c:v>
                </c:pt>
                <c:pt idx="1504">
                  <c:v>0</c:v>
                </c:pt>
                <c:pt idx="1505">
                  <c:v>10</c:v>
                </c:pt>
                <c:pt idx="1506">
                  <c:v>10</c:v>
                </c:pt>
                <c:pt idx="1507">
                  <c:v>0</c:v>
                </c:pt>
                <c:pt idx="1508">
                  <c:v>0</c:v>
                </c:pt>
                <c:pt idx="1509">
                  <c:v>15</c:v>
                </c:pt>
                <c:pt idx="1510">
                  <c:v>15</c:v>
                </c:pt>
                <c:pt idx="1511">
                  <c:v>10</c:v>
                </c:pt>
                <c:pt idx="1512">
                  <c:v>10</c:v>
                </c:pt>
                <c:pt idx="1513">
                  <c:v>20</c:v>
                </c:pt>
                <c:pt idx="1514">
                  <c:v>15</c:v>
                </c:pt>
                <c:pt idx="1515">
                  <c:v>10</c:v>
                </c:pt>
                <c:pt idx="1516">
                  <c:v>0</c:v>
                </c:pt>
                <c:pt idx="1517">
                  <c:v>30</c:v>
                </c:pt>
                <c:pt idx="1518">
                  <c:v>25</c:v>
                </c:pt>
                <c:pt idx="1519">
                  <c:v>5</c:v>
                </c:pt>
                <c:pt idx="1520">
                  <c:v>15</c:v>
                </c:pt>
                <c:pt idx="1521">
                  <c:v>10</c:v>
                </c:pt>
                <c:pt idx="1522">
                  <c:v>5</c:v>
                </c:pt>
                <c:pt idx="1523">
                  <c:v>15</c:v>
                </c:pt>
                <c:pt idx="1524">
                  <c:v>5</c:v>
                </c:pt>
                <c:pt idx="1525">
                  <c:v>0</c:v>
                </c:pt>
                <c:pt idx="1526">
                  <c:v>5</c:v>
                </c:pt>
                <c:pt idx="1527">
                  <c:v>10</c:v>
                </c:pt>
                <c:pt idx="1528">
                  <c:v>10</c:v>
                </c:pt>
                <c:pt idx="1529">
                  <c:v>0</c:v>
                </c:pt>
                <c:pt idx="1530">
                  <c:v>15</c:v>
                </c:pt>
                <c:pt idx="1531">
                  <c:v>5</c:v>
                </c:pt>
                <c:pt idx="1532">
                  <c:v>5</c:v>
                </c:pt>
                <c:pt idx="1533">
                  <c:v>15</c:v>
                </c:pt>
                <c:pt idx="1534">
                  <c:v>5</c:v>
                </c:pt>
                <c:pt idx="1535">
                  <c:v>0</c:v>
                </c:pt>
                <c:pt idx="1536">
                  <c:v>5</c:v>
                </c:pt>
                <c:pt idx="1537">
                  <c:v>10</c:v>
                </c:pt>
                <c:pt idx="1538">
                  <c:v>15</c:v>
                </c:pt>
                <c:pt idx="1539">
                  <c:v>10</c:v>
                </c:pt>
                <c:pt idx="1540">
                  <c:v>0</c:v>
                </c:pt>
                <c:pt idx="1541">
                  <c:v>20</c:v>
                </c:pt>
                <c:pt idx="1542">
                  <c:v>5</c:v>
                </c:pt>
                <c:pt idx="1543">
                  <c:v>5</c:v>
                </c:pt>
                <c:pt idx="1544">
                  <c:v>10</c:v>
                </c:pt>
                <c:pt idx="1545">
                  <c:v>5</c:v>
                </c:pt>
                <c:pt idx="1546">
                  <c:v>10</c:v>
                </c:pt>
                <c:pt idx="1547">
                  <c:v>0</c:v>
                </c:pt>
                <c:pt idx="1548">
                  <c:v>0</c:v>
                </c:pt>
                <c:pt idx="1549">
                  <c:v>15</c:v>
                </c:pt>
                <c:pt idx="1550">
                  <c:v>10</c:v>
                </c:pt>
                <c:pt idx="1551">
                  <c:v>0</c:v>
                </c:pt>
                <c:pt idx="1552">
                  <c:v>5</c:v>
                </c:pt>
                <c:pt idx="1553">
                  <c:v>5</c:v>
                </c:pt>
                <c:pt idx="1554">
                  <c:v>15</c:v>
                </c:pt>
                <c:pt idx="1555">
                  <c:v>10</c:v>
                </c:pt>
                <c:pt idx="1556">
                  <c:v>15</c:v>
                </c:pt>
                <c:pt idx="1557">
                  <c:v>10</c:v>
                </c:pt>
                <c:pt idx="1558">
                  <c:v>5</c:v>
                </c:pt>
                <c:pt idx="1559">
                  <c:v>0</c:v>
                </c:pt>
                <c:pt idx="1560">
                  <c:v>5</c:v>
                </c:pt>
                <c:pt idx="1561">
                  <c:v>15</c:v>
                </c:pt>
                <c:pt idx="1562">
                  <c:v>10</c:v>
                </c:pt>
                <c:pt idx="1563">
                  <c:v>0</c:v>
                </c:pt>
                <c:pt idx="1564">
                  <c:v>25</c:v>
                </c:pt>
                <c:pt idx="1565">
                  <c:v>10</c:v>
                </c:pt>
                <c:pt idx="1566">
                  <c:v>0</c:v>
                </c:pt>
                <c:pt idx="1567">
                  <c:v>15</c:v>
                </c:pt>
                <c:pt idx="1568">
                  <c:v>5</c:v>
                </c:pt>
                <c:pt idx="1569">
                  <c:v>10</c:v>
                </c:pt>
                <c:pt idx="1570">
                  <c:v>0</c:v>
                </c:pt>
                <c:pt idx="1571">
                  <c:v>5</c:v>
                </c:pt>
                <c:pt idx="1572">
                  <c:v>20</c:v>
                </c:pt>
                <c:pt idx="1573">
                  <c:v>5</c:v>
                </c:pt>
                <c:pt idx="1574">
                  <c:v>15</c:v>
                </c:pt>
                <c:pt idx="1575">
                  <c:v>15</c:v>
                </c:pt>
                <c:pt idx="1576">
                  <c:v>0</c:v>
                </c:pt>
                <c:pt idx="1577">
                  <c:v>5</c:v>
                </c:pt>
                <c:pt idx="1578">
                  <c:v>20</c:v>
                </c:pt>
                <c:pt idx="1579">
                  <c:v>5</c:v>
                </c:pt>
                <c:pt idx="1580">
                  <c:v>0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5</c:v>
                </c:pt>
                <c:pt idx="1585">
                  <c:v>10</c:v>
                </c:pt>
                <c:pt idx="1586">
                  <c:v>5</c:v>
                </c:pt>
                <c:pt idx="1587">
                  <c:v>0</c:v>
                </c:pt>
                <c:pt idx="1588">
                  <c:v>10</c:v>
                </c:pt>
                <c:pt idx="1589">
                  <c:v>10</c:v>
                </c:pt>
                <c:pt idx="1590">
                  <c:v>15</c:v>
                </c:pt>
                <c:pt idx="1591">
                  <c:v>5</c:v>
                </c:pt>
                <c:pt idx="1592">
                  <c:v>10</c:v>
                </c:pt>
                <c:pt idx="1593">
                  <c:v>15</c:v>
                </c:pt>
                <c:pt idx="1594">
                  <c:v>15</c:v>
                </c:pt>
                <c:pt idx="1595">
                  <c:v>5</c:v>
                </c:pt>
                <c:pt idx="1596">
                  <c:v>10</c:v>
                </c:pt>
                <c:pt idx="1597">
                  <c:v>5</c:v>
                </c:pt>
                <c:pt idx="1598">
                  <c:v>25</c:v>
                </c:pt>
                <c:pt idx="1599">
                  <c:v>0</c:v>
                </c:pt>
                <c:pt idx="1600">
                  <c:v>5</c:v>
                </c:pt>
                <c:pt idx="1601">
                  <c:v>0</c:v>
                </c:pt>
                <c:pt idx="1602">
                  <c:v>5</c:v>
                </c:pt>
                <c:pt idx="1603">
                  <c:v>25</c:v>
                </c:pt>
                <c:pt idx="1604">
                  <c:v>15</c:v>
                </c:pt>
                <c:pt idx="1605">
                  <c:v>15</c:v>
                </c:pt>
                <c:pt idx="1606">
                  <c:v>0</c:v>
                </c:pt>
                <c:pt idx="1607">
                  <c:v>10</c:v>
                </c:pt>
                <c:pt idx="1608">
                  <c:v>5</c:v>
                </c:pt>
                <c:pt idx="1609">
                  <c:v>10</c:v>
                </c:pt>
                <c:pt idx="1610">
                  <c:v>30</c:v>
                </c:pt>
                <c:pt idx="1611">
                  <c:v>10</c:v>
                </c:pt>
                <c:pt idx="1612">
                  <c:v>15</c:v>
                </c:pt>
                <c:pt idx="1613">
                  <c:v>5</c:v>
                </c:pt>
                <c:pt idx="1614">
                  <c:v>5</c:v>
                </c:pt>
                <c:pt idx="1615">
                  <c:v>0</c:v>
                </c:pt>
                <c:pt idx="1616">
                  <c:v>5</c:v>
                </c:pt>
                <c:pt idx="1617">
                  <c:v>20</c:v>
                </c:pt>
                <c:pt idx="1618">
                  <c:v>0</c:v>
                </c:pt>
                <c:pt idx="1619">
                  <c:v>10</c:v>
                </c:pt>
                <c:pt idx="1620">
                  <c:v>15</c:v>
                </c:pt>
                <c:pt idx="1621">
                  <c:v>30</c:v>
                </c:pt>
                <c:pt idx="1622">
                  <c:v>0</c:v>
                </c:pt>
                <c:pt idx="1623">
                  <c:v>5</c:v>
                </c:pt>
                <c:pt idx="1624">
                  <c:v>0</c:v>
                </c:pt>
                <c:pt idx="1625">
                  <c:v>15</c:v>
                </c:pt>
                <c:pt idx="1626">
                  <c:v>10</c:v>
                </c:pt>
                <c:pt idx="1627">
                  <c:v>15</c:v>
                </c:pt>
                <c:pt idx="1628">
                  <c:v>25</c:v>
                </c:pt>
                <c:pt idx="1629">
                  <c:v>10</c:v>
                </c:pt>
                <c:pt idx="1630">
                  <c:v>25</c:v>
                </c:pt>
                <c:pt idx="1631">
                  <c:v>0</c:v>
                </c:pt>
                <c:pt idx="1632">
                  <c:v>10</c:v>
                </c:pt>
                <c:pt idx="1633">
                  <c:v>0</c:v>
                </c:pt>
                <c:pt idx="1634">
                  <c:v>20</c:v>
                </c:pt>
                <c:pt idx="1635">
                  <c:v>0</c:v>
                </c:pt>
                <c:pt idx="1636">
                  <c:v>15</c:v>
                </c:pt>
                <c:pt idx="1637">
                  <c:v>20</c:v>
                </c:pt>
                <c:pt idx="1638">
                  <c:v>5</c:v>
                </c:pt>
                <c:pt idx="1639">
                  <c:v>5</c:v>
                </c:pt>
                <c:pt idx="1640">
                  <c:v>10</c:v>
                </c:pt>
                <c:pt idx="1641">
                  <c:v>0</c:v>
                </c:pt>
                <c:pt idx="1642">
                  <c:v>0</c:v>
                </c:pt>
                <c:pt idx="1643">
                  <c:v>10</c:v>
                </c:pt>
                <c:pt idx="1644">
                  <c:v>5</c:v>
                </c:pt>
                <c:pt idx="1645">
                  <c:v>5</c:v>
                </c:pt>
                <c:pt idx="1646">
                  <c:v>0</c:v>
                </c:pt>
                <c:pt idx="1647">
                  <c:v>0</c:v>
                </c:pt>
                <c:pt idx="1648">
                  <c:v>5</c:v>
                </c:pt>
                <c:pt idx="1649">
                  <c:v>10</c:v>
                </c:pt>
                <c:pt idx="1650">
                  <c:v>0</c:v>
                </c:pt>
                <c:pt idx="1651">
                  <c:v>10</c:v>
                </c:pt>
                <c:pt idx="1652">
                  <c:v>5</c:v>
                </c:pt>
                <c:pt idx="1653">
                  <c:v>10</c:v>
                </c:pt>
                <c:pt idx="1654">
                  <c:v>10</c:v>
                </c:pt>
                <c:pt idx="1655">
                  <c:v>0</c:v>
                </c:pt>
                <c:pt idx="1656">
                  <c:v>5</c:v>
                </c:pt>
                <c:pt idx="1657">
                  <c:v>0</c:v>
                </c:pt>
                <c:pt idx="1658">
                  <c:v>25</c:v>
                </c:pt>
                <c:pt idx="1659">
                  <c:v>5</c:v>
                </c:pt>
                <c:pt idx="1660">
                  <c:v>5</c:v>
                </c:pt>
                <c:pt idx="1661">
                  <c:v>0</c:v>
                </c:pt>
                <c:pt idx="1662">
                  <c:v>5</c:v>
                </c:pt>
                <c:pt idx="1663">
                  <c:v>0</c:v>
                </c:pt>
                <c:pt idx="1664">
                  <c:v>0</c:v>
                </c:pt>
                <c:pt idx="1665">
                  <c:v>10</c:v>
                </c:pt>
                <c:pt idx="1666">
                  <c:v>20</c:v>
                </c:pt>
                <c:pt idx="1667">
                  <c:v>0</c:v>
                </c:pt>
                <c:pt idx="1668">
                  <c:v>0</c:v>
                </c:pt>
                <c:pt idx="1669">
                  <c:v>5</c:v>
                </c:pt>
                <c:pt idx="1670">
                  <c:v>0</c:v>
                </c:pt>
                <c:pt idx="1671">
                  <c:v>10</c:v>
                </c:pt>
                <c:pt idx="1672">
                  <c:v>0</c:v>
                </c:pt>
                <c:pt idx="1673">
                  <c:v>15</c:v>
                </c:pt>
                <c:pt idx="1674">
                  <c:v>5</c:v>
                </c:pt>
                <c:pt idx="1675">
                  <c:v>5</c:v>
                </c:pt>
                <c:pt idx="1676">
                  <c:v>20</c:v>
                </c:pt>
                <c:pt idx="1677">
                  <c:v>10</c:v>
                </c:pt>
                <c:pt idx="1678">
                  <c:v>20</c:v>
                </c:pt>
                <c:pt idx="1679">
                  <c:v>0</c:v>
                </c:pt>
                <c:pt idx="1680">
                  <c:v>5</c:v>
                </c:pt>
                <c:pt idx="1681">
                  <c:v>25</c:v>
                </c:pt>
                <c:pt idx="1682">
                  <c:v>25</c:v>
                </c:pt>
                <c:pt idx="1683">
                  <c:v>10</c:v>
                </c:pt>
                <c:pt idx="1684">
                  <c:v>10</c:v>
                </c:pt>
                <c:pt idx="1685">
                  <c:v>0</c:v>
                </c:pt>
                <c:pt idx="1686">
                  <c:v>10</c:v>
                </c:pt>
                <c:pt idx="1687">
                  <c:v>20</c:v>
                </c:pt>
                <c:pt idx="1688">
                  <c:v>5</c:v>
                </c:pt>
                <c:pt idx="1689">
                  <c:v>5</c:v>
                </c:pt>
                <c:pt idx="1690">
                  <c:v>0</c:v>
                </c:pt>
                <c:pt idx="1691">
                  <c:v>0</c:v>
                </c:pt>
                <c:pt idx="1692">
                  <c:v>10</c:v>
                </c:pt>
                <c:pt idx="1693">
                  <c:v>5</c:v>
                </c:pt>
                <c:pt idx="1694">
                  <c:v>10</c:v>
                </c:pt>
                <c:pt idx="1695">
                  <c:v>10</c:v>
                </c:pt>
                <c:pt idx="1696">
                  <c:v>10</c:v>
                </c:pt>
                <c:pt idx="1697">
                  <c:v>10</c:v>
                </c:pt>
                <c:pt idx="1698">
                  <c:v>5</c:v>
                </c:pt>
                <c:pt idx="1699">
                  <c:v>10</c:v>
                </c:pt>
                <c:pt idx="1700">
                  <c:v>5</c:v>
                </c:pt>
                <c:pt idx="1701">
                  <c:v>25</c:v>
                </c:pt>
                <c:pt idx="1702">
                  <c:v>5</c:v>
                </c:pt>
                <c:pt idx="1703">
                  <c:v>10</c:v>
                </c:pt>
                <c:pt idx="1704">
                  <c:v>25</c:v>
                </c:pt>
                <c:pt idx="1705">
                  <c:v>10</c:v>
                </c:pt>
                <c:pt idx="1706">
                  <c:v>25</c:v>
                </c:pt>
                <c:pt idx="1707">
                  <c:v>5</c:v>
                </c:pt>
                <c:pt idx="1708">
                  <c:v>0</c:v>
                </c:pt>
                <c:pt idx="1709">
                  <c:v>20</c:v>
                </c:pt>
                <c:pt idx="1710">
                  <c:v>5</c:v>
                </c:pt>
                <c:pt idx="1711">
                  <c:v>5</c:v>
                </c:pt>
                <c:pt idx="1712">
                  <c:v>20</c:v>
                </c:pt>
                <c:pt idx="1713">
                  <c:v>0</c:v>
                </c:pt>
                <c:pt idx="1714">
                  <c:v>0</c:v>
                </c:pt>
                <c:pt idx="1715">
                  <c:v>5</c:v>
                </c:pt>
                <c:pt idx="1716">
                  <c:v>0</c:v>
                </c:pt>
                <c:pt idx="1717">
                  <c:v>15</c:v>
                </c:pt>
                <c:pt idx="1718">
                  <c:v>5</c:v>
                </c:pt>
                <c:pt idx="1719">
                  <c:v>10</c:v>
                </c:pt>
                <c:pt idx="1720">
                  <c:v>5</c:v>
                </c:pt>
                <c:pt idx="1721">
                  <c:v>15</c:v>
                </c:pt>
                <c:pt idx="1722">
                  <c:v>10</c:v>
                </c:pt>
                <c:pt idx="1723">
                  <c:v>0</c:v>
                </c:pt>
                <c:pt idx="1724">
                  <c:v>5</c:v>
                </c:pt>
                <c:pt idx="1725">
                  <c:v>10</c:v>
                </c:pt>
                <c:pt idx="1726">
                  <c:v>20</c:v>
                </c:pt>
                <c:pt idx="1727">
                  <c:v>10</c:v>
                </c:pt>
                <c:pt idx="1728">
                  <c:v>15</c:v>
                </c:pt>
                <c:pt idx="1729">
                  <c:v>15</c:v>
                </c:pt>
                <c:pt idx="1730">
                  <c:v>5</c:v>
                </c:pt>
                <c:pt idx="1731">
                  <c:v>0</c:v>
                </c:pt>
                <c:pt idx="1732">
                  <c:v>10</c:v>
                </c:pt>
                <c:pt idx="1733">
                  <c:v>10</c:v>
                </c:pt>
                <c:pt idx="1734">
                  <c:v>15</c:v>
                </c:pt>
                <c:pt idx="1735">
                  <c:v>20</c:v>
                </c:pt>
                <c:pt idx="1736">
                  <c:v>10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20</c:v>
                </c:pt>
                <c:pt idx="1741">
                  <c:v>0</c:v>
                </c:pt>
                <c:pt idx="1742">
                  <c:v>15</c:v>
                </c:pt>
                <c:pt idx="1743">
                  <c:v>15</c:v>
                </c:pt>
                <c:pt idx="1744">
                  <c:v>10</c:v>
                </c:pt>
                <c:pt idx="1745">
                  <c:v>15</c:v>
                </c:pt>
                <c:pt idx="1746">
                  <c:v>10</c:v>
                </c:pt>
                <c:pt idx="1747">
                  <c:v>10</c:v>
                </c:pt>
                <c:pt idx="1748">
                  <c:v>10</c:v>
                </c:pt>
                <c:pt idx="1749">
                  <c:v>10</c:v>
                </c:pt>
                <c:pt idx="1750">
                  <c:v>15</c:v>
                </c:pt>
                <c:pt idx="1751">
                  <c:v>10</c:v>
                </c:pt>
                <c:pt idx="1752">
                  <c:v>0</c:v>
                </c:pt>
                <c:pt idx="1753">
                  <c:v>0</c:v>
                </c:pt>
                <c:pt idx="1754">
                  <c:v>10</c:v>
                </c:pt>
                <c:pt idx="1755">
                  <c:v>0</c:v>
                </c:pt>
                <c:pt idx="1756">
                  <c:v>10</c:v>
                </c:pt>
                <c:pt idx="1757">
                  <c:v>20</c:v>
                </c:pt>
                <c:pt idx="1758">
                  <c:v>15</c:v>
                </c:pt>
                <c:pt idx="1759">
                  <c:v>0</c:v>
                </c:pt>
                <c:pt idx="1760">
                  <c:v>15</c:v>
                </c:pt>
                <c:pt idx="1761">
                  <c:v>0</c:v>
                </c:pt>
                <c:pt idx="1762">
                  <c:v>15</c:v>
                </c:pt>
                <c:pt idx="1763">
                  <c:v>5</c:v>
                </c:pt>
                <c:pt idx="1764">
                  <c:v>0</c:v>
                </c:pt>
                <c:pt idx="1765">
                  <c:v>10</c:v>
                </c:pt>
                <c:pt idx="1766">
                  <c:v>10</c:v>
                </c:pt>
                <c:pt idx="1767">
                  <c:v>5</c:v>
                </c:pt>
                <c:pt idx="1768">
                  <c:v>10</c:v>
                </c:pt>
                <c:pt idx="1769">
                  <c:v>10</c:v>
                </c:pt>
                <c:pt idx="1770">
                  <c:v>10</c:v>
                </c:pt>
                <c:pt idx="1771">
                  <c:v>20</c:v>
                </c:pt>
                <c:pt idx="1772">
                  <c:v>15</c:v>
                </c:pt>
                <c:pt idx="1773">
                  <c:v>15</c:v>
                </c:pt>
                <c:pt idx="1774">
                  <c:v>5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20</c:v>
                </c:pt>
                <c:pt idx="1779">
                  <c:v>0</c:v>
                </c:pt>
                <c:pt idx="1780">
                  <c:v>10</c:v>
                </c:pt>
                <c:pt idx="1781">
                  <c:v>5</c:v>
                </c:pt>
                <c:pt idx="1782">
                  <c:v>15</c:v>
                </c:pt>
                <c:pt idx="1783">
                  <c:v>5</c:v>
                </c:pt>
                <c:pt idx="1784">
                  <c:v>20</c:v>
                </c:pt>
                <c:pt idx="1785">
                  <c:v>0</c:v>
                </c:pt>
                <c:pt idx="1786">
                  <c:v>20</c:v>
                </c:pt>
                <c:pt idx="1787">
                  <c:v>10</c:v>
                </c:pt>
                <c:pt idx="1788">
                  <c:v>0</c:v>
                </c:pt>
                <c:pt idx="1789">
                  <c:v>15</c:v>
                </c:pt>
                <c:pt idx="1790">
                  <c:v>10</c:v>
                </c:pt>
                <c:pt idx="1791">
                  <c:v>10</c:v>
                </c:pt>
                <c:pt idx="1792">
                  <c:v>5</c:v>
                </c:pt>
                <c:pt idx="1793">
                  <c:v>15</c:v>
                </c:pt>
                <c:pt idx="1794">
                  <c:v>0</c:v>
                </c:pt>
                <c:pt idx="1795">
                  <c:v>5</c:v>
                </c:pt>
                <c:pt idx="1796">
                  <c:v>5</c:v>
                </c:pt>
                <c:pt idx="1797">
                  <c:v>10</c:v>
                </c:pt>
                <c:pt idx="1798">
                  <c:v>5</c:v>
                </c:pt>
                <c:pt idx="1799">
                  <c:v>25</c:v>
                </c:pt>
                <c:pt idx="1800">
                  <c:v>5</c:v>
                </c:pt>
                <c:pt idx="1801">
                  <c:v>10</c:v>
                </c:pt>
                <c:pt idx="1802">
                  <c:v>25</c:v>
                </c:pt>
                <c:pt idx="1803">
                  <c:v>10</c:v>
                </c:pt>
                <c:pt idx="1804">
                  <c:v>10</c:v>
                </c:pt>
                <c:pt idx="1805">
                  <c:v>0</c:v>
                </c:pt>
                <c:pt idx="1806">
                  <c:v>10</c:v>
                </c:pt>
                <c:pt idx="1807">
                  <c:v>10</c:v>
                </c:pt>
                <c:pt idx="1808">
                  <c:v>0</c:v>
                </c:pt>
                <c:pt idx="1809">
                  <c:v>10</c:v>
                </c:pt>
                <c:pt idx="1810">
                  <c:v>10</c:v>
                </c:pt>
                <c:pt idx="1811">
                  <c:v>20</c:v>
                </c:pt>
                <c:pt idx="1812">
                  <c:v>15</c:v>
                </c:pt>
                <c:pt idx="1813">
                  <c:v>5</c:v>
                </c:pt>
                <c:pt idx="1814">
                  <c:v>0</c:v>
                </c:pt>
                <c:pt idx="1815">
                  <c:v>5</c:v>
                </c:pt>
                <c:pt idx="1816">
                  <c:v>10</c:v>
                </c:pt>
                <c:pt idx="1817">
                  <c:v>5</c:v>
                </c:pt>
                <c:pt idx="1818">
                  <c:v>15</c:v>
                </c:pt>
                <c:pt idx="1819">
                  <c:v>5</c:v>
                </c:pt>
                <c:pt idx="1820">
                  <c:v>5</c:v>
                </c:pt>
                <c:pt idx="1821">
                  <c:v>5</c:v>
                </c:pt>
                <c:pt idx="1822">
                  <c:v>5</c:v>
                </c:pt>
                <c:pt idx="1823">
                  <c:v>5</c:v>
                </c:pt>
                <c:pt idx="1824">
                  <c:v>5</c:v>
                </c:pt>
                <c:pt idx="1825">
                  <c:v>0</c:v>
                </c:pt>
                <c:pt idx="1826">
                  <c:v>0</c:v>
                </c:pt>
                <c:pt idx="1827">
                  <c:v>10</c:v>
                </c:pt>
                <c:pt idx="1828">
                  <c:v>0</c:v>
                </c:pt>
                <c:pt idx="1829">
                  <c:v>10</c:v>
                </c:pt>
                <c:pt idx="1830">
                  <c:v>0</c:v>
                </c:pt>
                <c:pt idx="1831">
                  <c:v>5</c:v>
                </c:pt>
                <c:pt idx="1832">
                  <c:v>10</c:v>
                </c:pt>
                <c:pt idx="1833">
                  <c:v>20</c:v>
                </c:pt>
                <c:pt idx="1834">
                  <c:v>10</c:v>
                </c:pt>
                <c:pt idx="1835">
                  <c:v>10</c:v>
                </c:pt>
                <c:pt idx="1836">
                  <c:v>15</c:v>
                </c:pt>
                <c:pt idx="1837">
                  <c:v>15</c:v>
                </c:pt>
                <c:pt idx="1838">
                  <c:v>5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20</c:v>
                </c:pt>
                <c:pt idx="1843">
                  <c:v>5</c:v>
                </c:pt>
                <c:pt idx="1844">
                  <c:v>0</c:v>
                </c:pt>
                <c:pt idx="1845">
                  <c:v>5</c:v>
                </c:pt>
                <c:pt idx="1846">
                  <c:v>0</c:v>
                </c:pt>
                <c:pt idx="1847">
                  <c:v>10</c:v>
                </c:pt>
                <c:pt idx="1848">
                  <c:v>10</c:v>
                </c:pt>
                <c:pt idx="1849">
                  <c:v>0</c:v>
                </c:pt>
                <c:pt idx="1850">
                  <c:v>15</c:v>
                </c:pt>
                <c:pt idx="1851">
                  <c:v>5</c:v>
                </c:pt>
                <c:pt idx="1852">
                  <c:v>0</c:v>
                </c:pt>
                <c:pt idx="1853">
                  <c:v>20</c:v>
                </c:pt>
                <c:pt idx="1854">
                  <c:v>10</c:v>
                </c:pt>
                <c:pt idx="1855">
                  <c:v>0</c:v>
                </c:pt>
                <c:pt idx="1856">
                  <c:v>0</c:v>
                </c:pt>
                <c:pt idx="1857">
                  <c:v>20</c:v>
                </c:pt>
                <c:pt idx="1858">
                  <c:v>15</c:v>
                </c:pt>
                <c:pt idx="1859">
                  <c:v>10</c:v>
                </c:pt>
                <c:pt idx="1860">
                  <c:v>0</c:v>
                </c:pt>
                <c:pt idx="1861">
                  <c:v>5</c:v>
                </c:pt>
                <c:pt idx="1862">
                  <c:v>10</c:v>
                </c:pt>
                <c:pt idx="1863">
                  <c:v>5</c:v>
                </c:pt>
                <c:pt idx="1864">
                  <c:v>10</c:v>
                </c:pt>
                <c:pt idx="1865">
                  <c:v>15</c:v>
                </c:pt>
                <c:pt idx="1866">
                  <c:v>0</c:v>
                </c:pt>
                <c:pt idx="1867">
                  <c:v>5</c:v>
                </c:pt>
                <c:pt idx="1868">
                  <c:v>10</c:v>
                </c:pt>
                <c:pt idx="1869">
                  <c:v>10</c:v>
                </c:pt>
                <c:pt idx="1870">
                  <c:v>20</c:v>
                </c:pt>
                <c:pt idx="1871">
                  <c:v>20</c:v>
                </c:pt>
                <c:pt idx="1872">
                  <c:v>15</c:v>
                </c:pt>
                <c:pt idx="1873">
                  <c:v>15</c:v>
                </c:pt>
                <c:pt idx="1874">
                  <c:v>10</c:v>
                </c:pt>
                <c:pt idx="1875">
                  <c:v>15</c:v>
                </c:pt>
                <c:pt idx="1876">
                  <c:v>10</c:v>
                </c:pt>
                <c:pt idx="1877">
                  <c:v>0</c:v>
                </c:pt>
                <c:pt idx="1878">
                  <c:v>0</c:v>
                </c:pt>
                <c:pt idx="1879">
                  <c:v>20</c:v>
                </c:pt>
                <c:pt idx="1880">
                  <c:v>0</c:v>
                </c:pt>
                <c:pt idx="1881">
                  <c:v>15</c:v>
                </c:pt>
                <c:pt idx="1882">
                  <c:v>0</c:v>
                </c:pt>
                <c:pt idx="1883">
                  <c:v>25</c:v>
                </c:pt>
                <c:pt idx="1884">
                  <c:v>15</c:v>
                </c:pt>
                <c:pt idx="1885">
                  <c:v>10</c:v>
                </c:pt>
                <c:pt idx="1886">
                  <c:v>15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15</c:v>
                </c:pt>
                <c:pt idx="1891">
                  <c:v>0</c:v>
                </c:pt>
                <c:pt idx="1892">
                  <c:v>5</c:v>
                </c:pt>
                <c:pt idx="1893">
                  <c:v>0</c:v>
                </c:pt>
                <c:pt idx="1894">
                  <c:v>5</c:v>
                </c:pt>
                <c:pt idx="1895">
                  <c:v>5</c:v>
                </c:pt>
                <c:pt idx="1896">
                  <c:v>10</c:v>
                </c:pt>
                <c:pt idx="1897">
                  <c:v>15</c:v>
                </c:pt>
                <c:pt idx="1898">
                  <c:v>5</c:v>
                </c:pt>
                <c:pt idx="1899">
                  <c:v>0</c:v>
                </c:pt>
                <c:pt idx="1900">
                  <c:v>15</c:v>
                </c:pt>
                <c:pt idx="1901">
                  <c:v>0</c:v>
                </c:pt>
                <c:pt idx="1902">
                  <c:v>20</c:v>
                </c:pt>
                <c:pt idx="1903">
                  <c:v>0</c:v>
                </c:pt>
                <c:pt idx="1904">
                  <c:v>15</c:v>
                </c:pt>
                <c:pt idx="1905">
                  <c:v>5</c:v>
                </c:pt>
                <c:pt idx="1906">
                  <c:v>5</c:v>
                </c:pt>
                <c:pt idx="1907">
                  <c:v>0</c:v>
                </c:pt>
                <c:pt idx="1908">
                  <c:v>5</c:v>
                </c:pt>
                <c:pt idx="1909">
                  <c:v>5</c:v>
                </c:pt>
                <c:pt idx="1910">
                  <c:v>30</c:v>
                </c:pt>
                <c:pt idx="1911">
                  <c:v>5</c:v>
                </c:pt>
                <c:pt idx="1912">
                  <c:v>15</c:v>
                </c:pt>
                <c:pt idx="1913">
                  <c:v>10</c:v>
                </c:pt>
                <c:pt idx="1914">
                  <c:v>30</c:v>
                </c:pt>
                <c:pt idx="1915">
                  <c:v>5</c:v>
                </c:pt>
                <c:pt idx="1916">
                  <c:v>0</c:v>
                </c:pt>
                <c:pt idx="1917">
                  <c:v>5</c:v>
                </c:pt>
                <c:pt idx="1918">
                  <c:v>5</c:v>
                </c:pt>
                <c:pt idx="1919">
                  <c:v>10</c:v>
                </c:pt>
                <c:pt idx="1920">
                  <c:v>5</c:v>
                </c:pt>
                <c:pt idx="1921">
                  <c:v>5</c:v>
                </c:pt>
                <c:pt idx="1922">
                  <c:v>10</c:v>
                </c:pt>
                <c:pt idx="1923">
                  <c:v>15</c:v>
                </c:pt>
                <c:pt idx="1924">
                  <c:v>10</c:v>
                </c:pt>
                <c:pt idx="1925">
                  <c:v>15</c:v>
                </c:pt>
                <c:pt idx="1926">
                  <c:v>10</c:v>
                </c:pt>
                <c:pt idx="1927">
                  <c:v>0</c:v>
                </c:pt>
                <c:pt idx="1928">
                  <c:v>5</c:v>
                </c:pt>
                <c:pt idx="1929">
                  <c:v>10</c:v>
                </c:pt>
                <c:pt idx="1930">
                  <c:v>10</c:v>
                </c:pt>
                <c:pt idx="1931">
                  <c:v>5</c:v>
                </c:pt>
                <c:pt idx="1932">
                  <c:v>0</c:v>
                </c:pt>
                <c:pt idx="1933">
                  <c:v>5</c:v>
                </c:pt>
                <c:pt idx="1934">
                  <c:v>10</c:v>
                </c:pt>
                <c:pt idx="1935">
                  <c:v>10</c:v>
                </c:pt>
                <c:pt idx="1936">
                  <c:v>15</c:v>
                </c:pt>
                <c:pt idx="1937">
                  <c:v>15</c:v>
                </c:pt>
                <c:pt idx="1938">
                  <c:v>5</c:v>
                </c:pt>
                <c:pt idx="1939">
                  <c:v>10</c:v>
                </c:pt>
                <c:pt idx="1940">
                  <c:v>10</c:v>
                </c:pt>
                <c:pt idx="1941">
                  <c:v>10</c:v>
                </c:pt>
                <c:pt idx="1942">
                  <c:v>5</c:v>
                </c:pt>
                <c:pt idx="1943">
                  <c:v>0</c:v>
                </c:pt>
                <c:pt idx="1944">
                  <c:v>0</c:v>
                </c:pt>
                <c:pt idx="1945">
                  <c:v>15</c:v>
                </c:pt>
                <c:pt idx="1946">
                  <c:v>0</c:v>
                </c:pt>
                <c:pt idx="1947">
                  <c:v>5</c:v>
                </c:pt>
                <c:pt idx="1948">
                  <c:v>10</c:v>
                </c:pt>
                <c:pt idx="1949">
                  <c:v>10</c:v>
                </c:pt>
                <c:pt idx="1950">
                  <c:v>0</c:v>
                </c:pt>
                <c:pt idx="1951">
                  <c:v>0</c:v>
                </c:pt>
                <c:pt idx="1952">
                  <c:v>20</c:v>
                </c:pt>
                <c:pt idx="1953">
                  <c:v>15</c:v>
                </c:pt>
                <c:pt idx="1954">
                  <c:v>10</c:v>
                </c:pt>
                <c:pt idx="1955">
                  <c:v>0</c:v>
                </c:pt>
                <c:pt idx="1956">
                  <c:v>5</c:v>
                </c:pt>
                <c:pt idx="1957">
                  <c:v>5</c:v>
                </c:pt>
                <c:pt idx="1958">
                  <c:v>5</c:v>
                </c:pt>
                <c:pt idx="1959">
                  <c:v>25</c:v>
                </c:pt>
                <c:pt idx="1960">
                  <c:v>0</c:v>
                </c:pt>
                <c:pt idx="1961">
                  <c:v>20</c:v>
                </c:pt>
                <c:pt idx="1962">
                  <c:v>25</c:v>
                </c:pt>
                <c:pt idx="1963">
                  <c:v>0</c:v>
                </c:pt>
                <c:pt idx="1964">
                  <c:v>20</c:v>
                </c:pt>
                <c:pt idx="1965">
                  <c:v>0</c:v>
                </c:pt>
                <c:pt idx="1966">
                  <c:v>15</c:v>
                </c:pt>
                <c:pt idx="1967">
                  <c:v>0</c:v>
                </c:pt>
                <c:pt idx="1968">
                  <c:v>10</c:v>
                </c:pt>
                <c:pt idx="1969">
                  <c:v>0</c:v>
                </c:pt>
                <c:pt idx="1970">
                  <c:v>10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10</c:v>
                </c:pt>
                <c:pt idx="1975">
                  <c:v>5</c:v>
                </c:pt>
                <c:pt idx="1976">
                  <c:v>20</c:v>
                </c:pt>
                <c:pt idx="1977">
                  <c:v>20</c:v>
                </c:pt>
                <c:pt idx="1978">
                  <c:v>15</c:v>
                </c:pt>
                <c:pt idx="1979">
                  <c:v>0</c:v>
                </c:pt>
                <c:pt idx="1980">
                  <c:v>15</c:v>
                </c:pt>
                <c:pt idx="1981">
                  <c:v>15</c:v>
                </c:pt>
                <c:pt idx="1982">
                  <c:v>15</c:v>
                </c:pt>
                <c:pt idx="1983">
                  <c:v>15</c:v>
                </c:pt>
                <c:pt idx="1984">
                  <c:v>0</c:v>
                </c:pt>
                <c:pt idx="1985">
                  <c:v>15</c:v>
                </c:pt>
                <c:pt idx="1986">
                  <c:v>10</c:v>
                </c:pt>
                <c:pt idx="1987">
                  <c:v>5</c:v>
                </c:pt>
                <c:pt idx="1988">
                  <c:v>15</c:v>
                </c:pt>
                <c:pt idx="1989">
                  <c:v>5</c:v>
                </c:pt>
                <c:pt idx="1990">
                  <c:v>10</c:v>
                </c:pt>
                <c:pt idx="1991">
                  <c:v>20</c:v>
                </c:pt>
                <c:pt idx="1992">
                  <c:v>5</c:v>
                </c:pt>
                <c:pt idx="1993">
                  <c:v>10</c:v>
                </c:pt>
                <c:pt idx="1994">
                  <c:v>10</c:v>
                </c:pt>
                <c:pt idx="1995">
                  <c:v>0</c:v>
                </c:pt>
                <c:pt idx="1996">
                  <c:v>5</c:v>
                </c:pt>
                <c:pt idx="1997">
                  <c:v>15</c:v>
                </c:pt>
                <c:pt idx="1998">
                  <c:v>5</c:v>
                </c:pt>
                <c:pt idx="1999">
                  <c:v>0</c:v>
                </c:pt>
              </c:numCache>
            </c:numRef>
          </c:xVal>
          <c:yVal>
            <c:numRef>
              <c:f>'Discount vs Profit'!$B$2:$B$2001</c:f>
              <c:numCache>
                <c:formatCode>General</c:formatCode>
                <c:ptCount val="2000"/>
                <c:pt idx="0">
                  <c:v>25.91</c:v>
                </c:pt>
                <c:pt idx="1">
                  <c:v>25.41</c:v>
                </c:pt>
                <c:pt idx="2">
                  <c:v>80.55</c:v>
                </c:pt>
                <c:pt idx="3">
                  <c:v>-1.76</c:v>
                </c:pt>
                <c:pt idx="4">
                  <c:v>14.04</c:v>
                </c:pt>
                <c:pt idx="5">
                  <c:v>43.67</c:v>
                </c:pt>
                <c:pt idx="6">
                  <c:v>17.23</c:v>
                </c:pt>
                <c:pt idx="7">
                  <c:v>160.9</c:v>
                </c:pt>
                <c:pt idx="8">
                  <c:v>4.66</c:v>
                </c:pt>
                <c:pt idx="9">
                  <c:v>5.62</c:v>
                </c:pt>
                <c:pt idx="10">
                  <c:v>22.54</c:v>
                </c:pt>
                <c:pt idx="11">
                  <c:v>148.24</c:v>
                </c:pt>
                <c:pt idx="12">
                  <c:v>18.66</c:v>
                </c:pt>
                <c:pt idx="13">
                  <c:v>338.84</c:v>
                </c:pt>
                <c:pt idx="14">
                  <c:v>-4.29</c:v>
                </c:pt>
                <c:pt idx="15">
                  <c:v>43.14</c:v>
                </c:pt>
                <c:pt idx="16">
                  <c:v>190.36</c:v>
                </c:pt>
                <c:pt idx="17">
                  <c:v>272.44</c:v>
                </c:pt>
                <c:pt idx="18">
                  <c:v>42.03</c:v>
                </c:pt>
                <c:pt idx="19">
                  <c:v>7.12</c:v>
                </c:pt>
                <c:pt idx="20">
                  <c:v>119.26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20-436A-ACBA-B0BB70C47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027327"/>
        <c:axId val="1663016095"/>
      </c:scatterChart>
      <c:valAx>
        <c:axId val="166302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Discount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016095"/>
        <c:crosses val="autoZero"/>
        <c:crossBetween val="midCat"/>
      </c:valAx>
      <c:valAx>
        <c:axId val="166301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Profit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027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[Global_Ecommerce_Sales.xlsx]Sheet9!PivotTable7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Monthly Profit Trend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Sheet9!$A$4:$A$2004</c:f>
              <c:strCache>
                <c:ptCount val="2000"/>
                <c:pt idx="0">
                  <c:v>ORD-10001</c:v>
                </c:pt>
                <c:pt idx="1">
                  <c:v>ORD-10002</c:v>
                </c:pt>
                <c:pt idx="2">
                  <c:v>ORD-10003</c:v>
                </c:pt>
                <c:pt idx="3">
                  <c:v>ORD-10004</c:v>
                </c:pt>
                <c:pt idx="4">
                  <c:v>ORD-10005</c:v>
                </c:pt>
                <c:pt idx="5">
                  <c:v>ORD-10006</c:v>
                </c:pt>
                <c:pt idx="6">
                  <c:v>ORD-10007</c:v>
                </c:pt>
                <c:pt idx="7">
                  <c:v>ORD-10008</c:v>
                </c:pt>
                <c:pt idx="8">
                  <c:v>ORD-10009</c:v>
                </c:pt>
                <c:pt idx="9">
                  <c:v>ORD-10010</c:v>
                </c:pt>
                <c:pt idx="10">
                  <c:v>ORD-10011</c:v>
                </c:pt>
                <c:pt idx="11">
                  <c:v>ORD-10012</c:v>
                </c:pt>
                <c:pt idx="12">
                  <c:v>ORD-10013</c:v>
                </c:pt>
                <c:pt idx="13">
                  <c:v>ORD-10014</c:v>
                </c:pt>
                <c:pt idx="14">
                  <c:v>ORD-10015</c:v>
                </c:pt>
                <c:pt idx="15">
                  <c:v>ORD-10016</c:v>
                </c:pt>
                <c:pt idx="16">
                  <c:v>ORD-10017</c:v>
                </c:pt>
                <c:pt idx="17">
                  <c:v>ORD-10018</c:v>
                </c:pt>
                <c:pt idx="18">
                  <c:v>ORD-10019</c:v>
                </c:pt>
                <c:pt idx="19">
                  <c:v>ORD-10020</c:v>
                </c:pt>
                <c:pt idx="20">
                  <c:v>ORD-10021</c:v>
                </c:pt>
                <c:pt idx="21">
                  <c:v>ORD-10022</c:v>
                </c:pt>
                <c:pt idx="22">
                  <c:v>ORD-10023</c:v>
                </c:pt>
                <c:pt idx="23">
                  <c:v>ORD-10024</c:v>
                </c:pt>
                <c:pt idx="24">
                  <c:v>ORD-10025</c:v>
                </c:pt>
                <c:pt idx="25">
                  <c:v>ORD-10026</c:v>
                </c:pt>
                <c:pt idx="26">
                  <c:v>ORD-10027</c:v>
                </c:pt>
                <c:pt idx="27">
                  <c:v>ORD-10028</c:v>
                </c:pt>
                <c:pt idx="28">
                  <c:v>ORD-10029</c:v>
                </c:pt>
                <c:pt idx="29">
                  <c:v>ORD-10030</c:v>
                </c:pt>
                <c:pt idx="30">
                  <c:v>ORD-10031</c:v>
                </c:pt>
                <c:pt idx="31">
                  <c:v>ORD-10032</c:v>
                </c:pt>
                <c:pt idx="32">
                  <c:v>ORD-10033</c:v>
                </c:pt>
                <c:pt idx="33">
                  <c:v>ORD-10034</c:v>
                </c:pt>
                <c:pt idx="34">
                  <c:v>ORD-10035</c:v>
                </c:pt>
                <c:pt idx="35">
                  <c:v>ORD-10036</c:v>
                </c:pt>
                <c:pt idx="36">
                  <c:v>ORD-10037</c:v>
                </c:pt>
                <c:pt idx="37">
                  <c:v>ORD-10038</c:v>
                </c:pt>
                <c:pt idx="38">
                  <c:v>ORD-10039</c:v>
                </c:pt>
                <c:pt idx="39">
                  <c:v>ORD-10040</c:v>
                </c:pt>
                <c:pt idx="40">
                  <c:v>ORD-10041</c:v>
                </c:pt>
                <c:pt idx="41">
                  <c:v>ORD-10042</c:v>
                </c:pt>
                <c:pt idx="42">
                  <c:v>ORD-10043</c:v>
                </c:pt>
                <c:pt idx="43">
                  <c:v>ORD-10044</c:v>
                </c:pt>
                <c:pt idx="44">
                  <c:v>ORD-10045</c:v>
                </c:pt>
                <c:pt idx="45">
                  <c:v>ORD-10046</c:v>
                </c:pt>
                <c:pt idx="46">
                  <c:v>ORD-10047</c:v>
                </c:pt>
                <c:pt idx="47">
                  <c:v>ORD-10048</c:v>
                </c:pt>
                <c:pt idx="48">
                  <c:v>ORD-10049</c:v>
                </c:pt>
                <c:pt idx="49">
                  <c:v>ORD-10050</c:v>
                </c:pt>
                <c:pt idx="50">
                  <c:v>ORD-10051</c:v>
                </c:pt>
                <c:pt idx="51">
                  <c:v>ORD-10052</c:v>
                </c:pt>
                <c:pt idx="52">
                  <c:v>ORD-10053</c:v>
                </c:pt>
                <c:pt idx="53">
                  <c:v>ORD-10054</c:v>
                </c:pt>
                <c:pt idx="54">
                  <c:v>ORD-10055</c:v>
                </c:pt>
                <c:pt idx="55">
                  <c:v>ORD-10056</c:v>
                </c:pt>
                <c:pt idx="56">
                  <c:v>ORD-10057</c:v>
                </c:pt>
                <c:pt idx="57">
                  <c:v>ORD-10058</c:v>
                </c:pt>
                <c:pt idx="58">
                  <c:v>ORD-10059</c:v>
                </c:pt>
                <c:pt idx="59">
                  <c:v>ORD-10060</c:v>
                </c:pt>
                <c:pt idx="60">
                  <c:v>ORD-10061</c:v>
                </c:pt>
                <c:pt idx="61">
                  <c:v>ORD-10062</c:v>
                </c:pt>
                <c:pt idx="62">
                  <c:v>ORD-10063</c:v>
                </c:pt>
                <c:pt idx="63">
                  <c:v>ORD-10064</c:v>
                </c:pt>
                <c:pt idx="64">
                  <c:v>ORD-10065</c:v>
                </c:pt>
                <c:pt idx="65">
                  <c:v>ORD-10066</c:v>
                </c:pt>
                <c:pt idx="66">
                  <c:v>ORD-10067</c:v>
                </c:pt>
                <c:pt idx="67">
                  <c:v>ORD-10068</c:v>
                </c:pt>
                <c:pt idx="68">
                  <c:v>ORD-10069</c:v>
                </c:pt>
                <c:pt idx="69">
                  <c:v>ORD-10070</c:v>
                </c:pt>
                <c:pt idx="70">
                  <c:v>ORD-10071</c:v>
                </c:pt>
                <c:pt idx="71">
                  <c:v>ORD-10072</c:v>
                </c:pt>
                <c:pt idx="72">
                  <c:v>ORD-10073</c:v>
                </c:pt>
                <c:pt idx="73">
                  <c:v>ORD-10074</c:v>
                </c:pt>
                <c:pt idx="74">
                  <c:v>ORD-10075</c:v>
                </c:pt>
                <c:pt idx="75">
                  <c:v>ORD-10076</c:v>
                </c:pt>
                <c:pt idx="76">
                  <c:v>ORD-10077</c:v>
                </c:pt>
                <c:pt idx="77">
                  <c:v>ORD-10078</c:v>
                </c:pt>
                <c:pt idx="78">
                  <c:v>ORD-10079</c:v>
                </c:pt>
                <c:pt idx="79">
                  <c:v>ORD-10080</c:v>
                </c:pt>
                <c:pt idx="80">
                  <c:v>ORD-10081</c:v>
                </c:pt>
                <c:pt idx="81">
                  <c:v>ORD-10082</c:v>
                </c:pt>
                <c:pt idx="82">
                  <c:v>ORD-10083</c:v>
                </c:pt>
                <c:pt idx="83">
                  <c:v>ORD-10084</c:v>
                </c:pt>
                <c:pt idx="84">
                  <c:v>ORD-10085</c:v>
                </c:pt>
                <c:pt idx="85">
                  <c:v>ORD-10086</c:v>
                </c:pt>
                <c:pt idx="86">
                  <c:v>ORD-10087</c:v>
                </c:pt>
                <c:pt idx="87">
                  <c:v>ORD-10088</c:v>
                </c:pt>
                <c:pt idx="88">
                  <c:v>ORD-10089</c:v>
                </c:pt>
                <c:pt idx="89">
                  <c:v>ORD-10090</c:v>
                </c:pt>
                <c:pt idx="90">
                  <c:v>ORD-10091</c:v>
                </c:pt>
                <c:pt idx="91">
                  <c:v>ORD-10092</c:v>
                </c:pt>
                <c:pt idx="92">
                  <c:v>ORD-10093</c:v>
                </c:pt>
                <c:pt idx="93">
                  <c:v>ORD-10094</c:v>
                </c:pt>
                <c:pt idx="94">
                  <c:v>ORD-10095</c:v>
                </c:pt>
                <c:pt idx="95">
                  <c:v>ORD-10096</c:v>
                </c:pt>
                <c:pt idx="96">
                  <c:v>ORD-10097</c:v>
                </c:pt>
                <c:pt idx="97">
                  <c:v>ORD-10098</c:v>
                </c:pt>
                <c:pt idx="98">
                  <c:v>ORD-10099</c:v>
                </c:pt>
                <c:pt idx="99">
                  <c:v>ORD-10100</c:v>
                </c:pt>
                <c:pt idx="100">
                  <c:v>ORD-10101</c:v>
                </c:pt>
                <c:pt idx="101">
                  <c:v>ORD-10102</c:v>
                </c:pt>
                <c:pt idx="102">
                  <c:v>ORD-10103</c:v>
                </c:pt>
                <c:pt idx="103">
                  <c:v>ORD-10104</c:v>
                </c:pt>
                <c:pt idx="104">
                  <c:v>ORD-10105</c:v>
                </c:pt>
                <c:pt idx="105">
                  <c:v>ORD-10106</c:v>
                </c:pt>
                <c:pt idx="106">
                  <c:v>ORD-10107</c:v>
                </c:pt>
                <c:pt idx="107">
                  <c:v>ORD-10108</c:v>
                </c:pt>
                <c:pt idx="108">
                  <c:v>ORD-10109</c:v>
                </c:pt>
                <c:pt idx="109">
                  <c:v>ORD-10110</c:v>
                </c:pt>
                <c:pt idx="110">
                  <c:v>ORD-10111</c:v>
                </c:pt>
                <c:pt idx="111">
                  <c:v>ORD-10112</c:v>
                </c:pt>
                <c:pt idx="112">
                  <c:v>ORD-10113</c:v>
                </c:pt>
                <c:pt idx="113">
                  <c:v>ORD-10114</c:v>
                </c:pt>
                <c:pt idx="114">
                  <c:v>ORD-10115</c:v>
                </c:pt>
                <c:pt idx="115">
                  <c:v>ORD-10116</c:v>
                </c:pt>
                <c:pt idx="116">
                  <c:v>ORD-10117</c:v>
                </c:pt>
                <c:pt idx="117">
                  <c:v>ORD-10118</c:v>
                </c:pt>
                <c:pt idx="118">
                  <c:v>ORD-10119</c:v>
                </c:pt>
                <c:pt idx="119">
                  <c:v>ORD-10120</c:v>
                </c:pt>
                <c:pt idx="120">
                  <c:v>ORD-10121</c:v>
                </c:pt>
                <c:pt idx="121">
                  <c:v>ORD-10122</c:v>
                </c:pt>
                <c:pt idx="122">
                  <c:v>ORD-10123</c:v>
                </c:pt>
                <c:pt idx="123">
                  <c:v>ORD-10124</c:v>
                </c:pt>
                <c:pt idx="124">
                  <c:v>ORD-10125</c:v>
                </c:pt>
                <c:pt idx="125">
                  <c:v>ORD-10126</c:v>
                </c:pt>
                <c:pt idx="126">
                  <c:v>ORD-10127</c:v>
                </c:pt>
                <c:pt idx="127">
                  <c:v>ORD-10128</c:v>
                </c:pt>
                <c:pt idx="128">
                  <c:v>ORD-10129</c:v>
                </c:pt>
                <c:pt idx="129">
                  <c:v>ORD-10130</c:v>
                </c:pt>
                <c:pt idx="130">
                  <c:v>ORD-10131</c:v>
                </c:pt>
                <c:pt idx="131">
                  <c:v>ORD-10132</c:v>
                </c:pt>
                <c:pt idx="132">
                  <c:v>ORD-10133</c:v>
                </c:pt>
                <c:pt idx="133">
                  <c:v>ORD-10134</c:v>
                </c:pt>
                <c:pt idx="134">
                  <c:v>ORD-10135</c:v>
                </c:pt>
                <c:pt idx="135">
                  <c:v>ORD-10136</c:v>
                </c:pt>
                <c:pt idx="136">
                  <c:v>ORD-10137</c:v>
                </c:pt>
                <c:pt idx="137">
                  <c:v>ORD-10138</c:v>
                </c:pt>
                <c:pt idx="138">
                  <c:v>ORD-10139</c:v>
                </c:pt>
                <c:pt idx="139">
                  <c:v>ORD-10140</c:v>
                </c:pt>
                <c:pt idx="140">
                  <c:v>ORD-10141</c:v>
                </c:pt>
                <c:pt idx="141">
                  <c:v>ORD-10142</c:v>
                </c:pt>
                <c:pt idx="142">
                  <c:v>ORD-10143</c:v>
                </c:pt>
                <c:pt idx="143">
                  <c:v>ORD-10144</c:v>
                </c:pt>
                <c:pt idx="144">
                  <c:v>ORD-10145</c:v>
                </c:pt>
                <c:pt idx="145">
                  <c:v>ORD-10146</c:v>
                </c:pt>
                <c:pt idx="146">
                  <c:v>ORD-10147</c:v>
                </c:pt>
                <c:pt idx="147">
                  <c:v>ORD-10148</c:v>
                </c:pt>
                <c:pt idx="148">
                  <c:v>ORD-10149</c:v>
                </c:pt>
                <c:pt idx="149">
                  <c:v>ORD-10150</c:v>
                </c:pt>
                <c:pt idx="150">
                  <c:v>ORD-10151</c:v>
                </c:pt>
                <c:pt idx="151">
                  <c:v>ORD-10152</c:v>
                </c:pt>
                <c:pt idx="152">
                  <c:v>ORD-10153</c:v>
                </c:pt>
                <c:pt idx="153">
                  <c:v>ORD-10154</c:v>
                </c:pt>
                <c:pt idx="154">
                  <c:v>ORD-10155</c:v>
                </c:pt>
                <c:pt idx="155">
                  <c:v>ORD-10156</c:v>
                </c:pt>
                <c:pt idx="156">
                  <c:v>ORD-10157</c:v>
                </c:pt>
                <c:pt idx="157">
                  <c:v>ORD-10158</c:v>
                </c:pt>
                <c:pt idx="158">
                  <c:v>ORD-10159</c:v>
                </c:pt>
                <c:pt idx="159">
                  <c:v>ORD-10160</c:v>
                </c:pt>
                <c:pt idx="160">
                  <c:v>ORD-10161</c:v>
                </c:pt>
                <c:pt idx="161">
                  <c:v>ORD-10162</c:v>
                </c:pt>
                <c:pt idx="162">
                  <c:v>ORD-10163</c:v>
                </c:pt>
                <c:pt idx="163">
                  <c:v>ORD-10164</c:v>
                </c:pt>
                <c:pt idx="164">
                  <c:v>ORD-10165</c:v>
                </c:pt>
                <c:pt idx="165">
                  <c:v>ORD-10166</c:v>
                </c:pt>
                <c:pt idx="166">
                  <c:v>ORD-10167</c:v>
                </c:pt>
                <c:pt idx="167">
                  <c:v>ORD-10168</c:v>
                </c:pt>
                <c:pt idx="168">
                  <c:v>ORD-10169</c:v>
                </c:pt>
                <c:pt idx="169">
                  <c:v>ORD-10170</c:v>
                </c:pt>
                <c:pt idx="170">
                  <c:v>ORD-10171</c:v>
                </c:pt>
                <c:pt idx="171">
                  <c:v>ORD-10172</c:v>
                </c:pt>
                <c:pt idx="172">
                  <c:v>ORD-10173</c:v>
                </c:pt>
                <c:pt idx="173">
                  <c:v>ORD-10174</c:v>
                </c:pt>
                <c:pt idx="174">
                  <c:v>ORD-10175</c:v>
                </c:pt>
                <c:pt idx="175">
                  <c:v>ORD-10176</c:v>
                </c:pt>
                <c:pt idx="176">
                  <c:v>ORD-10177</c:v>
                </c:pt>
                <c:pt idx="177">
                  <c:v>ORD-10178</c:v>
                </c:pt>
                <c:pt idx="178">
                  <c:v>ORD-10179</c:v>
                </c:pt>
                <c:pt idx="179">
                  <c:v>ORD-10180</c:v>
                </c:pt>
                <c:pt idx="180">
                  <c:v>ORD-10181</c:v>
                </c:pt>
                <c:pt idx="181">
                  <c:v>ORD-10182</c:v>
                </c:pt>
                <c:pt idx="182">
                  <c:v>ORD-10183</c:v>
                </c:pt>
                <c:pt idx="183">
                  <c:v>ORD-10184</c:v>
                </c:pt>
                <c:pt idx="184">
                  <c:v>ORD-10185</c:v>
                </c:pt>
                <c:pt idx="185">
                  <c:v>ORD-10186</c:v>
                </c:pt>
                <c:pt idx="186">
                  <c:v>ORD-10187</c:v>
                </c:pt>
                <c:pt idx="187">
                  <c:v>ORD-10188</c:v>
                </c:pt>
                <c:pt idx="188">
                  <c:v>ORD-10189</c:v>
                </c:pt>
                <c:pt idx="189">
                  <c:v>ORD-10190</c:v>
                </c:pt>
                <c:pt idx="190">
                  <c:v>ORD-10191</c:v>
                </c:pt>
                <c:pt idx="191">
                  <c:v>ORD-10192</c:v>
                </c:pt>
                <c:pt idx="192">
                  <c:v>ORD-10193</c:v>
                </c:pt>
                <c:pt idx="193">
                  <c:v>ORD-10194</c:v>
                </c:pt>
                <c:pt idx="194">
                  <c:v>ORD-10195</c:v>
                </c:pt>
                <c:pt idx="195">
                  <c:v>ORD-10196</c:v>
                </c:pt>
                <c:pt idx="196">
                  <c:v>ORD-10197</c:v>
                </c:pt>
                <c:pt idx="197">
                  <c:v>ORD-10198</c:v>
                </c:pt>
                <c:pt idx="198">
                  <c:v>ORD-10199</c:v>
                </c:pt>
                <c:pt idx="199">
                  <c:v>ORD-10200</c:v>
                </c:pt>
                <c:pt idx="200">
                  <c:v>ORD-10201</c:v>
                </c:pt>
                <c:pt idx="201">
                  <c:v>ORD-10202</c:v>
                </c:pt>
                <c:pt idx="202">
                  <c:v>ORD-10203</c:v>
                </c:pt>
                <c:pt idx="203">
                  <c:v>ORD-10204</c:v>
                </c:pt>
                <c:pt idx="204">
                  <c:v>ORD-10205</c:v>
                </c:pt>
                <c:pt idx="205">
                  <c:v>ORD-10206</c:v>
                </c:pt>
                <c:pt idx="206">
                  <c:v>ORD-10207</c:v>
                </c:pt>
                <c:pt idx="207">
                  <c:v>ORD-10208</c:v>
                </c:pt>
                <c:pt idx="208">
                  <c:v>ORD-10209</c:v>
                </c:pt>
                <c:pt idx="209">
                  <c:v>ORD-10210</c:v>
                </c:pt>
                <c:pt idx="210">
                  <c:v>ORD-10211</c:v>
                </c:pt>
                <c:pt idx="211">
                  <c:v>ORD-10212</c:v>
                </c:pt>
                <c:pt idx="212">
                  <c:v>ORD-10213</c:v>
                </c:pt>
                <c:pt idx="213">
                  <c:v>ORD-10214</c:v>
                </c:pt>
                <c:pt idx="214">
                  <c:v>ORD-10215</c:v>
                </c:pt>
                <c:pt idx="215">
                  <c:v>ORD-10216</c:v>
                </c:pt>
                <c:pt idx="216">
                  <c:v>ORD-10217</c:v>
                </c:pt>
                <c:pt idx="217">
                  <c:v>ORD-10218</c:v>
                </c:pt>
                <c:pt idx="218">
                  <c:v>ORD-10219</c:v>
                </c:pt>
                <c:pt idx="219">
                  <c:v>ORD-10220</c:v>
                </c:pt>
                <c:pt idx="220">
                  <c:v>ORD-10221</c:v>
                </c:pt>
                <c:pt idx="221">
                  <c:v>ORD-10222</c:v>
                </c:pt>
                <c:pt idx="222">
                  <c:v>ORD-10223</c:v>
                </c:pt>
                <c:pt idx="223">
                  <c:v>ORD-10224</c:v>
                </c:pt>
                <c:pt idx="224">
                  <c:v>ORD-10225</c:v>
                </c:pt>
                <c:pt idx="225">
                  <c:v>ORD-10226</c:v>
                </c:pt>
                <c:pt idx="226">
                  <c:v>ORD-10227</c:v>
                </c:pt>
                <c:pt idx="227">
                  <c:v>ORD-10228</c:v>
                </c:pt>
                <c:pt idx="228">
                  <c:v>ORD-10229</c:v>
                </c:pt>
                <c:pt idx="229">
                  <c:v>ORD-10230</c:v>
                </c:pt>
                <c:pt idx="230">
                  <c:v>ORD-10231</c:v>
                </c:pt>
                <c:pt idx="231">
                  <c:v>ORD-10232</c:v>
                </c:pt>
                <c:pt idx="232">
                  <c:v>ORD-10233</c:v>
                </c:pt>
                <c:pt idx="233">
                  <c:v>ORD-10234</c:v>
                </c:pt>
                <c:pt idx="234">
                  <c:v>ORD-10235</c:v>
                </c:pt>
                <c:pt idx="235">
                  <c:v>ORD-10236</c:v>
                </c:pt>
                <c:pt idx="236">
                  <c:v>ORD-10237</c:v>
                </c:pt>
                <c:pt idx="237">
                  <c:v>ORD-10238</c:v>
                </c:pt>
                <c:pt idx="238">
                  <c:v>ORD-10239</c:v>
                </c:pt>
                <c:pt idx="239">
                  <c:v>ORD-10240</c:v>
                </c:pt>
                <c:pt idx="240">
                  <c:v>ORD-10241</c:v>
                </c:pt>
                <c:pt idx="241">
                  <c:v>ORD-10242</c:v>
                </c:pt>
                <c:pt idx="242">
                  <c:v>ORD-10243</c:v>
                </c:pt>
                <c:pt idx="243">
                  <c:v>ORD-10244</c:v>
                </c:pt>
                <c:pt idx="244">
                  <c:v>ORD-10245</c:v>
                </c:pt>
                <c:pt idx="245">
                  <c:v>ORD-10246</c:v>
                </c:pt>
                <c:pt idx="246">
                  <c:v>ORD-10247</c:v>
                </c:pt>
                <c:pt idx="247">
                  <c:v>ORD-10248</c:v>
                </c:pt>
                <c:pt idx="248">
                  <c:v>ORD-10249</c:v>
                </c:pt>
                <c:pt idx="249">
                  <c:v>ORD-10250</c:v>
                </c:pt>
                <c:pt idx="250">
                  <c:v>ORD-10251</c:v>
                </c:pt>
                <c:pt idx="251">
                  <c:v>ORD-10252</c:v>
                </c:pt>
                <c:pt idx="252">
                  <c:v>ORD-10253</c:v>
                </c:pt>
                <c:pt idx="253">
                  <c:v>ORD-10254</c:v>
                </c:pt>
                <c:pt idx="254">
                  <c:v>ORD-10255</c:v>
                </c:pt>
                <c:pt idx="255">
                  <c:v>ORD-10256</c:v>
                </c:pt>
                <c:pt idx="256">
                  <c:v>ORD-10257</c:v>
                </c:pt>
                <c:pt idx="257">
                  <c:v>ORD-10258</c:v>
                </c:pt>
                <c:pt idx="258">
                  <c:v>ORD-10259</c:v>
                </c:pt>
                <c:pt idx="259">
                  <c:v>ORD-10260</c:v>
                </c:pt>
                <c:pt idx="260">
                  <c:v>ORD-10261</c:v>
                </c:pt>
                <c:pt idx="261">
                  <c:v>ORD-10262</c:v>
                </c:pt>
                <c:pt idx="262">
                  <c:v>ORD-10263</c:v>
                </c:pt>
                <c:pt idx="263">
                  <c:v>ORD-10264</c:v>
                </c:pt>
                <c:pt idx="264">
                  <c:v>ORD-10265</c:v>
                </c:pt>
                <c:pt idx="265">
                  <c:v>ORD-10266</c:v>
                </c:pt>
                <c:pt idx="266">
                  <c:v>ORD-10267</c:v>
                </c:pt>
                <c:pt idx="267">
                  <c:v>ORD-10268</c:v>
                </c:pt>
                <c:pt idx="268">
                  <c:v>ORD-10269</c:v>
                </c:pt>
                <c:pt idx="269">
                  <c:v>ORD-10270</c:v>
                </c:pt>
                <c:pt idx="270">
                  <c:v>ORD-10271</c:v>
                </c:pt>
                <c:pt idx="271">
                  <c:v>ORD-10272</c:v>
                </c:pt>
                <c:pt idx="272">
                  <c:v>ORD-10273</c:v>
                </c:pt>
                <c:pt idx="273">
                  <c:v>ORD-10274</c:v>
                </c:pt>
                <c:pt idx="274">
                  <c:v>ORD-10275</c:v>
                </c:pt>
                <c:pt idx="275">
                  <c:v>ORD-10276</c:v>
                </c:pt>
                <c:pt idx="276">
                  <c:v>ORD-10277</c:v>
                </c:pt>
                <c:pt idx="277">
                  <c:v>ORD-10278</c:v>
                </c:pt>
                <c:pt idx="278">
                  <c:v>ORD-10279</c:v>
                </c:pt>
                <c:pt idx="279">
                  <c:v>ORD-10280</c:v>
                </c:pt>
                <c:pt idx="280">
                  <c:v>ORD-10281</c:v>
                </c:pt>
                <c:pt idx="281">
                  <c:v>ORD-10282</c:v>
                </c:pt>
                <c:pt idx="282">
                  <c:v>ORD-10283</c:v>
                </c:pt>
                <c:pt idx="283">
                  <c:v>ORD-10284</c:v>
                </c:pt>
                <c:pt idx="284">
                  <c:v>ORD-10285</c:v>
                </c:pt>
                <c:pt idx="285">
                  <c:v>ORD-10286</c:v>
                </c:pt>
                <c:pt idx="286">
                  <c:v>ORD-10287</c:v>
                </c:pt>
                <c:pt idx="287">
                  <c:v>ORD-10288</c:v>
                </c:pt>
                <c:pt idx="288">
                  <c:v>ORD-10289</c:v>
                </c:pt>
                <c:pt idx="289">
                  <c:v>ORD-10290</c:v>
                </c:pt>
                <c:pt idx="290">
                  <c:v>ORD-10291</c:v>
                </c:pt>
                <c:pt idx="291">
                  <c:v>ORD-10292</c:v>
                </c:pt>
                <c:pt idx="292">
                  <c:v>ORD-10293</c:v>
                </c:pt>
                <c:pt idx="293">
                  <c:v>ORD-10294</c:v>
                </c:pt>
                <c:pt idx="294">
                  <c:v>ORD-10295</c:v>
                </c:pt>
                <c:pt idx="295">
                  <c:v>ORD-10296</c:v>
                </c:pt>
                <c:pt idx="296">
                  <c:v>ORD-10297</c:v>
                </c:pt>
                <c:pt idx="297">
                  <c:v>ORD-10298</c:v>
                </c:pt>
                <c:pt idx="298">
                  <c:v>ORD-10299</c:v>
                </c:pt>
                <c:pt idx="299">
                  <c:v>ORD-10300</c:v>
                </c:pt>
                <c:pt idx="300">
                  <c:v>ORD-10301</c:v>
                </c:pt>
                <c:pt idx="301">
                  <c:v>ORD-10302</c:v>
                </c:pt>
                <c:pt idx="302">
                  <c:v>ORD-10303</c:v>
                </c:pt>
                <c:pt idx="303">
                  <c:v>ORD-10304</c:v>
                </c:pt>
                <c:pt idx="304">
                  <c:v>ORD-10305</c:v>
                </c:pt>
                <c:pt idx="305">
                  <c:v>ORD-10306</c:v>
                </c:pt>
                <c:pt idx="306">
                  <c:v>ORD-10307</c:v>
                </c:pt>
                <c:pt idx="307">
                  <c:v>ORD-10308</c:v>
                </c:pt>
                <c:pt idx="308">
                  <c:v>ORD-10309</c:v>
                </c:pt>
                <c:pt idx="309">
                  <c:v>ORD-10310</c:v>
                </c:pt>
                <c:pt idx="310">
                  <c:v>ORD-10311</c:v>
                </c:pt>
                <c:pt idx="311">
                  <c:v>ORD-10312</c:v>
                </c:pt>
                <c:pt idx="312">
                  <c:v>ORD-10313</c:v>
                </c:pt>
                <c:pt idx="313">
                  <c:v>ORD-10314</c:v>
                </c:pt>
                <c:pt idx="314">
                  <c:v>ORD-10315</c:v>
                </c:pt>
                <c:pt idx="315">
                  <c:v>ORD-10316</c:v>
                </c:pt>
                <c:pt idx="316">
                  <c:v>ORD-10317</c:v>
                </c:pt>
                <c:pt idx="317">
                  <c:v>ORD-10318</c:v>
                </c:pt>
                <c:pt idx="318">
                  <c:v>ORD-10319</c:v>
                </c:pt>
                <c:pt idx="319">
                  <c:v>ORD-10320</c:v>
                </c:pt>
                <c:pt idx="320">
                  <c:v>ORD-10321</c:v>
                </c:pt>
                <c:pt idx="321">
                  <c:v>ORD-10322</c:v>
                </c:pt>
                <c:pt idx="322">
                  <c:v>ORD-10323</c:v>
                </c:pt>
                <c:pt idx="323">
                  <c:v>ORD-10324</c:v>
                </c:pt>
                <c:pt idx="324">
                  <c:v>ORD-10325</c:v>
                </c:pt>
                <c:pt idx="325">
                  <c:v>ORD-10326</c:v>
                </c:pt>
                <c:pt idx="326">
                  <c:v>ORD-10327</c:v>
                </c:pt>
                <c:pt idx="327">
                  <c:v>ORD-10328</c:v>
                </c:pt>
                <c:pt idx="328">
                  <c:v>ORD-10329</c:v>
                </c:pt>
                <c:pt idx="329">
                  <c:v>ORD-10330</c:v>
                </c:pt>
                <c:pt idx="330">
                  <c:v>ORD-10331</c:v>
                </c:pt>
                <c:pt idx="331">
                  <c:v>ORD-10332</c:v>
                </c:pt>
                <c:pt idx="332">
                  <c:v>ORD-10333</c:v>
                </c:pt>
                <c:pt idx="333">
                  <c:v>ORD-10334</c:v>
                </c:pt>
                <c:pt idx="334">
                  <c:v>ORD-10335</c:v>
                </c:pt>
                <c:pt idx="335">
                  <c:v>ORD-10336</c:v>
                </c:pt>
                <c:pt idx="336">
                  <c:v>ORD-10337</c:v>
                </c:pt>
                <c:pt idx="337">
                  <c:v>ORD-10338</c:v>
                </c:pt>
                <c:pt idx="338">
                  <c:v>ORD-10339</c:v>
                </c:pt>
                <c:pt idx="339">
                  <c:v>ORD-10340</c:v>
                </c:pt>
                <c:pt idx="340">
                  <c:v>ORD-10341</c:v>
                </c:pt>
                <c:pt idx="341">
                  <c:v>ORD-10342</c:v>
                </c:pt>
                <c:pt idx="342">
                  <c:v>ORD-10343</c:v>
                </c:pt>
                <c:pt idx="343">
                  <c:v>ORD-10344</c:v>
                </c:pt>
                <c:pt idx="344">
                  <c:v>ORD-10345</c:v>
                </c:pt>
                <c:pt idx="345">
                  <c:v>ORD-10346</c:v>
                </c:pt>
                <c:pt idx="346">
                  <c:v>ORD-10347</c:v>
                </c:pt>
                <c:pt idx="347">
                  <c:v>ORD-10348</c:v>
                </c:pt>
                <c:pt idx="348">
                  <c:v>ORD-10349</c:v>
                </c:pt>
                <c:pt idx="349">
                  <c:v>ORD-10350</c:v>
                </c:pt>
                <c:pt idx="350">
                  <c:v>ORD-10351</c:v>
                </c:pt>
                <c:pt idx="351">
                  <c:v>ORD-10352</c:v>
                </c:pt>
                <c:pt idx="352">
                  <c:v>ORD-10353</c:v>
                </c:pt>
                <c:pt idx="353">
                  <c:v>ORD-10354</c:v>
                </c:pt>
                <c:pt idx="354">
                  <c:v>ORD-10355</c:v>
                </c:pt>
                <c:pt idx="355">
                  <c:v>ORD-10356</c:v>
                </c:pt>
                <c:pt idx="356">
                  <c:v>ORD-10357</c:v>
                </c:pt>
                <c:pt idx="357">
                  <c:v>ORD-10358</c:v>
                </c:pt>
                <c:pt idx="358">
                  <c:v>ORD-10359</c:v>
                </c:pt>
                <c:pt idx="359">
                  <c:v>ORD-10360</c:v>
                </c:pt>
                <c:pt idx="360">
                  <c:v>ORD-10361</c:v>
                </c:pt>
                <c:pt idx="361">
                  <c:v>ORD-10362</c:v>
                </c:pt>
                <c:pt idx="362">
                  <c:v>ORD-10363</c:v>
                </c:pt>
                <c:pt idx="363">
                  <c:v>ORD-10364</c:v>
                </c:pt>
                <c:pt idx="364">
                  <c:v>ORD-10365</c:v>
                </c:pt>
                <c:pt idx="365">
                  <c:v>ORD-10366</c:v>
                </c:pt>
                <c:pt idx="366">
                  <c:v>ORD-10367</c:v>
                </c:pt>
                <c:pt idx="367">
                  <c:v>ORD-10368</c:v>
                </c:pt>
                <c:pt idx="368">
                  <c:v>ORD-10369</c:v>
                </c:pt>
                <c:pt idx="369">
                  <c:v>ORD-10370</c:v>
                </c:pt>
                <c:pt idx="370">
                  <c:v>ORD-10371</c:v>
                </c:pt>
                <c:pt idx="371">
                  <c:v>ORD-10372</c:v>
                </c:pt>
                <c:pt idx="372">
                  <c:v>ORD-10373</c:v>
                </c:pt>
                <c:pt idx="373">
                  <c:v>ORD-10374</c:v>
                </c:pt>
                <c:pt idx="374">
                  <c:v>ORD-10375</c:v>
                </c:pt>
                <c:pt idx="375">
                  <c:v>ORD-10376</c:v>
                </c:pt>
                <c:pt idx="376">
                  <c:v>ORD-10377</c:v>
                </c:pt>
                <c:pt idx="377">
                  <c:v>ORD-10378</c:v>
                </c:pt>
                <c:pt idx="378">
                  <c:v>ORD-10379</c:v>
                </c:pt>
                <c:pt idx="379">
                  <c:v>ORD-10380</c:v>
                </c:pt>
                <c:pt idx="380">
                  <c:v>ORD-10381</c:v>
                </c:pt>
                <c:pt idx="381">
                  <c:v>ORD-10382</c:v>
                </c:pt>
                <c:pt idx="382">
                  <c:v>ORD-10383</c:v>
                </c:pt>
                <c:pt idx="383">
                  <c:v>ORD-10384</c:v>
                </c:pt>
                <c:pt idx="384">
                  <c:v>ORD-10385</c:v>
                </c:pt>
                <c:pt idx="385">
                  <c:v>ORD-10386</c:v>
                </c:pt>
                <c:pt idx="386">
                  <c:v>ORD-10387</c:v>
                </c:pt>
                <c:pt idx="387">
                  <c:v>ORD-10388</c:v>
                </c:pt>
                <c:pt idx="388">
                  <c:v>ORD-10389</c:v>
                </c:pt>
                <c:pt idx="389">
                  <c:v>ORD-10390</c:v>
                </c:pt>
                <c:pt idx="390">
                  <c:v>ORD-10391</c:v>
                </c:pt>
                <c:pt idx="391">
                  <c:v>ORD-10392</c:v>
                </c:pt>
                <c:pt idx="392">
                  <c:v>ORD-10393</c:v>
                </c:pt>
                <c:pt idx="393">
                  <c:v>ORD-10394</c:v>
                </c:pt>
                <c:pt idx="394">
                  <c:v>ORD-10395</c:v>
                </c:pt>
                <c:pt idx="395">
                  <c:v>ORD-10396</c:v>
                </c:pt>
                <c:pt idx="396">
                  <c:v>ORD-10397</c:v>
                </c:pt>
                <c:pt idx="397">
                  <c:v>ORD-10398</c:v>
                </c:pt>
                <c:pt idx="398">
                  <c:v>ORD-10399</c:v>
                </c:pt>
                <c:pt idx="399">
                  <c:v>ORD-10400</c:v>
                </c:pt>
                <c:pt idx="400">
                  <c:v>ORD-10401</c:v>
                </c:pt>
                <c:pt idx="401">
                  <c:v>ORD-10402</c:v>
                </c:pt>
                <c:pt idx="402">
                  <c:v>ORD-10403</c:v>
                </c:pt>
                <c:pt idx="403">
                  <c:v>ORD-10404</c:v>
                </c:pt>
                <c:pt idx="404">
                  <c:v>ORD-10405</c:v>
                </c:pt>
                <c:pt idx="405">
                  <c:v>ORD-10406</c:v>
                </c:pt>
                <c:pt idx="406">
                  <c:v>ORD-10407</c:v>
                </c:pt>
                <c:pt idx="407">
                  <c:v>ORD-10408</c:v>
                </c:pt>
                <c:pt idx="408">
                  <c:v>ORD-10409</c:v>
                </c:pt>
                <c:pt idx="409">
                  <c:v>ORD-10410</c:v>
                </c:pt>
                <c:pt idx="410">
                  <c:v>ORD-10411</c:v>
                </c:pt>
                <c:pt idx="411">
                  <c:v>ORD-10412</c:v>
                </c:pt>
                <c:pt idx="412">
                  <c:v>ORD-10413</c:v>
                </c:pt>
                <c:pt idx="413">
                  <c:v>ORD-10414</c:v>
                </c:pt>
                <c:pt idx="414">
                  <c:v>ORD-10415</c:v>
                </c:pt>
                <c:pt idx="415">
                  <c:v>ORD-10416</c:v>
                </c:pt>
                <c:pt idx="416">
                  <c:v>ORD-10417</c:v>
                </c:pt>
                <c:pt idx="417">
                  <c:v>ORD-10418</c:v>
                </c:pt>
                <c:pt idx="418">
                  <c:v>ORD-10419</c:v>
                </c:pt>
                <c:pt idx="419">
                  <c:v>ORD-10420</c:v>
                </c:pt>
                <c:pt idx="420">
                  <c:v>ORD-10421</c:v>
                </c:pt>
                <c:pt idx="421">
                  <c:v>ORD-10422</c:v>
                </c:pt>
                <c:pt idx="422">
                  <c:v>ORD-10423</c:v>
                </c:pt>
                <c:pt idx="423">
                  <c:v>ORD-10424</c:v>
                </c:pt>
                <c:pt idx="424">
                  <c:v>ORD-10425</c:v>
                </c:pt>
                <c:pt idx="425">
                  <c:v>ORD-10426</c:v>
                </c:pt>
                <c:pt idx="426">
                  <c:v>ORD-10427</c:v>
                </c:pt>
                <c:pt idx="427">
                  <c:v>ORD-10428</c:v>
                </c:pt>
                <c:pt idx="428">
                  <c:v>ORD-10429</c:v>
                </c:pt>
                <c:pt idx="429">
                  <c:v>ORD-10430</c:v>
                </c:pt>
                <c:pt idx="430">
                  <c:v>ORD-10431</c:v>
                </c:pt>
                <c:pt idx="431">
                  <c:v>ORD-10432</c:v>
                </c:pt>
                <c:pt idx="432">
                  <c:v>ORD-10433</c:v>
                </c:pt>
                <c:pt idx="433">
                  <c:v>ORD-10434</c:v>
                </c:pt>
                <c:pt idx="434">
                  <c:v>ORD-10435</c:v>
                </c:pt>
                <c:pt idx="435">
                  <c:v>ORD-10436</c:v>
                </c:pt>
                <c:pt idx="436">
                  <c:v>ORD-10437</c:v>
                </c:pt>
                <c:pt idx="437">
                  <c:v>ORD-10438</c:v>
                </c:pt>
                <c:pt idx="438">
                  <c:v>ORD-10439</c:v>
                </c:pt>
                <c:pt idx="439">
                  <c:v>ORD-10440</c:v>
                </c:pt>
                <c:pt idx="440">
                  <c:v>ORD-10441</c:v>
                </c:pt>
                <c:pt idx="441">
                  <c:v>ORD-10442</c:v>
                </c:pt>
                <c:pt idx="442">
                  <c:v>ORD-10443</c:v>
                </c:pt>
                <c:pt idx="443">
                  <c:v>ORD-10444</c:v>
                </c:pt>
                <c:pt idx="444">
                  <c:v>ORD-10445</c:v>
                </c:pt>
                <c:pt idx="445">
                  <c:v>ORD-10446</c:v>
                </c:pt>
                <c:pt idx="446">
                  <c:v>ORD-10447</c:v>
                </c:pt>
                <c:pt idx="447">
                  <c:v>ORD-10448</c:v>
                </c:pt>
                <c:pt idx="448">
                  <c:v>ORD-10449</c:v>
                </c:pt>
                <c:pt idx="449">
                  <c:v>ORD-10450</c:v>
                </c:pt>
                <c:pt idx="450">
                  <c:v>ORD-10451</c:v>
                </c:pt>
                <c:pt idx="451">
                  <c:v>ORD-10452</c:v>
                </c:pt>
                <c:pt idx="452">
                  <c:v>ORD-10453</c:v>
                </c:pt>
                <c:pt idx="453">
                  <c:v>ORD-10454</c:v>
                </c:pt>
                <c:pt idx="454">
                  <c:v>ORD-10455</c:v>
                </c:pt>
                <c:pt idx="455">
                  <c:v>ORD-10456</c:v>
                </c:pt>
                <c:pt idx="456">
                  <c:v>ORD-10457</c:v>
                </c:pt>
                <c:pt idx="457">
                  <c:v>ORD-10458</c:v>
                </c:pt>
                <c:pt idx="458">
                  <c:v>ORD-10459</c:v>
                </c:pt>
                <c:pt idx="459">
                  <c:v>ORD-10460</c:v>
                </c:pt>
                <c:pt idx="460">
                  <c:v>ORD-10461</c:v>
                </c:pt>
                <c:pt idx="461">
                  <c:v>ORD-10462</c:v>
                </c:pt>
                <c:pt idx="462">
                  <c:v>ORD-10463</c:v>
                </c:pt>
                <c:pt idx="463">
                  <c:v>ORD-10464</c:v>
                </c:pt>
                <c:pt idx="464">
                  <c:v>ORD-10465</c:v>
                </c:pt>
                <c:pt idx="465">
                  <c:v>ORD-10466</c:v>
                </c:pt>
                <c:pt idx="466">
                  <c:v>ORD-10467</c:v>
                </c:pt>
                <c:pt idx="467">
                  <c:v>ORD-10468</c:v>
                </c:pt>
                <c:pt idx="468">
                  <c:v>ORD-10469</c:v>
                </c:pt>
                <c:pt idx="469">
                  <c:v>ORD-10470</c:v>
                </c:pt>
                <c:pt idx="470">
                  <c:v>ORD-10471</c:v>
                </c:pt>
                <c:pt idx="471">
                  <c:v>ORD-10472</c:v>
                </c:pt>
                <c:pt idx="472">
                  <c:v>ORD-10473</c:v>
                </c:pt>
                <c:pt idx="473">
                  <c:v>ORD-10474</c:v>
                </c:pt>
                <c:pt idx="474">
                  <c:v>ORD-10475</c:v>
                </c:pt>
                <c:pt idx="475">
                  <c:v>ORD-10476</c:v>
                </c:pt>
                <c:pt idx="476">
                  <c:v>ORD-10477</c:v>
                </c:pt>
                <c:pt idx="477">
                  <c:v>ORD-10478</c:v>
                </c:pt>
                <c:pt idx="478">
                  <c:v>ORD-10479</c:v>
                </c:pt>
                <c:pt idx="479">
                  <c:v>ORD-10480</c:v>
                </c:pt>
                <c:pt idx="480">
                  <c:v>ORD-10481</c:v>
                </c:pt>
                <c:pt idx="481">
                  <c:v>ORD-10482</c:v>
                </c:pt>
                <c:pt idx="482">
                  <c:v>ORD-10483</c:v>
                </c:pt>
                <c:pt idx="483">
                  <c:v>ORD-10484</c:v>
                </c:pt>
                <c:pt idx="484">
                  <c:v>ORD-10485</c:v>
                </c:pt>
                <c:pt idx="485">
                  <c:v>ORD-10486</c:v>
                </c:pt>
                <c:pt idx="486">
                  <c:v>ORD-10487</c:v>
                </c:pt>
                <c:pt idx="487">
                  <c:v>ORD-10488</c:v>
                </c:pt>
                <c:pt idx="488">
                  <c:v>ORD-10489</c:v>
                </c:pt>
                <c:pt idx="489">
                  <c:v>ORD-10490</c:v>
                </c:pt>
                <c:pt idx="490">
                  <c:v>ORD-10491</c:v>
                </c:pt>
                <c:pt idx="491">
                  <c:v>ORD-10492</c:v>
                </c:pt>
                <c:pt idx="492">
                  <c:v>ORD-10493</c:v>
                </c:pt>
                <c:pt idx="493">
                  <c:v>ORD-10494</c:v>
                </c:pt>
                <c:pt idx="494">
                  <c:v>ORD-10495</c:v>
                </c:pt>
                <c:pt idx="495">
                  <c:v>ORD-10496</c:v>
                </c:pt>
                <c:pt idx="496">
                  <c:v>ORD-10497</c:v>
                </c:pt>
                <c:pt idx="497">
                  <c:v>ORD-10498</c:v>
                </c:pt>
                <c:pt idx="498">
                  <c:v>ORD-10499</c:v>
                </c:pt>
                <c:pt idx="499">
                  <c:v>ORD-10500</c:v>
                </c:pt>
                <c:pt idx="500">
                  <c:v>ORD-10501</c:v>
                </c:pt>
                <c:pt idx="501">
                  <c:v>ORD-10502</c:v>
                </c:pt>
                <c:pt idx="502">
                  <c:v>ORD-10503</c:v>
                </c:pt>
                <c:pt idx="503">
                  <c:v>ORD-10504</c:v>
                </c:pt>
                <c:pt idx="504">
                  <c:v>ORD-10505</c:v>
                </c:pt>
                <c:pt idx="505">
                  <c:v>ORD-10506</c:v>
                </c:pt>
                <c:pt idx="506">
                  <c:v>ORD-10507</c:v>
                </c:pt>
                <c:pt idx="507">
                  <c:v>ORD-10508</c:v>
                </c:pt>
                <c:pt idx="508">
                  <c:v>ORD-10509</c:v>
                </c:pt>
                <c:pt idx="509">
                  <c:v>ORD-10510</c:v>
                </c:pt>
                <c:pt idx="510">
                  <c:v>ORD-10511</c:v>
                </c:pt>
                <c:pt idx="511">
                  <c:v>ORD-10512</c:v>
                </c:pt>
                <c:pt idx="512">
                  <c:v>ORD-10513</c:v>
                </c:pt>
                <c:pt idx="513">
                  <c:v>ORD-10514</c:v>
                </c:pt>
                <c:pt idx="514">
                  <c:v>ORD-10515</c:v>
                </c:pt>
                <c:pt idx="515">
                  <c:v>ORD-10516</c:v>
                </c:pt>
                <c:pt idx="516">
                  <c:v>ORD-10517</c:v>
                </c:pt>
                <c:pt idx="517">
                  <c:v>ORD-10518</c:v>
                </c:pt>
                <c:pt idx="518">
                  <c:v>ORD-10519</c:v>
                </c:pt>
                <c:pt idx="519">
                  <c:v>ORD-10520</c:v>
                </c:pt>
                <c:pt idx="520">
                  <c:v>ORD-10521</c:v>
                </c:pt>
                <c:pt idx="521">
                  <c:v>ORD-10522</c:v>
                </c:pt>
                <c:pt idx="522">
                  <c:v>ORD-10523</c:v>
                </c:pt>
                <c:pt idx="523">
                  <c:v>ORD-10524</c:v>
                </c:pt>
                <c:pt idx="524">
                  <c:v>ORD-10525</c:v>
                </c:pt>
                <c:pt idx="525">
                  <c:v>ORD-10526</c:v>
                </c:pt>
                <c:pt idx="526">
                  <c:v>ORD-10527</c:v>
                </c:pt>
                <c:pt idx="527">
                  <c:v>ORD-10528</c:v>
                </c:pt>
                <c:pt idx="528">
                  <c:v>ORD-10529</c:v>
                </c:pt>
                <c:pt idx="529">
                  <c:v>ORD-10530</c:v>
                </c:pt>
                <c:pt idx="530">
                  <c:v>ORD-10531</c:v>
                </c:pt>
                <c:pt idx="531">
                  <c:v>ORD-10532</c:v>
                </c:pt>
                <c:pt idx="532">
                  <c:v>ORD-10533</c:v>
                </c:pt>
                <c:pt idx="533">
                  <c:v>ORD-10534</c:v>
                </c:pt>
                <c:pt idx="534">
                  <c:v>ORD-10535</c:v>
                </c:pt>
                <c:pt idx="535">
                  <c:v>ORD-10536</c:v>
                </c:pt>
                <c:pt idx="536">
                  <c:v>ORD-10537</c:v>
                </c:pt>
                <c:pt idx="537">
                  <c:v>ORD-10538</c:v>
                </c:pt>
                <c:pt idx="538">
                  <c:v>ORD-10539</c:v>
                </c:pt>
                <c:pt idx="539">
                  <c:v>ORD-10540</c:v>
                </c:pt>
                <c:pt idx="540">
                  <c:v>ORD-10541</c:v>
                </c:pt>
                <c:pt idx="541">
                  <c:v>ORD-10542</c:v>
                </c:pt>
                <c:pt idx="542">
                  <c:v>ORD-10543</c:v>
                </c:pt>
                <c:pt idx="543">
                  <c:v>ORD-10544</c:v>
                </c:pt>
                <c:pt idx="544">
                  <c:v>ORD-10545</c:v>
                </c:pt>
                <c:pt idx="545">
                  <c:v>ORD-10546</c:v>
                </c:pt>
                <c:pt idx="546">
                  <c:v>ORD-10547</c:v>
                </c:pt>
                <c:pt idx="547">
                  <c:v>ORD-10548</c:v>
                </c:pt>
                <c:pt idx="548">
                  <c:v>ORD-10549</c:v>
                </c:pt>
                <c:pt idx="549">
                  <c:v>ORD-10550</c:v>
                </c:pt>
                <c:pt idx="550">
                  <c:v>ORD-10551</c:v>
                </c:pt>
                <c:pt idx="551">
                  <c:v>ORD-10552</c:v>
                </c:pt>
                <c:pt idx="552">
                  <c:v>ORD-10553</c:v>
                </c:pt>
                <c:pt idx="553">
                  <c:v>ORD-10554</c:v>
                </c:pt>
                <c:pt idx="554">
                  <c:v>ORD-10555</c:v>
                </c:pt>
                <c:pt idx="555">
                  <c:v>ORD-10556</c:v>
                </c:pt>
                <c:pt idx="556">
                  <c:v>ORD-10557</c:v>
                </c:pt>
                <c:pt idx="557">
                  <c:v>ORD-10558</c:v>
                </c:pt>
                <c:pt idx="558">
                  <c:v>ORD-10559</c:v>
                </c:pt>
                <c:pt idx="559">
                  <c:v>ORD-10560</c:v>
                </c:pt>
                <c:pt idx="560">
                  <c:v>ORD-10561</c:v>
                </c:pt>
                <c:pt idx="561">
                  <c:v>ORD-10562</c:v>
                </c:pt>
                <c:pt idx="562">
                  <c:v>ORD-10563</c:v>
                </c:pt>
                <c:pt idx="563">
                  <c:v>ORD-10564</c:v>
                </c:pt>
                <c:pt idx="564">
                  <c:v>ORD-10565</c:v>
                </c:pt>
                <c:pt idx="565">
                  <c:v>ORD-10566</c:v>
                </c:pt>
                <c:pt idx="566">
                  <c:v>ORD-10567</c:v>
                </c:pt>
                <c:pt idx="567">
                  <c:v>ORD-10568</c:v>
                </c:pt>
                <c:pt idx="568">
                  <c:v>ORD-10569</c:v>
                </c:pt>
                <c:pt idx="569">
                  <c:v>ORD-10570</c:v>
                </c:pt>
                <c:pt idx="570">
                  <c:v>ORD-10571</c:v>
                </c:pt>
                <c:pt idx="571">
                  <c:v>ORD-10572</c:v>
                </c:pt>
                <c:pt idx="572">
                  <c:v>ORD-10573</c:v>
                </c:pt>
                <c:pt idx="573">
                  <c:v>ORD-10574</c:v>
                </c:pt>
                <c:pt idx="574">
                  <c:v>ORD-10575</c:v>
                </c:pt>
                <c:pt idx="575">
                  <c:v>ORD-10576</c:v>
                </c:pt>
                <c:pt idx="576">
                  <c:v>ORD-10577</c:v>
                </c:pt>
                <c:pt idx="577">
                  <c:v>ORD-10578</c:v>
                </c:pt>
                <c:pt idx="578">
                  <c:v>ORD-10579</c:v>
                </c:pt>
                <c:pt idx="579">
                  <c:v>ORD-10580</c:v>
                </c:pt>
                <c:pt idx="580">
                  <c:v>ORD-10581</c:v>
                </c:pt>
                <c:pt idx="581">
                  <c:v>ORD-10582</c:v>
                </c:pt>
                <c:pt idx="582">
                  <c:v>ORD-10583</c:v>
                </c:pt>
                <c:pt idx="583">
                  <c:v>ORD-10584</c:v>
                </c:pt>
                <c:pt idx="584">
                  <c:v>ORD-10585</c:v>
                </c:pt>
                <c:pt idx="585">
                  <c:v>ORD-10586</c:v>
                </c:pt>
                <c:pt idx="586">
                  <c:v>ORD-10587</c:v>
                </c:pt>
                <c:pt idx="587">
                  <c:v>ORD-10588</c:v>
                </c:pt>
                <c:pt idx="588">
                  <c:v>ORD-10589</c:v>
                </c:pt>
                <c:pt idx="589">
                  <c:v>ORD-10590</c:v>
                </c:pt>
                <c:pt idx="590">
                  <c:v>ORD-10591</c:v>
                </c:pt>
                <c:pt idx="591">
                  <c:v>ORD-10592</c:v>
                </c:pt>
                <c:pt idx="592">
                  <c:v>ORD-10593</c:v>
                </c:pt>
                <c:pt idx="593">
                  <c:v>ORD-10594</c:v>
                </c:pt>
                <c:pt idx="594">
                  <c:v>ORD-10595</c:v>
                </c:pt>
                <c:pt idx="595">
                  <c:v>ORD-10596</c:v>
                </c:pt>
                <c:pt idx="596">
                  <c:v>ORD-10597</c:v>
                </c:pt>
                <c:pt idx="597">
                  <c:v>ORD-10598</c:v>
                </c:pt>
                <c:pt idx="598">
                  <c:v>ORD-10599</c:v>
                </c:pt>
                <c:pt idx="599">
                  <c:v>ORD-10600</c:v>
                </c:pt>
                <c:pt idx="600">
                  <c:v>ORD-10601</c:v>
                </c:pt>
                <c:pt idx="601">
                  <c:v>ORD-10602</c:v>
                </c:pt>
                <c:pt idx="602">
                  <c:v>ORD-10603</c:v>
                </c:pt>
                <c:pt idx="603">
                  <c:v>ORD-10604</c:v>
                </c:pt>
                <c:pt idx="604">
                  <c:v>ORD-10605</c:v>
                </c:pt>
                <c:pt idx="605">
                  <c:v>ORD-10606</c:v>
                </c:pt>
                <c:pt idx="606">
                  <c:v>ORD-10607</c:v>
                </c:pt>
                <c:pt idx="607">
                  <c:v>ORD-10608</c:v>
                </c:pt>
                <c:pt idx="608">
                  <c:v>ORD-10609</c:v>
                </c:pt>
                <c:pt idx="609">
                  <c:v>ORD-10610</c:v>
                </c:pt>
                <c:pt idx="610">
                  <c:v>ORD-10611</c:v>
                </c:pt>
                <c:pt idx="611">
                  <c:v>ORD-10612</c:v>
                </c:pt>
                <c:pt idx="612">
                  <c:v>ORD-10613</c:v>
                </c:pt>
                <c:pt idx="613">
                  <c:v>ORD-10614</c:v>
                </c:pt>
                <c:pt idx="614">
                  <c:v>ORD-10615</c:v>
                </c:pt>
                <c:pt idx="615">
                  <c:v>ORD-10616</c:v>
                </c:pt>
                <c:pt idx="616">
                  <c:v>ORD-10617</c:v>
                </c:pt>
                <c:pt idx="617">
                  <c:v>ORD-10618</c:v>
                </c:pt>
                <c:pt idx="618">
                  <c:v>ORD-10619</c:v>
                </c:pt>
                <c:pt idx="619">
                  <c:v>ORD-10620</c:v>
                </c:pt>
                <c:pt idx="620">
                  <c:v>ORD-10621</c:v>
                </c:pt>
                <c:pt idx="621">
                  <c:v>ORD-10622</c:v>
                </c:pt>
                <c:pt idx="622">
                  <c:v>ORD-10623</c:v>
                </c:pt>
                <c:pt idx="623">
                  <c:v>ORD-10624</c:v>
                </c:pt>
                <c:pt idx="624">
                  <c:v>ORD-10625</c:v>
                </c:pt>
                <c:pt idx="625">
                  <c:v>ORD-10626</c:v>
                </c:pt>
                <c:pt idx="626">
                  <c:v>ORD-10627</c:v>
                </c:pt>
                <c:pt idx="627">
                  <c:v>ORD-10628</c:v>
                </c:pt>
                <c:pt idx="628">
                  <c:v>ORD-10629</c:v>
                </c:pt>
                <c:pt idx="629">
                  <c:v>ORD-10630</c:v>
                </c:pt>
                <c:pt idx="630">
                  <c:v>ORD-10631</c:v>
                </c:pt>
                <c:pt idx="631">
                  <c:v>ORD-10632</c:v>
                </c:pt>
                <c:pt idx="632">
                  <c:v>ORD-10633</c:v>
                </c:pt>
                <c:pt idx="633">
                  <c:v>ORD-10634</c:v>
                </c:pt>
                <c:pt idx="634">
                  <c:v>ORD-10635</c:v>
                </c:pt>
                <c:pt idx="635">
                  <c:v>ORD-10636</c:v>
                </c:pt>
                <c:pt idx="636">
                  <c:v>ORD-10637</c:v>
                </c:pt>
                <c:pt idx="637">
                  <c:v>ORD-10638</c:v>
                </c:pt>
                <c:pt idx="638">
                  <c:v>ORD-10639</c:v>
                </c:pt>
                <c:pt idx="639">
                  <c:v>ORD-10640</c:v>
                </c:pt>
                <c:pt idx="640">
                  <c:v>ORD-10641</c:v>
                </c:pt>
                <c:pt idx="641">
                  <c:v>ORD-10642</c:v>
                </c:pt>
                <c:pt idx="642">
                  <c:v>ORD-10643</c:v>
                </c:pt>
                <c:pt idx="643">
                  <c:v>ORD-10644</c:v>
                </c:pt>
                <c:pt idx="644">
                  <c:v>ORD-10645</c:v>
                </c:pt>
                <c:pt idx="645">
                  <c:v>ORD-10646</c:v>
                </c:pt>
                <c:pt idx="646">
                  <c:v>ORD-10647</c:v>
                </c:pt>
                <c:pt idx="647">
                  <c:v>ORD-10648</c:v>
                </c:pt>
                <c:pt idx="648">
                  <c:v>ORD-10649</c:v>
                </c:pt>
                <c:pt idx="649">
                  <c:v>ORD-10650</c:v>
                </c:pt>
                <c:pt idx="650">
                  <c:v>ORD-10651</c:v>
                </c:pt>
                <c:pt idx="651">
                  <c:v>ORD-10652</c:v>
                </c:pt>
                <c:pt idx="652">
                  <c:v>ORD-10653</c:v>
                </c:pt>
                <c:pt idx="653">
                  <c:v>ORD-10654</c:v>
                </c:pt>
                <c:pt idx="654">
                  <c:v>ORD-10655</c:v>
                </c:pt>
                <c:pt idx="655">
                  <c:v>ORD-10656</c:v>
                </c:pt>
                <c:pt idx="656">
                  <c:v>ORD-10657</c:v>
                </c:pt>
                <c:pt idx="657">
                  <c:v>ORD-10658</c:v>
                </c:pt>
                <c:pt idx="658">
                  <c:v>ORD-10659</c:v>
                </c:pt>
                <c:pt idx="659">
                  <c:v>ORD-10660</c:v>
                </c:pt>
                <c:pt idx="660">
                  <c:v>ORD-10661</c:v>
                </c:pt>
                <c:pt idx="661">
                  <c:v>ORD-10662</c:v>
                </c:pt>
                <c:pt idx="662">
                  <c:v>ORD-10663</c:v>
                </c:pt>
                <c:pt idx="663">
                  <c:v>ORD-10664</c:v>
                </c:pt>
                <c:pt idx="664">
                  <c:v>ORD-10665</c:v>
                </c:pt>
                <c:pt idx="665">
                  <c:v>ORD-10666</c:v>
                </c:pt>
                <c:pt idx="666">
                  <c:v>ORD-10667</c:v>
                </c:pt>
                <c:pt idx="667">
                  <c:v>ORD-10668</c:v>
                </c:pt>
                <c:pt idx="668">
                  <c:v>ORD-10669</c:v>
                </c:pt>
                <c:pt idx="669">
                  <c:v>ORD-10670</c:v>
                </c:pt>
                <c:pt idx="670">
                  <c:v>ORD-10671</c:v>
                </c:pt>
                <c:pt idx="671">
                  <c:v>ORD-10672</c:v>
                </c:pt>
                <c:pt idx="672">
                  <c:v>ORD-10673</c:v>
                </c:pt>
                <c:pt idx="673">
                  <c:v>ORD-10674</c:v>
                </c:pt>
                <c:pt idx="674">
                  <c:v>ORD-10675</c:v>
                </c:pt>
                <c:pt idx="675">
                  <c:v>ORD-10676</c:v>
                </c:pt>
                <c:pt idx="676">
                  <c:v>ORD-10677</c:v>
                </c:pt>
                <c:pt idx="677">
                  <c:v>ORD-10678</c:v>
                </c:pt>
                <c:pt idx="678">
                  <c:v>ORD-10679</c:v>
                </c:pt>
                <c:pt idx="679">
                  <c:v>ORD-10680</c:v>
                </c:pt>
                <c:pt idx="680">
                  <c:v>ORD-10681</c:v>
                </c:pt>
                <c:pt idx="681">
                  <c:v>ORD-10682</c:v>
                </c:pt>
                <c:pt idx="682">
                  <c:v>ORD-10683</c:v>
                </c:pt>
                <c:pt idx="683">
                  <c:v>ORD-10684</c:v>
                </c:pt>
                <c:pt idx="684">
                  <c:v>ORD-10685</c:v>
                </c:pt>
                <c:pt idx="685">
                  <c:v>ORD-10686</c:v>
                </c:pt>
                <c:pt idx="686">
                  <c:v>ORD-10687</c:v>
                </c:pt>
                <c:pt idx="687">
                  <c:v>ORD-10688</c:v>
                </c:pt>
                <c:pt idx="688">
                  <c:v>ORD-10689</c:v>
                </c:pt>
                <c:pt idx="689">
                  <c:v>ORD-10690</c:v>
                </c:pt>
                <c:pt idx="690">
                  <c:v>ORD-10691</c:v>
                </c:pt>
                <c:pt idx="691">
                  <c:v>ORD-10692</c:v>
                </c:pt>
                <c:pt idx="692">
                  <c:v>ORD-10693</c:v>
                </c:pt>
                <c:pt idx="693">
                  <c:v>ORD-10694</c:v>
                </c:pt>
                <c:pt idx="694">
                  <c:v>ORD-10695</c:v>
                </c:pt>
                <c:pt idx="695">
                  <c:v>ORD-10696</c:v>
                </c:pt>
                <c:pt idx="696">
                  <c:v>ORD-10697</c:v>
                </c:pt>
                <c:pt idx="697">
                  <c:v>ORD-10698</c:v>
                </c:pt>
                <c:pt idx="698">
                  <c:v>ORD-10699</c:v>
                </c:pt>
                <c:pt idx="699">
                  <c:v>ORD-10700</c:v>
                </c:pt>
                <c:pt idx="700">
                  <c:v>ORD-10701</c:v>
                </c:pt>
                <c:pt idx="701">
                  <c:v>ORD-10702</c:v>
                </c:pt>
                <c:pt idx="702">
                  <c:v>ORD-10703</c:v>
                </c:pt>
                <c:pt idx="703">
                  <c:v>ORD-10704</c:v>
                </c:pt>
                <c:pt idx="704">
                  <c:v>ORD-10705</c:v>
                </c:pt>
                <c:pt idx="705">
                  <c:v>ORD-10706</c:v>
                </c:pt>
                <c:pt idx="706">
                  <c:v>ORD-10707</c:v>
                </c:pt>
                <c:pt idx="707">
                  <c:v>ORD-10708</c:v>
                </c:pt>
                <c:pt idx="708">
                  <c:v>ORD-10709</c:v>
                </c:pt>
                <c:pt idx="709">
                  <c:v>ORD-10710</c:v>
                </c:pt>
                <c:pt idx="710">
                  <c:v>ORD-10711</c:v>
                </c:pt>
                <c:pt idx="711">
                  <c:v>ORD-10712</c:v>
                </c:pt>
                <c:pt idx="712">
                  <c:v>ORD-10713</c:v>
                </c:pt>
                <c:pt idx="713">
                  <c:v>ORD-10714</c:v>
                </c:pt>
                <c:pt idx="714">
                  <c:v>ORD-10715</c:v>
                </c:pt>
                <c:pt idx="715">
                  <c:v>ORD-10716</c:v>
                </c:pt>
                <c:pt idx="716">
                  <c:v>ORD-10717</c:v>
                </c:pt>
                <c:pt idx="717">
                  <c:v>ORD-10718</c:v>
                </c:pt>
                <c:pt idx="718">
                  <c:v>ORD-10719</c:v>
                </c:pt>
                <c:pt idx="719">
                  <c:v>ORD-10720</c:v>
                </c:pt>
                <c:pt idx="720">
                  <c:v>ORD-10721</c:v>
                </c:pt>
                <c:pt idx="721">
                  <c:v>ORD-10722</c:v>
                </c:pt>
                <c:pt idx="722">
                  <c:v>ORD-10723</c:v>
                </c:pt>
                <c:pt idx="723">
                  <c:v>ORD-10724</c:v>
                </c:pt>
                <c:pt idx="724">
                  <c:v>ORD-10725</c:v>
                </c:pt>
                <c:pt idx="725">
                  <c:v>ORD-10726</c:v>
                </c:pt>
                <c:pt idx="726">
                  <c:v>ORD-10727</c:v>
                </c:pt>
                <c:pt idx="727">
                  <c:v>ORD-10728</c:v>
                </c:pt>
                <c:pt idx="728">
                  <c:v>ORD-10729</c:v>
                </c:pt>
                <c:pt idx="729">
                  <c:v>ORD-10730</c:v>
                </c:pt>
                <c:pt idx="730">
                  <c:v>ORD-10731</c:v>
                </c:pt>
                <c:pt idx="731">
                  <c:v>ORD-10732</c:v>
                </c:pt>
                <c:pt idx="732">
                  <c:v>ORD-10733</c:v>
                </c:pt>
                <c:pt idx="733">
                  <c:v>ORD-10734</c:v>
                </c:pt>
                <c:pt idx="734">
                  <c:v>ORD-10735</c:v>
                </c:pt>
                <c:pt idx="735">
                  <c:v>ORD-10736</c:v>
                </c:pt>
                <c:pt idx="736">
                  <c:v>ORD-10737</c:v>
                </c:pt>
                <c:pt idx="737">
                  <c:v>ORD-10738</c:v>
                </c:pt>
                <c:pt idx="738">
                  <c:v>ORD-10739</c:v>
                </c:pt>
                <c:pt idx="739">
                  <c:v>ORD-10740</c:v>
                </c:pt>
                <c:pt idx="740">
                  <c:v>ORD-10741</c:v>
                </c:pt>
                <c:pt idx="741">
                  <c:v>ORD-10742</c:v>
                </c:pt>
                <c:pt idx="742">
                  <c:v>ORD-10743</c:v>
                </c:pt>
                <c:pt idx="743">
                  <c:v>ORD-10744</c:v>
                </c:pt>
                <c:pt idx="744">
                  <c:v>ORD-10745</c:v>
                </c:pt>
                <c:pt idx="745">
                  <c:v>ORD-10746</c:v>
                </c:pt>
                <c:pt idx="746">
                  <c:v>ORD-10747</c:v>
                </c:pt>
                <c:pt idx="747">
                  <c:v>ORD-10748</c:v>
                </c:pt>
                <c:pt idx="748">
                  <c:v>ORD-10749</c:v>
                </c:pt>
                <c:pt idx="749">
                  <c:v>ORD-10750</c:v>
                </c:pt>
                <c:pt idx="750">
                  <c:v>ORD-10751</c:v>
                </c:pt>
                <c:pt idx="751">
                  <c:v>ORD-10752</c:v>
                </c:pt>
                <c:pt idx="752">
                  <c:v>ORD-10753</c:v>
                </c:pt>
                <c:pt idx="753">
                  <c:v>ORD-10754</c:v>
                </c:pt>
                <c:pt idx="754">
                  <c:v>ORD-10755</c:v>
                </c:pt>
                <c:pt idx="755">
                  <c:v>ORD-10756</c:v>
                </c:pt>
                <c:pt idx="756">
                  <c:v>ORD-10757</c:v>
                </c:pt>
                <c:pt idx="757">
                  <c:v>ORD-10758</c:v>
                </c:pt>
                <c:pt idx="758">
                  <c:v>ORD-10759</c:v>
                </c:pt>
                <c:pt idx="759">
                  <c:v>ORD-10760</c:v>
                </c:pt>
                <c:pt idx="760">
                  <c:v>ORD-10761</c:v>
                </c:pt>
                <c:pt idx="761">
                  <c:v>ORD-10762</c:v>
                </c:pt>
                <c:pt idx="762">
                  <c:v>ORD-10763</c:v>
                </c:pt>
                <c:pt idx="763">
                  <c:v>ORD-10764</c:v>
                </c:pt>
                <c:pt idx="764">
                  <c:v>ORD-10765</c:v>
                </c:pt>
                <c:pt idx="765">
                  <c:v>ORD-10766</c:v>
                </c:pt>
                <c:pt idx="766">
                  <c:v>ORD-10767</c:v>
                </c:pt>
                <c:pt idx="767">
                  <c:v>ORD-10768</c:v>
                </c:pt>
                <c:pt idx="768">
                  <c:v>ORD-10769</c:v>
                </c:pt>
                <c:pt idx="769">
                  <c:v>ORD-10770</c:v>
                </c:pt>
                <c:pt idx="770">
                  <c:v>ORD-10771</c:v>
                </c:pt>
                <c:pt idx="771">
                  <c:v>ORD-10772</c:v>
                </c:pt>
                <c:pt idx="772">
                  <c:v>ORD-10773</c:v>
                </c:pt>
                <c:pt idx="773">
                  <c:v>ORD-10774</c:v>
                </c:pt>
                <c:pt idx="774">
                  <c:v>ORD-10775</c:v>
                </c:pt>
                <c:pt idx="775">
                  <c:v>ORD-10776</c:v>
                </c:pt>
                <c:pt idx="776">
                  <c:v>ORD-10777</c:v>
                </c:pt>
                <c:pt idx="777">
                  <c:v>ORD-10778</c:v>
                </c:pt>
                <c:pt idx="778">
                  <c:v>ORD-10779</c:v>
                </c:pt>
                <c:pt idx="779">
                  <c:v>ORD-10780</c:v>
                </c:pt>
                <c:pt idx="780">
                  <c:v>ORD-10781</c:v>
                </c:pt>
                <c:pt idx="781">
                  <c:v>ORD-10782</c:v>
                </c:pt>
                <c:pt idx="782">
                  <c:v>ORD-10783</c:v>
                </c:pt>
                <c:pt idx="783">
                  <c:v>ORD-10784</c:v>
                </c:pt>
                <c:pt idx="784">
                  <c:v>ORD-10785</c:v>
                </c:pt>
                <c:pt idx="785">
                  <c:v>ORD-10786</c:v>
                </c:pt>
                <c:pt idx="786">
                  <c:v>ORD-10787</c:v>
                </c:pt>
                <c:pt idx="787">
                  <c:v>ORD-10788</c:v>
                </c:pt>
                <c:pt idx="788">
                  <c:v>ORD-10789</c:v>
                </c:pt>
                <c:pt idx="789">
                  <c:v>ORD-10790</c:v>
                </c:pt>
                <c:pt idx="790">
                  <c:v>ORD-10791</c:v>
                </c:pt>
                <c:pt idx="791">
                  <c:v>ORD-10792</c:v>
                </c:pt>
                <c:pt idx="792">
                  <c:v>ORD-10793</c:v>
                </c:pt>
                <c:pt idx="793">
                  <c:v>ORD-10794</c:v>
                </c:pt>
                <c:pt idx="794">
                  <c:v>ORD-10795</c:v>
                </c:pt>
                <c:pt idx="795">
                  <c:v>ORD-10796</c:v>
                </c:pt>
                <c:pt idx="796">
                  <c:v>ORD-10797</c:v>
                </c:pt>
                <c:pt idx="797">
                  <c:v>ORD-10798</c:v>
                </c:pt>
                <c:pt idx="798">
                  <c:v>ORD-10799</c:v>
                </c:pt>
                <c:pt idx="799">
                  <c:v>ORD-10800</c:v>
                </c:pt>
                <c:pt idx="800">
                  <c:v>ORD-10801</c:v>
                </c:pt>
                <c:pt idx="801">
                  <c:v>ORD-10802</c:v>
                </c:pt>
                <c:pt idx="802">
                  <c:v>ORD-10803</c:v>
                </c:pt>
                <c:pt idx="803">
                  <c:v>ORD-10804</c:v>
                </c:pt>
                <c:pt idx="804">
                  <c:v>ORD-10805</c:v>
                </c:pt>
                <c:pt idx="805">
                  <c:v>ORD-10806</c:v>
                </c:pt>
                <c:pt idx="806">
                  <c:v>ORD-10807</c:v>
                </c:pt>
                <c:pt idx="807">
                  <c:v>ORD-10808</c:v>
                </c:pt>
                <c:pt idx="808">
                  <c:v>ORD-10809</c:v>
                </c:pt>
                <c:pt idx="809">
                  <c:v>ORD-10810</c:v>
                </c:pt>
                <c:pt idx="810">
                  <c:v>ORD-10811</c:v>
                </c:pt>
                <c:pt idx="811">
                  <c:v>ORD-10812</c:v>
                </c:pt>
                <c:pt idx="812">
                  <c:v>ORD-10813</c:v>
                </c:pt>
                <c:pt idx="813">
                  <c:v>ORD-10814</c:v>
                </c:pt>
                <c:pt idx="814">
                  <c:v>ORD-10815</c:v>
                </c:pt>
                <c:pt idx="815">
                  <c:v>ORD-10816</c:v>
                </c:pt>
                <c:pt idx="816">
                  <c:v>ORD-10817</c:v>
                </c:pt>
                <c:pt idx="817">
                  <c:v>ORD-10818</c:v>
                </c:pt>
                <c:pt idx="818">
                  <c:v>ORD-10819</c:v>
                </c:pt>
                <c:pt idx="819">
                  <c:v>ORD-10820</c:v>
                </c:pt>
                <c:pt idx="820">
                  <c:v>ORD-10821</c:v>
                </c:pt>
                <c:pt idx="821">
                  <c:v>ORD-10822</c:v>
                </c:pt>
                <c:pt idx="822">
                  <c:v>ORD-10823</c:v>
                </c:pt>
                <c:pt idx="823">
                  <c:v>ORD-10824</c:v>
                </c:pt>
                <c:pt idx="824">
                  <c:v>ORD-10825</c:v>
                </c:pt>
                <c:pt idx="825">
                  <c:v>ORD-10826</c:v>
                </c:pt>
                <c:pt idx="826">
                  <c:v>ORD-10827</c:v>
                </c:pt>
                <c:pt idx="827">
                  <c:v>ORD-10828</c:v>
                </c:pt>
                <c:pt idx="828">
                  <c:v>ORD-10829</c:v>
                </c:pt>
                <c:pt idx="829">
                  <c:v>ORD-10830</c:v>
                </c:pt>
                <c:pt idx="830">
                  <c:v>ORD-10831</c:v>
                </c:pt>
                <c:pt idx="831">
                  <c:v>ORD-10832</c:v>
                </c:pt>
                <c:pt idx="832">
                  <c:v>ORD-10833</c:v>
                </c:pt>
                <c:pt idx="833">
                  <c:v>ORD-10834</c:v>
                </c:pt>
                <c:pt idx="834">
                  <c:v>ORD-10835</c:v>
                </c:pt>
                <c:pt idx="835">
                  <c:v>ORD-10836</c:v>
                </c:pt>
                <c:pt idx="836">
                  <c:v>ORD-10837</c:v>
                </c:pt>
                <c:pt idx="837">
                  <c:v>ORD-10838</c:v>
                </c:pt>
                <c:pt idx="838">
                  <c:v>ORD-10839</c:v>
                </c:pt>
                <c:pt idx="839">
                  <c:v>ORD-10840</c:v>
                </c:pt>
                <c:pt idx="840">
                  <c:v>ORD-10841</c:v>
                </c:pt>
                <c:pt idx="841">
                  <c:v>ORD-10842</c:v>
                </c:pt>
                <c:pt idx="842">
                  <c:v>ORD-10843</c:v>
                </c:pt>
                <c:pt idx="843">
                  <c:v>ORD-10844</c:v>
                </c:pt>
                <c:pt idx="844">
                  <c:v>ORD-10845</c:v>
                </c:pt>
                <c:pt idx="845">
                  <c:v>ORD-10846</c:v>
                </c:pt>
                <c:pt idx="846">
                  <c:v>ORD-10847</c:v>
                </c:pt>
                <c:pt idx="847">
                  <c:v>ORD-10848</c:v>
                </c:pt>
                <c:pt idx="848">
                  <c:v>ORD-10849</c:v>
                </c:pt>
                <c:pt idx="849">
                  <c:v>ORD-10850</c:v>
                </c:pt>
                <c:pt idx="850">
                  <c:v>ORD-10851</c:v>
                </c:pt>
                <c:pt idx="851">
                  <c:v>ORD-10852</c:v>
                </c:pt>
                <c:pt idx="852">
                  <c:v>ORD-10853</c:v>
                </c:pt>
                <c:pt idx="853">
                  <c:v>ORD-10854</c:v>
                </c:pt>
                <c:pt idx="854">
                  <c:v>ORD-10855</c:v>
                </c:pt>
                <c:pt idx="855">
                  <c:v>ORD-10856</c:v>
                </c:pt>
                <c:pt idx="856">
                  <c:v>ORD-10857</c:v>
                </c:pt>
                <c:pt idx="857">
                  <c:v>ORD-10858</c:v>
                </c:pt>
                <c:pt idx="858">
                  <c:v>ORD-10859</c:v>
                </c:pt>
                <c:pt idx="859">
                  <c:v>ORD-10860</c:v>
                </c:pt>
                <c:pt idx="860">
                  <c:v>ORD-10861</c:v>
                </c:pt>
                <c:pt idx="861">
                  <c:v>ORD-10862</c:v>
                </c:pt>
                <c:pt idx="862">
                  <c:v>ORD-10863</c:v>
                </c:pt>
                <c:pt idx="863">
                  <c:v>ORD-10864</c:v>
                </c:pt>
                <c:pt idx="864">
                  <c:v>ORD-10865</c:v>
                </c:pt>
                <c:pt idx="865">
                  <c:v>ORD-10866</c:v>
                </c:pt>
                <c:pt idx="866">
                  <c:v>ORD-10867</c:v>
                </c:pt>
                <c:pt idx="867">
                  <c:v>ORD-10868</c:v>
                </c:pt>
                <c:pt idx="868">
                  <c:v>ORD-10869</c:v>
                </c:pt>
                <c:pt idx="869">
                  <c:v>ORD-10870</c:v>
                </c:pt>
                <c:pt idx="870">
                  <c:v>ORD-10871</c:v>
                </c:pt>
                <c:pt idx="871">
                  <c:v>ORD-10872</c:v>
                </c:pt>
                <c:pt idx="872">
                  <c:v>ORD-10873</c:v>
                </c:pt>
                <c:pt idx="873">
                  <c:v>ORD-10874</c:v>
                </c:pt>
                <c:pt idx="874">
                  <c:v>ORD-10875</c:v>
                </c:pt>
                <c:pt idx="875">
                  <c:v>ORD-10876</c:v>
                </c:pt>
                <c:pt idx="876">
                  <c:v>ORD-10877</c:v>
                </c:pt>
                <c:pt idx="877">
                  <c:v>ORD-10878</c:v>
                </c:pt>
                <c:pt idx="878">
                  <c:v>ORD-10879</c:v>
                </c:pt>
                <c:pt idx="879">
                  <c:v>ORD-10880</c:v>
                </c:pt>
                <c:pt idx="880">
                  <c:v>ORD-10881</c:v>
                </c:pt>
                <c:pt idx="881">
                  <c:v>ORD-10882</c:v>
                </c:pt>
                <c:pt idx="882">
                  <c:v>ORD-10883</c:v>
                </c:pt>
                <c:pt idx="883">
                  <c:v>ORD-10884</c:v>
                </c:pt>
                <c:pt idx="884">
                  <c:v>ORD-10885</c:v>
                </c:pt>
                <c:pt idx="885">
                  <c:v>ORD-10886</c:v>
                </c:pt>
                <c:pt idx="886">
                  <c:v>ORD-10887</c:v>
                </c:pt>
                <c:pt idx="887">
                  <c:v>ORD-10888</c:v>
                </c:pt>
                <c:pt idx="888">
                  <c:v>ORD-10889</c:v>
                </c:pt>
                <c:pt idx="889">
                  <c:v>ORD-10890</c:v>
                </c:pt>
                <c:pt idx="890">
                  <c:v>ORD-10891</c:v>
                </c:pt>
                <c:pt idx="891">
                  <c:v>ORD-10892</c:v>
                </c:pt>
                <c:pt idx="892">
                  <c:v>ORD-10893</c:v>
                </c:pt>
                <c:pt idx="893">
                  <c:v>ORD-10894</c:v>
                </c:pt>
                <c:pt idx="894">
                  <c:v>ORD-10895</c:v>
                </c:pt>
                <c:pt idx="895">
                  <c:v>ORD-10896</c:v>
                </c:pt>
                <c:pt idx="896">
                  <c:v>ORD-10897</c:v>
                </c:pt>
                <c:pt idx="897">
                  <c:v>ORD-10898</c:v>
                </c:pt>
                <c:pt idx="898">
                  <c:v>ORD-10899</c:v>
                </c:pt>
                <c:pt idx="899">
                  <c:v>ORD-10900</c:v>
                </c:pt>
                <c:pt idx="900">
                  <c:v>ORD-10901</c:v>
                </c:pt>
                <c:pt idx="901">
                  <c:v>ORD-10902</c:v>
                </c:pt>
                <c:pt idx="902">
                  <c:v>ORD-10903</c:v>
                </c:pt>
                <c:pt idx="903">
                  <c:v>ORD-10904</c:v>
                </c:pt>
                <c:pt idx="904">
                  <c:v>ORD-10905</c:v>
                </c:pt>
                <c:pt idx="905">
                  <c:v>ORD-10906</c:v>
                </c:pt>
                <c:pt idx="906">
                  <c:v>ORD-10907</c:v>
                </c:pt>
                <c:pt idx="907">
                  <c:v>ORD-10908</c:v>
                </c:pt>
                <c:pt idx="908">
                  <c:v>ORD-10909</c:v>
                </c:pt>
                <c:pt idx="909">
                  <c:v>ORD-10910</c:v>
                </c:pt>
                <c:pt idx="910">
                  <c:v>ORD-10911</c:v>
                </c:pt>
                <c:pt idx="911">
                  <c:v>ORD-10912</c:v>
                </c:pt>
                <c:pt idx="912">
                  <c:v>ORD-10913</c:v>
                </c:pt>
                <c:pt idx="913">
                  <c:v>ORD-10914</c:v>
                </c:pt>
                <c:pt idx="914">
                  <c:v>ORD-10915</c:v>
                </c:pt>
                <c:pt idx="915">
                  <c:v>ORD-10916</c:v>
                </c:pt>
                <c:pt idx="916">
                  <c:v>ORD-10917</c:v>
                </c:pt>
                <c:pt idx="917">
                  <c:v>ORD-10918</c:v>
                </c:pt>
                <c:pt idx="918">
                  <c:v>ORD-10919</c:v>
                </c:pt>
                <c:pt idx="919">
                  <c:v>ORD-10920</c:v>
                </c:pt>
                <c:pt idx="920">
                  <c:v>ORD-10921</c:v>
                </c:pt>
                <c:pt idx="921">
                  <c:v>ORD-10922</c:v>
                </c:pt>
                <c:pt idx="922">
                  <c:v>ORD-10923</c:v>
                </c:pt>
                <c:pt idx="923">
                  <c:v>ORD-10924</c:v>
                </c:pt>
                <c:pt idx="924">
                  <c:v>ORD-10925</c:v>
                </c:pt>
                <c:pt idx="925">
                  <c:v>ORD-10926</c:v>
                </c:pt>
                <c:pt idx="926">
                  <c:v>ORD-10927</c:v>
                </c:pt>
                <c:pt idx="927">
                  <c:v>ORD-10928</c:v>
                </c:pt>
                <c:pt idx="928">
                  <c:v>ORD-10929</c:v>
                </c:pt>
                <c:pt idx="929">
                  <c:v>ORD-10930</c:v>
                </c:pt>
                <c:pt idx="930">
                  <c:v>ORD-10931</c:v>
                </c:pt>
                <c:pt idx="931">
                  <c:v>ORD-10932</c:v>
                </c:pt>
                <c:pt idx="932">
                  <c:v>ORD-10933</c:v>
                </c:pt>
                <c:pt idx="933">
                  <c:v>ORD-10934</c:v>
                </c:pt>
                <c:pt idx="934">
                  <c:v>ORD-10935</c:v>
                </c:pt>
                <c:pt idx="935">
                  <c:v>ORD-10936</c:v>
                </c:pt>
                <c:pt idx="936">
                  <c:v>ORD-10937</c:v>
                </c:pt>
                <c:pt idx="937">
                  <c:v>ORD-10938</c:v>
                </c:pt>
                <c:pt idx="938">
                  <c:v>ORD-10939</c:v>
                </c:pt>
                <c:pt idx="939">
                  <c:v>ORD-10940</c:v>
                </c:pt>
                <c:pt idx="940">
                  <c:v>ORD-10941</c:v>
                </c:pt>
                <c:pt idx="941">
                  <c:v>ORD-10942</c:v>
                </c:pt>
                <c:pt idx="942">
                  <c:v>ORD-10943</c:v>
                </c:pt>
                <c:pt idx="943">
                  <c:v>ORD-10944</c:v>
                </c:pt>
                <c:pt idx="944">
                  <c:v>ORD-10945</c:v>
                </c:pt>
                <c:pt idx="945">
                  <c:v>ORD-10946</c:v>
                </c:pt>
                <c:pt idx="946">
                  <c:v>ORD-10947</c:v>
                </c:pt>
                <c:pt idx="947">
                  <c:v>ORD-10948</c:v>
                </c:pt>
                <c:pt idx="948">
                  <c:v>ORD-10949</c:v>
                </c:pt>
                <c:pt idx="949">
                  <c:v>ORD-10950</c:v>
                </c:pt>
                <c:pt idx="950">
                  <c:v>ORD-10951</c:v>
                </c:pt>
                <c:pt idx="951">
                  <c:v>ORD-10952</c:v>
                </c:pt>
                <c:pt idx="952">
                  <c:v>ORD-10953</c:v>
                </c:pt>
                <c:pt idx="953">
                  <c:v>ORD-10954</c:v>
                </c:pt>
                <c:pt idx="954">
                  <c:v>ORD-10955</c:v>
                </c:pt>
                <c:pt idx="955">
                  <c:v>ORD-10956</c:v>
                </c:pt>
                <c:pt idx="956">
                  <c:v>ORD-10957</c:v>
                </c:pt>
                <c:pt idx="957">
                  <c:v>ORD-10958</c:v>
                </c:pt>
                <c:pt idx="958">
                  <c:v>ORD-10959</c:v>
                </c:pt>
                <c:pt idx="959">
                  <c:v>ORD-10960</c:v>
                </c:pt>
                <c:pt idx="960">
                  <c:v>ORD-10961</c:v>
                </c:pt>
                <c:pt idx="961">
                  <c:v>ORD-10962</c:v>
                </c:pt>
                <c:pt idx="962">
                  <c:v>ORD-10963</c:v>
                </c:pt>
                <c:pt idx="963">
                  <c:v>ORD-10964</c:v>
                </c:pt>
                <c:pt idx="964">
                  <c:v>ORD-10965</c:v>
                </c:pt>
                <c:pt idx="965">
                  <c:v>ORD-10966</c:v>
                </c:pt>
                <c:pt idx="966">
                  <c:v>ORD-10967</c:v>
                </c:pt>
                <c:pt idx="967">
                  <c:v>ORD-10968</c:v>
                </c:pt>
                <c:pt idx="968">
                  <c:v>ORD-10969</c:v>
                </c:pt>
                <c:pt idx="969">
                  <c:v>ORD-10970</c:v>
                </c:pt>
                <c:pt idx="970">
                  <c:v>ORD-10971</c:v>
                </c:pt>
                <c:pt idx="971">
                  <c:v>ORD-10972</c:v>
                </c:pt>
                <c:pt idx="972">
                  <c:v>ORD-10973</c:v>
                </c:pt>
                <c:pt idx="973">
                  <c:v>ORD-10974</c:v>
                </c:pt>
                <c:pt idx="974">
                  <c:v>ORD-10975</c:v>
                </c:pt>
                <c:pt idx="975">
                  <c:v>ORD-10976</c:v>
                </c:pt>
                <c:pt idx="976">
                  <c:v>ORD-10977</c:v>
                </c:pt>
                <c:pt idx="977">
                  <c:v>ORD-10978</c:v>
                </c:pt>
                <c:pt idx="978">
                  <c:v>ORD-10979</c:v>
                </c:pt>
                <c:pt idx="979">
                  <c:v>ORD-10980</c:v>
                </c:pt>
                <c:pt idx="980">
                  <c:v>ORD-10981</c:v>
                </c:pt>
                <c:pt idx="981">
                  <c:v>ORD-10982</c:v>
                </c:pt>
                <c:pt idx="982">
                  <c:v>ORD-10983</c:v>
                </c:pt>
                <c:pt idx="983">
                  <c:v>ORD-10984</c:v>
                </c:pt>
                <c:pt idx="984">
                  <c:v>ORD-10985</c:v>
                </c:pt>
                <c:pt idx="985">
                  <c:v>ORD-10986</c:v>
                </c:pt>
                <c:pt idx="986">
                  <c:v>ORD-10987</c:v>
                </c:pt>
                <c:pt idx="987">
                  <c:v>ORD-10988</c:v>
                </c:pt>
                <c:pt idx="988">
                  <c:v>ORD-10989</c:v>
                </c:pt>
                <c:pt idx="989">
                  <c:v>ORD-10990</c:v>
                </c:pt>
                <c:pt idx="990">
                  <c:v>ORD-10991</c:v>
                </c:pt>
                <c:pt idx="991">
                  <c:v>ORD-10992</c:v>
                </c:pt>
                <c:pt idx="992">
                  <c:v>ORD-10993</c:v>
                </c:pt>
                <c:pt idx="993">
                  <c:v>ORD-10994</c:v>
                </c:pt>
                <c:pt idx="994">
                  <c:v>ORD-10995</c:v>
                </c:pt>
                <c:pt idx="995">
                  <c:v>ORD-10996</c:v>
                </c:pt>
                <c:pt idx="996">
                  <c:v>ORD-10997</c:v>
                </c:pt>
                <c:pt idx="997">
                  <c:v>ORD-10998</c:v>
                </c:pt>
                <c:pt idx="998">
                  <c:v>ORD-10999</c:v>
                </c:pt>
                <c:pt idx="999">
                  <c:v>ORD-11000</c:v>
                </c:pt>
                <c:pt idx="1000">
                  <c:v>ORD-11001</c:v>
                </c:pt>
                <c:pt idx="1001">
                  <c:v>ORD-11002</c:v>
                </c:pt>
                <c:pt idx="1002">
                  <c:v>ORD-11003</c:v>
                </c:pt>
                <c:pt idx="1003">
                  <c:v>ORD-11004</c:v>
                </c:pt>
                <c:pt idx="1004">
                  <c:v>ORD-11005</c:v>
                </c:pt>
                <c:pt idx="1005">
                  <c:v>ORD-11006</c:v>
                </c:pt>
                <c:pt idx="1006">
                  <c:v>ORD-11007</c:v>
                </c:pt>
                <c:pt idx="1007">
                  <c:v>ORD-11008</c:v>
                </c:pt>
                <c:pt idx="1008">
                  <c:v>ORD-11009</c:v>
                </c:pt>
                <c:pt idx="1009">
                  <c:v>ORD-11010</c:v>
                </c:pt>
                <c:pt idx="1010">
                  <c:v>ORD-11011</c:v>
                </c:pt>
                <c:pt idx="1011">
                  <c:v>ORD-11012</c:v>
                </c:pt>
                <c:pt idx="1012">
                  <c:v>ORD-11013</c:v>
                </c:pt>
                <c:pt idx="1013">
                  <c:v>ORD-11014</c:v>
                </c:pt>
                <c:pt idx="1014">
                  <c:v>ORD-11015</c:v>
                </c:pt>
                <c:pt idx="1015">
                  <c:v>ORD-11016</c:v>
                </c:pt>
                <c:pt idx="1016">
                  <c:v>ORD-11017</c:v>
                </c:pt>
                <c:pt idx="1017">
                  <c:v>ORD-11018</c:v>
                </c:pt>
                <c:pt idx="1018">
                  <c:v>ORD-11019</c:v>
                </c:pt>
                <c:pt idx="1019">
                  <c:v>ORD-11020</c:v>
                </c:pt>
                <c:pt idx="1020">
                  <c:v>ORD-11021</c:v>
                </c:pt>
                <c:pt idx="1021">
                  <c:v>ORD-11022</c:v>
                </c:pt>
                <c:pt idx="1022">
                  <c:v>ORD-11023</c:v>
                </c:pt>
                <c:pt idx="1023">
                  <c:v>ORD-11024</c:v>
                </c:pt>
                <c:pt idx="1024">
                  <c:v>ORD-11025</c:v>
                </c:pt>
                <c:pt idx="1025">
                  <c:v>ORD-11026</c:v>
                </c:pt>
                <c:pt idx="1026">
                  <c:v>ORD-11027</c:v>
                </c:pt>
                <c:pt idx="1027">
                  <c:v>ORD-11028</c:v>
                </c:pt>
                <c:pt idx="1028">
                  <c:v>ORD-11029</c:v>
                </c:pt>
                <c:pt idx="1029">
                  <c:v>ORD-11030</c:v>
                </c:pt>
                <c:pt idx="1030">
                  <c:v>ORD-11031</c:v>
                </c:pt>
                <c:pt idx="1031">
                  <c:v>ORD-11032</c:v>
                </c:pt>
                <c:pt idx="1032">
                  <c:v>ORD-11033</c:v>
                </c:pt>
                <c:pt idx="1033">
                  <c:v>ORD-11034</c:v>
                </c:pt>
                <c:pt idx="1034">
                  <c:v>ORD-11035</c:v>
                </c:pt>
                <c:pt idx="1035">
                  <c:v>ORD-11036</c:v>
                </c:pt>
                <c:pt idx="1036">
                  <c:v>ORD-11037</c:v>
                </c:pt>
                <c:pt idx="1037">
                  <c:v>ORD-11038</c:v>
                </c:pt>
                <c:pt idx="1038">
                  <c:v>ORD-11039</c:v>
                </c:pt>
                <c:pt idx="1039">
                  <c:v>ORD-11040</c:v>
                </c:pt>
                <c:pt idx="1040">
                  <c:v>ORD-11041</c:v>
                </c:pt>
                <c:pt idx="1041">
                  <c:v>ORD-11042</c:v>
                </c:pt>
                <c:pt idx="1042">
                  <c:v>ORD-11043</c:v>
                </c:pt>
                <c:pt idx="1043">
                  <c:v>ORD-11044</c:v>
                </c:pt>
                <c:pt idx="1044">
                  <c:v>ORD-11045</c:v>
                </c:pt>
                <c:pt idx="1045">
                  <c:v>ORD-11046</c:v>
                </c:pt>
                <c:pt idx="1046">
                  <c:v>ORD-11047</c:v>
                </c:pt>
                <c:pt idx="1047">
                  <c:v>ORD-11048</c:v>
                </c:pt>
                <c:pt idx="1048">
                  <c:v>ORD-11049</c:v>
                </c:pt>
                <c:pt idx="1049">
                  <c:v>ORD-11050</c:v>
                </c:pt>
                <c:pt idx="1050">
                  <c:v>ORD-11051</c:v>
                </c:pt>
                <c:pt idx="1051">
                  <c:v>ORD-11052</c:v>
                </c:pt>
                <c:pt idx="1052">
                  <c:v>ORD-11053</c:v>
                </c:pt>
                <c:pt idx="1053">
                  <c:v>ORD-11054</c:v>
                </c:pt>
                <c:pt idx="1054">
                  <c:v>ORD-11055</c:v>
                </c:pt>
                <c:pt idx="1055">
                  <c:v>ORD-11056</c:v>
                </c:pt>
                <c:pt idx="1056">
                  <c:v>ORD-11057</c:v>
                </c:pt>
                <c:pt idx="1057">
                  <c:v>ORD-11058</c:v>
                </c:pt>
                <c:pt idx="1058">
                  <c:v>ORD-11059</c:v>
                </c:pt>
                <c:pt idx="1059">
                  <c:v>ORD-11060</c:v>
                </c:pt>
                <c:pt idx="1060">
                  <c:v>ORD-11061</c:v>
                </c:pt>
                <c:pt idx="1061">
                  <c:v>ORD-11062</c:v>
                </c:pt>
                <c:pt idx="1062">
                  <c:v>ORD-11063</c:v>
                </c:pt>
                <c:pt idx="1063">
                  <c:v>ORD-11064</c:v>
                </c:pt>
                <c:pt idx="1064">
                  <c:v>ORD-11065</c:v>
                </c:pt>
                <c:pt idx="1065">
                  <c:v>ORD-11066</c:v>
                </c:pt>
                <c:pt idx="1066">
                  <c:v>ORD-11067</c:v>
                </c:pt>
                <c:pt idx="1067">
                  <c:v>ORD-11068</c:v>
                </c:pt>
                <c:pt idx="1068">
                  <c:v>ORD-11069</c:v>
                </c:pt>
                <c:pt idx="1069">
                  <c:v>ORD-11070</c:v>
                </c:pt>
                <c:pt idx="1070">
                  <c:v>ORD-11071</c:v>
                </c:pt>
                <c:pt idx="1071">
                  <c:v>ORD-11072</c:v>
                </c:pt>
                <c:pt idx="1072">
                  <c:v>ORD-11073</c:v>
                </c:pt>
                <c:pt idx="1073">
                  <c:v>ORD-11074</c:v>
                </c:pt>
                <c:pt idx="1074">
                  <c:v>ORD-11075</c:v>
                </c:pt>
                <c:pt idx="1075">
                  <c:v>ORD-11076</c:v>
                </c:pt>
                <c:pt idx="1076">
                  <c:v>ORD-11077</c:v>
                </c:pt>
                <c:pt idx="1077">
                  <c:v>ORD-11078</c:v>
                </c:pt>
                <c:pt idx="1078">
                  <c:v>ORD-11079</c:v>
                </c:pt>
                <c:pt idx="1079">
                  <c:v>ORD-11080</c:v>
                </c:pt>
                <c:pt idx="1080">
                  <c:v>ORD-11081</c:v>
                </c:pt>
                <c:pt idx="1081">
                  <c:v>ORD-11082</c:v>
                </c:pt>
                <c:pt idx="1082">
                  <c:v>ORD-11083</c:v>
                </c:pt>
                <c:pt idx="1083">
                  <c:v>ORD-11084</c:v>
                </c:pt>
                <c:pt idx="1084">
                  <c:v>ORD-11085</c:v>
                </c:pt>
                <c:pt idx="1085">
                  <c:v>ORD-11086</c:v>
                </c:pt>
                <c:pt idx="1086">
                  <c:v>ORD-11087</c:v>
                </c:pt>
                <c:pt idx="1087">
                  <c:v>ORD-11088</c:v>
                </c:pt>
                <c:pt idx="1088">
                  <c:v>ORD-11089</c:v>
                </c:pt>
                <c:pt idx="1089">
                  <c:v>ORD-11090</c:v>
                </c:pt>
                <c:pt idx="1090">
                  <c:v>ORD-11091</c:v>
                </c:pt>
                <c:pt idx="1091">
                  <c:v>ORD-11092</c:v>
                </c:pt>
                <c:pt idx="1092">
                  <c:v>ORD-11093</c:v>
                </c:pt>
                <c:pt idx="1093">
                  <c:v>ORD-11094</c:v>
                </c:pt>
                <c:pt idx="1094">
                  <c:v>ORD-11095</c:v>
                </c:pt>
                <c:pt idx="1095">
                  <c:v>ORD-11096</c:v>
                </c:pt>
                <c:pt idx="1096">
                  <c:v>ORD-11097</c:v>
                </c:pt>
                <c:pt idx="1097">
                  <c:v>ORD-11098</c:v>
                </c:pt>
                <c:pt idx="1098">
                  <c:v>ORD-11099</c:v>
                </c:pt>
                <c:pt idx="1099">
                  <c:v>ORD-11100</c:v>
                </c:pt>
                <c:pt idx="1100">
                  <c:v>ORD-11101</c:v>
                </c:pt>
                <c:pt idx="1101">
                  <c:v>ORD-11102</c:v>
                </c:pt>
                <c:pt idx="1102">
                  <c:v>ORD-11103</c:v>
                </c:pt>
                <c:pt idx="1103">
                  <c:v>ORD-11104</c:v>
                </c:pt>
                <c:pt idx="1104">
                  <c:v>ORD-11105</c:v>
                </c:pt>
                <c:pt idx="1105">
                  <c:v>ORD-11106</c:v>
                </c:pt>
                <c:pt idx="1106">
                  <c:v>ORD-11107</c:v>
                </c:pt>
                <c:pt idx="1107">
                  <c:v>ORD-11108</c:v>
                </c:pt>
                <c:pt idx="1108">
                  <c:v>ORD-11109</c:v>
                </c:pt>
                <c:pt idx="1109">
                  <c:v>ORD-11110</c:v>
                </c:pt>
                <c:pt idx="1110">
                  <c:v>ORD-11111</c:v>
                </c:pt>
                <c:pt idx="1111">
                  <c:v>ORD-11112</c:v>
                </c:pt>
                <c:pt idx="1112">
                  <c:v>ORD-11113</c:v>
                </c:pt>
                <c:pt idx="1113">
                  <c:v>ORD-11114</c:v>
                </c:pt>
                <c:pt idx="1114">
                  <c:v>ORD-11115</c:v>
                </c:pt>
                <c:pt idx="1115">
                  <c:v>ORD-11116</c:v>
                </c:pt>
                <c:pt idx="1116">
                  <c:v>ORD-11117</c:v>
                </c:pt>
                <c:pt idx="1117">
                  <c:v>ORD-11118</c:v>
                </c:pt>
                <c:pt idx="1118">
                  <c:v>ORD-11119</c:v>
                </c:pt>
                <c:pt idx="1119">
                  <c:v>ORD-11120</c:v>
                </c:pt>
                <c:pt idx="1120">
                  <c:v>ORD-11121</c:v>
                </c:pt>
                <c:pt idx="1121">
                  <c:v>ORD-11122</c:v>
                </c:pt>
                <c:pt idx="1122">
                  <c:v>ORD-11123</c:v>
                </c:pt>
                <c:pt idx="1123">
                  <c:v>ORD-11124</c:v>
                </c:pt>
                <c:pt idx="1124">
                  <c:v>ORD-11125</c:v>
                </c:pt>
                <c:pt idx="1125">
                  <c:v>ORD-11126</c:v>
                </c:pt>
                <c:pt idx="1126">
                  <c:v>ORD-11127</c:v>
                </c:pt>
                <c:pt idx="1127">
                  <c:v>ORD-11128</c:v>
                </c:pt>
                <c:pt idx="1128">
                  <c:v>ORD-11129</c:v>
                </c:pt>
                <c:pt idx="1129">
                  <c:v>ORD-11130</c:v>
                </c:pt>
                <c:pt idx="1130">
                  <c:v>ORD-11131</c:v>
                </c:pt>
                <c:pt idx="1131">
                  <c:v>ORD-11132</c:v>
                </c:pt>
                <c:pt idx="1132">
                  <c:v>ORD-11133</c:v>
                </c:pt>
                <c:pt idx="1133">
                  <c:v>ORD-11134</c:v>
                </c:pt>
                <c:pt idx="1134">
                  <c:v>ORD-11135</c:v>
                </c:pt>
                <c:pt idx="1135">
                  <c:v>ORD-11136</c:v>
                </c:pt>
                <c:pt idx="1136">
                  <c:v>ORD-11137</c:v>
                </c:pt>
                <c:pt idx="1137">
                  <c:v>ORD-11138</c:v>
                </c:pt>
                <c:pt idx="1138">
                  <c:v>ORD-11139</c:v>
                </c:pt>
                <c:pt idx="1139">
                  <c:v>ORD-11140</c:v>
                </c:pt>
                <c:pt idx="1140">
                  <c:v>ORD-11141</c:v>
                </c:pt>
                <c:pt idx="1141">
                  <c:v>ORD-11142</c:v>
                </c:pt>
                <c:pt idx="1142">
                  <c:v>ORD-11143</c:v>
                </c:pt>
                <c:pt idx="1143">
                  <c:v>ORD-11144</c:v>
                </c:pt>
                <c:pt idx="1144">
                  <c:v>ORD-11145</c:v>
                </c:pt>
                <c:pt idx="1145">
                  <c:v>ORD-11146</c:v>
                </c:pt>
                <c:pt idx="1146">
                  <c:v>ORD-11147</c:v>
                </c:pt>
                <c:pt idx="1147">
                  <c:v>ORD-11148</c:v>
                </c:pt>
                <c:pt idx="1148">
                  <c:v>ORD-11149</c:v>
                </c:pt>
                <c:pt idx="1149">
                  <c:v>ORD-11150</c:v>
                </c:pt>
                <c:pt idx="1150">
                  <c:v>ORD-11151</c:v>
                </c:pt>
                <c:pt idx="1151">
                  <c:v>ORD-11152</c:v>
                </c:pt>
                <c:pt idx="1152">
                  <c:v>ORD-11153</c:v>
                </c:pt>
                <c:pt idx="1153">
                  <c:v>ORD-11154</c:v>
                </c:pt>
                <c:pt idx="1154">
                  <c:v>ORD-11155</c:v>
                </c:pt>
                <c:pt idx="1155">
                  <c:v>ORD-11156</c:v>
                </c:pt>
                <c:pt idx="1156">
                  <c:v>ORD-11157</c:v>
                </c:pt>
                <c:pt idx="1157">
                  <c:v>ORD-11158</c:v>
                </c:pt>
                <c:pt idx="1158">
                  <c:v>ORD-11159</c:v>
                </c:pt>
                <c:pt idx="1159">
                  <c:v>ORD-11160</c:v>
                </c:pt>
                <c:pt idx="1160">
                  <c:v>ORD-11161</c:v>
                </c:pt>
                <c:pt idx="1161">
                  <c:v>ORD-11162</c:v>
                </c:pt>
                <c:pt idx="1162">
                  <c:v>ORD-11163</c:v>
                </c:pt>
                <c:pt idx="1163">
                  <c:v>ORD-11164</c:v>
                </c:pt>
                <c:pt idx="1164">
                  <c:v>ORD-11165</c:v>
                </c:pt>
                <c:pt idx="1165">
                  <c:v>ORD-11166</c:v>
                </c:pt>
                <c:pt idx="1166">
                  <c:v>ORD-11167</c:v>
                </c:pt>
                <c:pt idx="1167">
                  <c:v>ORD-11168</c:v>
                </c:pt>
                <c:pt idx="1168">
                  <c:v>ORD-11169</c:v>
                </c:pt>
                <c:pt idx="1169">
                  <c:v>ORD-11170</c:v>
                </c:pt>
                <c:pt idx="1170">
                  <c:v>ORD-11171</c:v>
                </c:pt>
                <c:pt idx="1171">
                  <c:v>ORD-11172</c:v>
                </c:pt>
                <c:pt idx="1172">
                  <c:v>ORD-11173</c:v>
                </c:pt>
                <c:pt idx="1173">
                  <c:v>ORD-11174</c:v>
                </c:pt>
                <c:pt idx="1174">
                  <c:v>ORD-11175</c:v>
                </c:pt>
                <c:pt idx="1175">
                  <c:v>ORD-11176</c:v>
                </c:pt>
                <c:pt idx="1176">
                  <c:v>ORD-11177</c:v>
                </c:pt>
                <c:pt idx="1177">
                  <c:v>ORD-11178</c:v>
                </c:pt>
                <c:pt idx="1178">
                  <c:v>ORD-11179</c:v>
                </c:pt>
                <c:pt idx="1179">
                  <c:v>ORD-11180</c:v>
                </c:pt>
                <c:pt idx="1180">
                  <c:v>ORD-11181</c:v>
                </c:pt>
                <c:pt idx="1181">
                  <c:v>ORD-11182</c:v>
                </c:pt>
                <c:pt idx="1182">
                  <c:v>ORD-11183</c:v>
                </c:pt>
                <c:pt idx="1183">
                  <c:v>ORD-11184</c:v>
                </c:pt>
                <c:pt idx="1184">
                  <c:v>ORD-11185</c:v>
                </c:pt>
                <c:pt idx="1185">
                  <c:v>ORD-11186</c:v>
                </c:pt>
                <c:pt idx="1186">
                  <c:v>ORD-11187</c:v>
                </c:pt>
                <c:pt idx="1187">
                  <c:v>ORD-11188</c:v>
                </c:pt>
                <c:pt idx="1188">
                  <c:v>ORD-11189</c:v>
                </c:pt>
                <c:pt idx="1189">
                  <c:v>ORD-11190</c:v>
                </c:pt>
                <c:pt idx="1190">
                  <c:v>ORD-11191</c:v>
                </c:pt>
                <c:pt idx="1191">
                  <c:v>ORD-11192</c:v>
                </c:pt>
                <c:pt idx="1192">
                  <c:v>ORD-11193</c:v>
                </c:pt>
                <c:pt idx="1193">
                  <c:v>ORD-11194</c:v>
                </c:pt>
                <c:pt idx="1194">
                  <c:v>ORD-11195</c:v>
                </c:pt>
                <c:pt idx="1195">
                  <c:v>ORD-11196</c:v>
                </c:pt>
                <c:pt idx="1196">
                  <c:v>ORD-11197</c:v>
                </c:pt>
                <c:pt idx="1197">
                  <c:v>ORD-11198</c:v>
                </c:pt>
                <c:pt idx="1198">
                  <c:v>ORD-11199</c:v>
                </c:pt>
                <c:pt idx="1199">
                  <c:v>ORD-11200</c:v>
                </c:pt>
                <c:pt idx="1200">
                  <c:v>ORD-11201</c:v>
                </c:pt>
                <c:pt idx="1201">
                  <c:v>ORD-11202</c:v>
                </c:pt>
                <c:pt idx="1202">
                  <c:v>ORD-11203</c:v>
                </c:pt>
                <c:pt idx="1203">
                  <c:v>ORD-11204</c:v>
                </c:pt>
                <c:pt idx="1204">
                  <c:v>ORD-11205</c:v>
                </c:pt>
                <c:pt idx="1205">
                  <c:v>ORD-11206</c:v>
                </c:pt>
                <c:pt idx="1206">
                  <c:v>ORD-11207</c:v>
                </c:pt>
                <c:pt idx="1207">
                  <c:v>ORD-11208</c:v>
                </c:pt>
                <c:pt idx="1208">
                  <c:v>ORD-11209</c:v>
                </c:pt>
                <c:pt idx="1209">
                  <c:v>ORD-11210</c:v>
                </c:pt>
                <c:pt idx="1210">
                  <c:v>ORD-11211</c:v>
                </c:pt>
                <c:pt idx="1211">
                  <c:v>ORD-11212</c:v>
                </c:pt>
                <c:pt idx="1212">
                  <c:v>ORD-11213</c:v>
                </c:pt>
                <c:pt idx="1213">
                  <c:v>ORD-11214</c:v>
                </c:pt>
                <c:pt idx="1214">
                  <c:v>ORD-11215</c:v>
                </c:pt>
                <c:pt idx="1215">
                  <c:v>ORD-11216</c:v>
                </c:pt>
                <c:pt idx="1216">
                  <c:v>ORD-11217</c:v>
                </c:pt>
                <c:pt idx="1217">
                  <c:v>ORD-11218</c:v>
                </c:pt>
                <c:pt idx="1218">
                  <c:v>ORD-11219</c:v>
                </c:pt>
                <c:pt idx="1219">
                  <c:v>ORD-11220</c:v>
                </c:pt>
                <c:pt idx="1220">
                  <c:v>ORD-11221</c:v>
                </c:pt>
                <c:pt idx="1221">
                  <c:v>ORD-11222</c:v>
                </c:pt>
                <c:pt idx="1222">
                  <c:v>ORD-11223</c:v>
                </c:pt>
                <c:pt idx="1223">
                  <c:v>ORD-11224</c:v>
                </c:pt>
                <c:pt idx="1224">
                  <c:v>ORD-11225</c:v>
                </c:pt>
                <c:pt idx="1225">
                  <c:v>ORD-11226</c:v>
                </c:pt>
                <c:pt idx="1226">
                  <c:v>ORD-11227</c:v>
                </c:pt>
                <c:pt idx="1227">
                  <c:v>ORD-11228</c:v>
                </c:pt>
                <c:pt idx="1228">
                  <c:v>ORD-11229</c:v>
                </c:pt>
                <c:pt idx="1229">
                  <c:v>ORD-11230</c:v>
                </c:pt>
                <c:pt idx="1230">
                  <c:v>ORD-11231</c:v>
                </c:pt>
                <c:pt idx="1231">
                  <c:v>ORD-11232</c:v>
                </c:pt>
                <c:pt idx="1232">
                  <c:v>ORD-11233</c:v>
                </c:pt>
                <c:pt idx="1233">
                  <c:v>ORD-11234</c:v>
                </c:pt>
                <c:pt idx="1234">
                  <c:v>ORD-11235</c:v>
                </c:pt>
                <c:pt idx="1235">
                  <c:v>ORD-11236</c:v>
                </c:pt>
                <c:pt idx="1236">
                  <c:v>ORD-11237</c:v>
                </c:pt>
                <c:pt idx="1237">
                  <c:v>ORD-11238</c:v>
                </c:pt>
                <c:pt idx="1238">
                  <c:v>ORD-11239</c:v>
                </c:pt>
                <c:pt idx="1239">
                  <c:v>ORD-11240</c:v>
                </c:pt>
                <c:pt idx="1240">
                  <c:v>ORD-11241</c:v>
                </c:pt>
                <c:pt idx="1241">
                  <c:v>ORD-11242</c:v>
                </c:pt>
                <c:pt idx="1242">
                  <c:v>ORD-11243</c:v>
                </c:pt>
                <c:pt idx="1243">
                  <c:v>ORD-11244</c:v>
                </c:pt>
                <c:pt idx="1244">
                  <c:v>ORD-11245</c:v>
                </c:pt>
                <c:pt idx="1245">
                  <c:v>ORD-11246</c:v>
                </c:pt>
                <c:pt idx="1246">
                  <c:v>ORD-11247</c:v>
                </c:pt>
                <c:pt idx="1247">
                  <c:v>ORD-11248</c:v>
                </c:pt>
                <c:pt idx="1248">
                  <c:v>ORD-11249</c:v>
                </c:pt>
                <c:pt idx="1249">
                  <c:v>ORD-11250</c:v>
                </c:pt>
                <c:pt idx="1250">
                  <c:v>ORD-11251</c:v>
                </c:pt>
                <c:pt idx="1251">
                  <c:v>ORD-11252</c:v>
                </c:pt>
                <c:pt idx="1252">
                  <c:v>ORD-11253</c:v>
                </c:pt>
                <c:pt idx="1253">
                  <c:v>ORD-11254</c:v>
                </c:pt>
                <c:pt idx="1254">
                  <c:v>ORD-11255</c:v>
                </c:pt>
                <c:pt idx="1255">
                  <c:v>ORD-11256</c:v>
                </c:pt>
                <c:pt idx="1256">
                  <c:v>ORD-11257</c:v>
                </c:pt>
                <c:pt idx="1257">
                  <c:v>ORD-11258</c:v>
                </c:pt>
                <c:pt idx="1258">
                  <c:v>ORD-11259</c:v>
                </c:pt>
                <c:pt idx="1259">
                  <c:v>ORD-11260</c:v>
                </c:pt>
                <c:pt idx="1260">
                  <c:v>ORD-11261</c:v>
                </c:pt>
                <c:pt idx="1261">
                  <c:v>ORD-11262</c:v>
                </c:pt>
                <c:pt idx="1262">
                  <c:v>ORD-11263</c:v>
                </c:pt>
                <c:pt idx="1263">
                  <c:v>ORD-11264</c:v>
                </c:pt>
                <c:pt idx="1264">
                  <c:v>ORD-11265</c:v>
                </c:pt>
                <c:pt idx="1265">
                  <c:v>ORD-11266</c:v>
                </c:pt>
                <c:pt idx="1266">
                  <c:v>ORD-11267</c:v>
                </c:pt>
                <c:pt idx="1267">
                  <c:v>ORD-11268</c:v>
                </c:pt>
                <c:pt idx="1268">
                  <c:v>ORD-11269</c:v>
                </c:pt>
                <c:pt idx="1269">
                  <c:v>ORD-11270</c:v>
                </c:pt>
                <c:pt idx="1270">
                  <c:v>ORD-11271</c:v>
                </c:pt>
                <c:pt idx="1271">
                  <c:v>ORD-11272</c:v>
                </c:pt>
                <c:pt idx="1272">
                  <c:v>ORD-11273</c:v>
                </c:pt>
                <c:pt idx="1273">
                  <c:v>ORD-11274</c:v>
                </c:pt>
                <c:pt idx="1274">
                  <c:v>ORD-11275</c:v>
                </c:pt>
                <c:pt idx="1275">
                  <c:v>ORD-11276</c:v>
                </c:pt>
                <c:pt idx="1276">
                  <c:v>ORD-11277</c:v>
                </c:pt>
                <c:pt idx="1277">
                  <c:v>ORD-11278</c:v>
                </c:pt>
                <c:pt idx="1278">
                  <c:v>ORD-11279</c:v>
                </c:pt>
                <c:pt idx="1279">
                  <c:v>ORD-11280</c:v>
                </c:pt>
                <c:pt idx="1280">
                  <c:v>ORD-11281</c:v>
                </c:pt>
                <c:pt idx="1281">
                  <c:v>ORD-11282</c:v>
                </c:pt>
                <c:pt idx="1282">
                  <c:v>ORD-11283</c:v>
                </c:pt>
                <c:pt idx="1283">
                  <c:v>ORD-11284</c:v>
                </c:pt>
                <c:pt idx="1284">
                  <c:v>ORD-11285</c:v>
                </c:pt>
                <c:pt idx="1285">
                  <c:v>ORD-11286</c:v>
                </c:pt>
                <c:pt idx="1286">
                  <c:v>ORD-11287</c:v>
                </c:pt>
                <c:pt idx="1287">
                  <c:v>ORD-11288</c:v>
                </c:pt>
                <c:pt idx="1288">
                  <c:v>ORD-11289</c:v>
                </c:pt>
                <c:pt idx="1289">
                  <c:v>ORD-11290</c:v>
                </c:pt>
                <c:pt idx="1290">
                  <c:v>ORD-11291</c:v>
                </c:pt>
                <c:pt idx="1291">
                  <c:v>ORD-11292</c:v>
                </c:pt>
                <c:pt idx="1292">
                  <c:v>ORD-11293</c:v>
                </c:pt>
                <c:pt idx="1293">
                  <c:v>ORD-11294</c:v>
                </c:pt>
                <c:pt idx="1294">
                  <c:v>ORD-11295</c:v>
                </c:pt>
                <c:pt idx="1295">
                  <c:v>ORD-11296</c:v>
                </c:pt>
                <c:pt idx="1296">
                  <c:v>ORD-11297</c:v>
                </c:pt>
                <c:pt idx="1297">
                  <c:v>ORD-11298</c:v>
                </c:pt>
                <c:pt idx="1298">
                  <c:v>ORD-11299</c:v>
                </c:pt>
                <c:pt idx="1299">
                  <c:v>ORD-11300</c:v>
                </c:pt>
                <c:pt idx="1300">
                  <c:v>ORD-11301</c:v>
                </c:pt>
                <c:pt idx="1301">
                  <c:v>ORD-11302</c:v>
                </c:pt>
                <c:pt idx="1302">
                  <c:v>ORD-11303</c:v>
                </c:pt>
                <c:pt idx="1303">
                  <c:v>ORD-11304</c:v>
                </c:pt>
                <c:pt idx="1304">
                  <c:v>ORD-11305</c:v>
                </c:pt>
                <c:pt idx="1305">
                  <c:v>ORD-11306</c:v>
                </c:pt>
                <c:pt idx="1306">
                  <c:v>ORD-11307</c:v>
                </c:pt>
                <c:pt idx="1307">
                  <c:v>ORD-11308</c:v>
                </c:pt>
                <c:pt idx="1308">
                  <c:v>ORD-11309</c:v>
                </c:pt>
                <c:pt idx="1309">
                  <c:v>ORD-11310</c:v>
                </c:pt>
                <c:pt idx="1310">
                  <c:v>ORD-11311</c:v>
                </c:pt>
                <c:pt idx="1311">
                  <c:v>ORD-11312</c:v>
                </c:pt>
                <c:pt idx="1312">
                  <c:v>ORD-11313</c:v>
                </c:pt>
                <c:pt idx="1313">
                  <c:v>ORD-11314</c:v>
                </c:pt>
                <c:pt idx="1314">
                  <c:v>ORD-11315</c:v>
                </c:pt>
                <c:pt idx="1315">
                  <c:v>ORD-11316</c:v>
                </c:pt>
                <c:pt idx="1316">
                  <c:v>ORD-11317</c:v>
                </c:pt>
                <c:pt idx="1317">
                  <c:v>ORD-11318</c:v>
                </c:pt>
                <c:pt idx="1318">
                  <c:v>ORD-11319</c:v>
                </c:pt>
                <c:pt idx="1319">
                  <c:v>ORD-11320</c:v>
                </c:pt>
                <c:pt idx="1320">
                  <c:v>ORD-11321</c:v>
                </c:pt>
                <c:pt idx="1321">
                  <c:v>ORD-11322</c:v>
                </c:pt>
                <c:pt idx="1322">
                  <c:v>ORD-11323</c:v>
                </c:pt>
                <c:pt idx="1323">
                  <c:v>ORD-11324</c:v>
                </c:pt>
                <c:pt idx="1324">
                  <c:v>ORD-11325</c:v>
                </c:pt>
                <c:pt idx="1325">
                  <c:v>ORD-11326</c:v>
                </c:pt>
                <c:pt idx="1326">
                  <c:v>ORD-11327</c:v>
                </c:pt>
                <c:pt idx="1327">
                  <c:v>ORD-11328</c:v>
                </c:pt>
                <c:pt idx="1328">
                  <c:v>ORD-11329</c:v>
                </c:pt>
                <c:pt idx="1329">
                  <c:v>ORD-11330</c:v>
                </c:pt>
                <c:pt idx="1330">
                  <c:v>ORD-11331</c:v>
                </c:pt>
                <c:pt idx="1331">
                  <c:v>ORD-11332</c:v>
                </c:pt>
                <c:pt idx="1332">
                  <c:v>ORD-11333</c:v>
                </c:pt>
                <c:pt idx="1333">
                  <c:v>ORD-11334</c:v>
                </c:pt>
                <c:pt idx="1334">
                  <c:v>ORD-11335</c:v>
                </c:pt>
                <c:pt idx="1335">
                  <c:v>ORD-11336</c:v>
                </c:pt>
                <c:pt idx="1336">
                  <c:v>ORD-11337</c:v>
                </c:pt>
                <c:pt idx="1337">
                  <c:v>ORD-11338</c:v>
                </c:pt>
                <c:pt idx="1338">
                  <c:v>ORD-11339</c:v>
                </c:pt>
                <c:pt idx="1339">
                  <c:v>ORD-11340</c:v>
                </c:pt>
                <c:pt idx="1340">
                  <c:v>ORD-11341</c:v>
                </c:pt>
                <c:pt idx="1341">
                  <c:v>ORD-11342</c:v>
                </c:pt>
                <c:pt idx="1342">
                  <c:v>ORD-11343</c:v>
                </c:pt>
                <c:pt idx="1343">
                  <c:v>ORD-11344</c:v>
                </c:pt>
                <c:pt idx="1344">
                  <c:v>ORD-11345</c:v>
                </c:pt>
                <c:pt idx="1345">
                  <c:v>ORD-11346</c:v>
                </c:pt>
                <c:pt idx="1346">
                  <c:v>ORD-11347</c:v>
                </c:pt>
                <c:pt idx="1347">
                  <c:v>ORD-11348</c:v>
                </c:pt>
                <c:pt idx="1348">
                  <c:v>ORD-11349</c:v>
                </c:pt>
                <c:pt idx="1349">
                  <c:v>ORD-11350</c:v>
                </c:pt>
                <c:pt idx="1350">
                  <c:v>ORD-11351</c:v>
                </c:pt>
                <c:pt idx="1351">
                  <c:v>ORD-11352</c:v>
                </c:pt>
                <c:pt idx="1352">
                  <c:v>ORD-11353</c:v>
                </c:pt>
                <c:pt idx="1353">
                  <c:v>ORD-11354</c:v>
                </c:pt>
                <c:pt idx="1354">
                  <c:v>ORD-11355</c:v>
                </c:pt>
                <c:pt idx="1355">
                  <c:v>ORD-11356</c:v>
                </c:pt>
                <c:pt idx="1356">
                  <c:v>ORD-11357</c:v>
                </c:pt>
                <c:pt idx="1357">
                  <c:v>ORD-11358</c:v>
                </c:pt>
                <c:pt idx="1358">
                  <c:v>ORD-11359</c:v>
                </c:pt>
                <c:pt idx="1359">
                  <c:v>ORD-11360</c:v>
                </c:pt>
                <c:pt idx="1360">
                  <c:v>ORD-11361</c:v>
                </c:pt>
                <c:pt idx="1361">
                  <c:v>ORD-11362</c:v>
                </c:pt>
                <c:pt idx="1362">
                  <c:v>ORD-11363</c:v>
                </c:pt>
                <c:pt idx="1363">
                  <c:v>ORD-11364</c:v>
                </c:pt>
                <c:pt idx="1364">
                  <c:v>ORD-11365</c:v>
                </c:pt>
                <c:pt idx="1365">
                  <c:v>ORD-11366</c:v>
                </c:pt>
                <c:pt idx="1366">
                  <c:v>ORD-11367</c:v>
                </c:pt>
                <c:pt idx="1367">
                  <c:v>ORD-11368</c:v>
                </c:pt>
                <c:pt idx="1368">
                  <c:v>ORD-11369</c:v>
                </c:pt>
                <c:pt idx="1369">
                  <c:v>ORD-11370</c:v>
                </c:pt>
                <c:pt idx="1370">
                  <c:v>ORD-11371</c:v>
                </c:pt>
                <c:pt idx="1371">
                  <c:v>ORD-11372</c:v>
                </c:pt>
                <c:pt idx="1372">
                  <c:v>ORD-11373</c:v>
                </c:pt>
                <c:pt idx="1373">
                  <c:v>ORD-11374</c:v>
                </c:pt>
                <c:pt idx="1374">
                  <c:v>ORD-11375</c:v>
                </c:pt>
                <c:pt idx="1375">
                  <c:v>ORD-11376</c:v>
                </c:pt>
                <c:pt idx="1376">
                  <c:v>ORD-11377</c:v>
                </c:pt>
                <c:pt idx="1377">
                  <c:v>ORD-11378</c:v>
                </c:pt>
                <c:pt idx="1378">
                  <c:v>ORD-11379</c:v>
                </c:pt>
                <c:pt idx="1379">
                  <c:v>ORD-11380</c:v>
                </c:pt>
                <c:pt idx="1380">
                  <c:v>ORD-11381</c:v>
                </c:pt>
                <c:pt idx="1381">
                  <c:v>ORD-11382</c:v>
                </c:pt>
                <c:pt idx="1382">
                  <c:v>ORD-11383</c:v>
                </c:pt>
                <c:pt idx="1383">
                  <c:v>ORD-11384</c:v>
                </c:pt>
                <c:pt idx="1384">
                  <c:v>ORD-11385</c:v>
                </c:pt>
                <c:pt idx="1385">
                  <c:v>ORD-11386</c:v>
                </c:pt>
                <c:pt idx="1386">
                  <c:v>ORD-11387</c:v>
                </c:pt>
                <c:pt idx="1387">
                  <c:v>ORD-11388</c:v>
                </c:pt>
                <c:pt idx="1388">
                  <c:v>ORD-11389</c:v>
                </c:pt>
                <c:pt idx="1389">
                  <c:v>ORD-11390</c:v>
                </c:pt>
                <c:pt idx="1390">
                  <c:v>ORD-11391</c:v>
                </c:pt>
                <c:pt idx="1391">
                  <c:v>ORD-11392</c:v>
                </c:pt>
                <c:pt idx="1392">
                  <c:v>ORD-11393</c:v>
                </c:pt>
                <c:pt idx="1393">
                  <c:v>ORD-11394</c:v>
                </c:pt>
                <c:pt idx="1394">
                  <c:v>ORD-11395</c:v>
                </c:pt>
                <c:pt idx="1395">
                  <c:v>ORD-11396</c:v>
                </c:pt>
                <c:pt idx="1396">
                  <c:v>ORD-11397</c:v>
                </c:pt>
                <c:pt idx="1397">
                  <c:v>ORD-11398</c:v>
                </c:pt>
                <c:pt idx="1398">
                  <c:v>ORD-11399</c:v>
                </c:pt>
                <c:pt idx="1399">
                  <c:v>ORD-11400</c:v>
                </c:pt>
                <c:pt idx="1400">
                  <c:v>ORD-11401</c:v>
                </c:pt>
                <c:pt idx="1401">
                  <c:v>ORD-11402</c:v>
                </c:pt>
                <c:pt idx="1402">
                  <c:v>ORD-11403</c:v>
                </c:pt>
                <c:pt idx="1403">
                  <c:v>ORD-11404</c:v>
                </c:pt>
                <c:pt idx="1404">
                  <c:v>ORD-11405</c:v>
                </c:pt>
                <c:pt idx="1405">
                  <c:v>ORD-11406</c:v>
                </c:pt>
                <c:pt idx="1406">
                  <c:v>ORD-11407</c:v>
                </c:pt>
                <c:pt idx="1407">
                  <c:v>ORD-11408</c:v>
                </c:pt>
                <c:pt idx="1408">
                  <c:v>ORD-11409</c:v>
                </c:pt>
                <c:pt idx="1409">
                  <c:v>ORD-11410</c:v>
                </c:pt>
                <c:pt idx="1410">
                  <c:v>ORD-11411</c:v>
                </c:pt>
                <c:pt idx="1411">
                  <c:v>ORD-11412</c:v>
                </c:pt>
                <c:pt idx="1412">
                  <c:v>ORD-11413</c:v>
                </c:pt>
                <c:pt idx="1413">
                  <c:v>ORD-11414</c:v>
                </c:pt>
                <c:pt idx="1414">
                  <c:v>ORD-11415</c:v>
                </c:pt>
                <c:pt idx="1415">
                  <c:v>ORD-11416</c:v>
                </c:pt>
                <c:pt idx="1416">
                  <c:v>ORD-11417</c:v>
                </c:pt>
                <c:pt idx="1417">
                  <c:v>ORD-11418</c:v>
                </c:pt>
                <c:pt idx="1418">
                  <c:v>ORD-11419</c:v>
                </c:pt>
                <c:pt idx="1419">
                  <c:v>ORD-11420</c:v>
                </c:pt>
                <c:pt idx="1420">
                  <c:v>ORD-11421</c:v>
                </c:pt>
                <c:pt idx="1421">
                  <c:v>ORD-11422</c:v>
                </c:pt>
                <c:pt idx="1422">
                  <c:v>ORD-11423</c:v>
                </c:pt>
                <c:pt idx="1423">
                  <c:v>ORD-11424</c:v>
                </c:pt>
                <c:pt idx="1424">
                  <c:v>ORD-11425</c:v>
                </c:pt>
                <c:pt idx="1425">
                  <c:v>ORD-11426</c:v>
                </c:pt>
                <c:pt idx="1426">
                  <c:v>ORD-11427</c:v>
                </c:pt>
                <c:pt idx="1427">
                  <c:v>ORD-11428</c:v>
                </c:pt>
                <c:pt idx="1428">
                  <c:v>ORD-11429</c:v>
                </c:pt>
                <c:pt idx="1429">
                  <c:v>ORD-11430</c:v>
                </c:pt>
                <c:pt idx="1430">
                  <c:v>ORD-11431</c:v>
                </c:pt>
                <c:pt idx="1431">
                  <c:v>ORD-11432</c:v>
                </c:pt>
                <c:pt idx="1432">
                  <c:v>ORD-11433</c:v>
                </c:pt>
                <c:pt idx="1433">
                  <c:v>ORD-11434</c:v>
                </c:pt>
                <c:pt idx="1434">
                  <c:v>ORD-11435</c:v>
                </c:pt>
                <c:pt idx="1435">
                  <c:v>ORD-11436</c:v>
                </c:pt>
                <c:pt idx="1436">
                  <c:v>ORD-11437</c:v>
                </c:pt>
                <c:pt idx="1437">
                  <c:v>ORD-11438</c:v>
                </c:pt>
                <c:pt idx="1438">
                  <c:v>ORD-11439</c:v>
                </c:pt>
                <c:pt idx="1439">
                  <c:v>ORD-11440</c:v>
                </c:pt>
                <c:pt idx="1440">
                  <c:v>ORD-11441</c:v>
                </c:pt>
                <c:pt idx="1441">
                  <c:v>ORD-11442</c:v>
                </c:pt>
                <c:pt idx="1442">
                  <c:v>ORD-11443</c:v>
                </c:pt>
                <c:pt idx="1443">
                  <c:v>ORD-11444</c:v>
                </c:pt>
                <c:pt idx="1444">
                  <c:v>ORD-11445</c:v>
                </c:pt>
                <c:pt idx="1445">
                  <c:v>ORD-11446</c:v>
                </c:pt>
                <c:pt idx="1446">
                  <c:v>ORD-11447</c:v>
                </c:pt>
                <c:pt idx="1447">
                  <c:v>ORD-11448</c:v>
                </c:pt>
                <c:pt idx="1448">
                  <c:v>ORD-11449</c:v>
                </c:pt>
                <c:pt idx="1449">
                  <c:v>ORD-11450</c:v>
                </c:pt>
                <c:pt idx="1450">
                  <c:v>ORD-11451</c:v>
                </c:pt>
                <c:pt idx="1451">
                  <c:v>ORD-11452</c:v>
                </c:pt>
                <c:pt idx="1452">
                  <c:v>ORD-11453</c:v>
                </c:pt>
                <c:pt idx="1453">
                  <c:v>ORD-11454</c:v>
                </c:pt>
                <c:pt idx="1454">
                  <c:v>ORD-11455</c:v>
                </c:pt>
                <c:pt idx="1455">
                  <c:v>ORD-11456</c:v>
                </c:pt>
                <c:pt idx="1456">
                  <c:v>ORD-11457</c:v>
                </c:pt>
                <c:pt idx="1457">
                  <c:v>ORD-11458</c:v>
                </c:pt>
                <c:pt idx="1458">
                  <c:v>ORD-11459</c:v>
                </c:pt>
                <c:pt idx="1459">
                  <c:v>ORD-11460</c:v>
                </c:pt>
                <c:pt idx="1460">
                  <c:v>ORD-11461</c:v>
                </c:pt>
                <c:pt idx="1461">
                  <c:v>ORD-11462</c:v>
                </c:pt>
                <c:pt idx="1462">
                  <c:v>ORD-11463</c:v>
                </c:pt>
                <c:pt idx="1463">
                  <c:v>ORD-11464</c:v>
                </c:pt>
                <c:pt idx="1464">
                  <c:v>ORD-11465</c:v>
                </c:pt>
                <c:pt idx="1465">
                  <c:v>ORD-11466</c:v>
                </c:pt>
                <c:pt idx="1466">
                  <c:v>ORD-11467</c:v>
                </c:pt>
                <c:pt idx="1467">
                  <c:v>ORD-11468</c:v>
                </c:pt>
                <c:pt idx="1468">
                  <c:v>ORD-11469</c:v>
                </c:pt>
                <c:pt idx="1469">
                  <c:v>ORD-11470</c:v>
                </c:pt>
                <c:pt idx="1470">
                  <c:v>ORD-11471</c:v>
                </c:pt>
                <c:pt idx="1471">
                  <c:v>ORD-11472</c:v>
                </c:pt>
                <c:pt idx="1472">
                  <c:v>ORD-11473</c:v>
                </c:pt>
                <c:pt idx="1473">
                  <c:v>ORD-11474</c:v>
                </c:pt>
                <c:pt idx="1474">
                  <c:v>ORD-11475</c:v>
                </c:pt>
                <c:pt idx="1475">
                  <c:v>ORD-11476</c:v>
                </c:pt>
                <c:pt idx="1476">
                  <c:v>ORD-11477</c:v>
                </c:pt>
                <c:pt idx="1477">
                  <c:v>ORD-11478</c:v>
                </c:pt>
                <c:pt idx="1478">
                  <c:v>ORD-11479</c:v>
                </c:pt>
                <c:pt idx="1479">
                  <c:v>ORD-11480</c:v>
                </c:pt>
                <c:pt idx="1480">
                  <c:v>ORD-11481</c:v>
                </c:pt>
                <c:pt idx="1481">
                  <c:v>ORD-11482</c:v>
                </c:pt>
                <c:pt idx="1482">
                  <c:v>ORD-11483</c:v>
                </c:pt>
                <c:pt idx="1483">
                  <c:v>ORD-11484</c:v>
                </c:pt>
                <c:pt idx="1484">
                  <c:v>ORD-11485</c:v>
                </c:pt>
                <c:pt idx="1485">
                  <c:v>ORD-11486</c:v>
                </c:pt>
                <c:pt idx="1486">
                  <c:v>ORD-11487</c:v>
                </c:pt>
                <c:pt idx="1487">
                  <c:v>ORD-11488</c:v>
                </c:pt>
                <c:pt idx="1488">
                  <c:v>ORD-11489</c:v>
                </c:pt>
                <c:pt idx="1489">
                  <c:v>ORD-11490</c:v>
                </c:pt>
                <c:pt idx="1490">
                  <c:v>ORD-11491</c:v>
                </c:pt>
                <c:pt idx="1491">
                  <c:v>ORD-11492</c:v>
                </c:pt>
                <c:pt idx="1492">
                  <c:v>ORD-11493</c:v>
                </c:pt>
                <c:pt idx="1493">
                  <c:v>ORD-11494</c:v>
                </c:pt>
                <c:pt idx="1494">
                  <c:v>ORD-11495</c:v>
                </c:pt>
                <c:pt idx="1495">
                  <c:v>ORD-11496</c:v>
                </c:pt>
                <c:pt idx="1496">
                  <c:v>ORD-11497</c:v>
                </c:pt>
                <c:pt idx="1497">
                  <c:v>ORD-11498</c:v>
                </c:pt>
                <c:pt idx="1498">
                  <c:v>ORD-11499</c:v>
                </c:pt>
                <c:pt idx="1499">
                  <c:v>ORD-11500</c:v>
                </c:pt>
                <c:pt idx="1500">
                  <c:v>ORD-11501</c:v>
                </c:pt>
                <c:pt idx="1501">
                  <c:v>ORD-11502</c:v>
                </c:pt>
                <c:pt idx="1502">
                  <c:v>ORD-11503</c:v>
                </c:pt>
                <c:pt idx="1503">
                  <c:v>ORD-11504</c:v>
                </c:pt>
                <c:pt idx="1504">
                  <c:v>ORD-11505</c:v>
                </c:pt>
                <c:pt idx="1505">
                  <c:v>ORD-11506</c:v>
                </c:pt>
                <c:pt idx="1506">
                  <c:v>ORD-11507</c:v>
                </c:pt>
                <c:pt idx="1507">
                  <c:v>ORD-11508</c:v>
                </c:pt>
                <c:pt idx="1508">
                  <c:v>ORD-11509</c:v>
                </c:pt>
                <c:pt idx="1509">
                  <c:v>ORD-11510</c:v>
                </c:pt>
                <c:pt idx="1510">
                  <c:v>ORD-11511</c:v>
                </c:pt>
                <c:pt idx="1511">
                  <c:v>ORD-11512</c:v>
                </c:pt>
                <c:pt idx="1512">
                  <c:v>ORD-11513</c:v>
                </c:pt>
                <c:pt idx="1513">
                  <c:v>ORD-11514</c:v>
                </c:pt>
                <c:pt idx="1514">
                  <c:v>ORD-11515</c:v>
                </c:pt>
                <c:pt idx="1515">
                  <c:v>ORD-11516</c:v>
                </c:pt>
                <c:pt idx="1516">
                  <c:v>ORD-11517</c:v>
                </c:pt>
                <c:pt idx="1517">
                  <c:v>ORD-11518</c:v>
                </c:pt>
                <c:pt idx="1518">
                  <c:v>ORD-11519</c:v>
                </c:pt>
                <c:pt idx="1519">
                  <c:v>ORD-11520</c:v>
                </c:pt>
                <c:pt idx="1520">
                  <c:v>ORD-11521</c:v>
                </c:pt>
                <c:pt idx="1521">
                  <c:v>ORD-11522</c:v>
                </c:pt>
                <c:pt idx="1522">
                  <c:v>ORD-11523</c:v>
                </c:pt>
                <c:pt idx="1523">
                  <c:v>ORD-11524</c:v>
                </c:pt>
                <c:pt idx="1524">
                  <c:v>ORD-11525</c:v>
                </c:pt>
                <c:pt idx="1525">
                  <c:v>ORD-11526</c:v>
                </c:pt>
                <c:pt idx="1526">
                  <c:v>ORD-11527</c:v>
                </c:pt>
                <c:pt idx="1527">
                  <c:v>ORD-11528</c:v>
                </c:pt>
                <c:pt idx="1528">
                  <c:v>ORD-11529</c:v>
                </c:pt>
                <c:pt idx="1529">
                  <c:v>ORD-11530</c:v>
                </c:pt>
                <c:pt idx="1530">
                  <c:v>ORD-11531</c:v>
                </c:pt>
                <c:pt idx="1531">
                  <c:v>ORD-11532</c:v>
                </c:pt>
                <c:pt idx="1532">
                  <c:v>ORD-11533</c:v>
                </c:pt>
                <c:pt idx="1533">
                  <c:v>ORD-11534</c:v>
                </c:pt>
                <c:pt idx="1534">
                  <c:v>ORD-11535</c:v>
                </c:pt>
                <c:pt idx="1535">
                  <c:v>ORD-11536</c:v>
                </c:pt>
                <c:pt idx="1536">
                  <c:v>ORD-11537</c:v>
                </c:pt>
                <c:pt idx="1537">
                  <c:v>ORD-11538</c:v>
                </c:pt>
                <c:pt idx="1538">
                  <c:v>ORD-11539</c:v>
                </c:pt>
                <c:pt idx="1539">
                  <c:v>ORD-11540</c:v>
                </c:pt>
                <c:pt idx="1540">
                  <c:v>ORD-11541</c:v>
                </c:pt>
                <c:pt idx="1541">
                  <c:v>ORD-11542</c:v>
                </c:pt>
                <c:pt idx="1542">
                  <c:v>ORD-11543</c:v>
                </c:pt>
                <c:pt idx="1543">
                  <c:v>ORD-11544</c:v>
                </c:pt>
                <c:pt idx="1544">
                  <c:v>ORD-11545</c:v>
                </c:pt>
                <c:pt idx="1545">
                  <c:v>ORD-11546</c:v>
                </c:pt>
                <c:pt idx="1546">
                  <c:v>ORD-11547</c:v>
                </c:pt>
                <c:pt idx="1547">
                  <c:v>ORD-11548</c:v>
                </c:pt>
                <c:pt idx="1548">
                  <c:v>ORD-11549</c:v>
                </c:pt>
                <c:pt idx="1549">
                  <c:v>ORD-11550</c:v>
                </c:pt>
                <c:pt idx="1550">
                  <c:v>ORD-11551</c:v>
                </c:pt>
                <c:pt idx="1551">
                  <c:v>ORD-11552</c:v>
                </c:pt>
                <c:pt idx="1552">
                  <c:v>ORD-11553</c:v>
                </c:pt>
                <c:pt idx="1553">
                  <c:v>ORD-11554</c:v>
                </c:pt>
                <c:pt idx="1554">
                  <c:v>ORD-11555</c:v>
                </c:pt>
                <c:pt idx="1555">
                  <c:v>ORD-11556</c:v>
                </c:pt>
                <c:pt idx="1556">
                  <c:v>ORD-11557</c:v>
                </c:pt>
                <c:pt idx="1557">
                  <c:v>ORD-11558</c:v>
                </c:pt>
                <c:pt idx="1558">
                  <c:v>ORD-11559</c:v>
                </c:pt>
                <c:pt idx="1559">
                  <c:v>ORD-11560</c:v>
                </c:pt>
                <c:pt idx="1560">
                  <c:v>ORD-11561</c:v>
                </c:pt>
                <c:pt idx="1561">
                  <c:v>ORD-11562</c:v>
                </c:pt>
                <c:pt idx="1562">
                  <c:v>ORD-11563</c:v>
                </c:pt>
                <c:pt idx="1563">
                  <c:v>ORD-11564</c:v>
                </c:pt>
                <c:pt idx="1564">
                  <c:v>ORD-11565</c:v>
                </c:pt>
                <c:pt idx="1565">
                  <c:v>ORD-11566</c:v>
                </c:pt>
                <c:pt idx="1566">
                  <c:v>ORD-11567</c:v>
                </c:pt>
                <c:pt idx="1567">
                  <c:v>ORD-11568</c:v>
                </c:pt>
                <c:pt idx="1568">
                  <c:v>ORD-11569</c:v>
                </c:pt>
                <c:pt idx="1569">
                  <c:v>ORD-11570</c:v>
                </c:pt>
                <c:pt idx="1570">
                  <c:v>ORD-11571</c:v>
                </c:pt>
                <c:pt idx="1571">
                  <c:v>ORD-11572</c:v>
                </c:pt>
                <c:pt idx="1572">
                  <c:v>ORD-11573</c:v>
                </c:pt>
                <c:pt idx="1573">
                  <c:v>ORD-11574</c:v>
                </c:pt>
                <c:pt idx="1574">
                  <c:v>ORD-11575</c:v>
                </c:pt>
                <c:pt idx="1575">
                  <c:v>ORD-11576</c:v>
                </c:pt>
                <c:pt idx="1576">
                  <c:v>ORD-11577</c:v>
                </c:pt>
                <c:pt idx="1577">
                  <c:v>ORD-11578</c:v>
                </c:pt>
                <c:pt idx="1578">
                  <c:v>ORD-11579</c:v>
                </c:pt>
                <c:pt idx="1579">
                  <c:v>ORD-11580</c:v>
                </c:pt>
                <c:pt idx="1580">
                  <c:v>ORD-11581</c:v>
                </c:pt>
                <c:pt idx="1581">
                  <c:v>ORD-11582</c:v>
                </c:pt>
                <c:pt idx="1582">
                  <c:v>ORD-11583</c:v>
                </c:pt>
                <c:pt idx="1583">
                  <c:v>ORD-11584</c:v>
                </c:pt>
                <c:pt idx="1584">
                  <c:v>ORD-11585</c:v>
                </c:pt>
                <c:pt idx="1585">
                  <c:v>ORD-11586</c:v>
                </c:pt>
                <c:pt idx="1586">
                  <c:v>ORD-11587</c:v>
                </c:pt>
                <c:pt idx="1587">
                  <c:v>ORD-11588</c:v>
                </c:pt>
                <c:pt idx="1588">
                  <c:v>ORD-11589</c:v>
                </c:pt>
                <c:pt idx="1589">
                  <c:v>ORD-11590</c:v>
                </c:pt>
                <c:pt idx="1590">
                  <c:v>ORD-11591</c:v>
                </c:pt>
                <c:pt idx="1591">
                  <c:v>ORD-11592</c:v>
                </c:pt>
                <c:pt idx="1592">
                  <c:v>ORD-11593</c:v>
                </c:pt>
                <c:pt idx="1593">
                  <c:v>ORD-11594</c:v>
                </c:pt>
                <c:pt idx="1594">
                  <c:v>ORD-11595</c:v>
                </c:pt>
                <c:pt idx="1595">
                  <c:v>ORD-11596</c:v>
                </c:pt>
                <c:pt idx="1596">
                  <c:v>ORD-11597</c:v>
                </c:pt>
                <c:pt idx="1597">
                  <c:v>ORD-11598</c:v>
                </c:pt>
                <c:pt idx="1598">
                  <c:v>ORD-11599</c:v>
                </c:pt>
                <c:pt idx="1599">
                  <c:v>ORD-11600</c:v>
                </c:pt>
                <c:pt idx="1600">
                  <c:v>ORD-11601</c:v>
                </c:pt>
                <c:pt idx="1601">
                  <c:v>ORD-11602</c:v>
                </c:pt>
                <c:pt idx="1602">
                  <c:v>ORD-11603</c:v>
                </c:pt>
                <c:pt idx="1603">
                  <c:v>ORD-11604</c:v>
                </c:pt>
                <c:pt idx="1604">
                  <c:v>ORD-11605</c:v>
                </c:pt>
                <c:pt idx="1605">
                  <c:v>ORD-11606</c:v>
                </c:pt>
                <c:pt idx="1606">
                  <c:v>ORD-11607</c:v>
                </c:pt>
                <c:pt idx="1607">
                  <c:v>ORD-11608</c:v>
                </c:pt>
                <c:pt idx="1608">
                  <c:v>ORD-11609</c:v>
                </c:pt>
                <c:pt idx="1609">
                  <c:v>ORD-11610</c:v>
                </c:pt>
                <c:pt idx="1610">
                  <c:v>ORD-11611</c:v>
                </c:pt>
                <c:pt idx="1611">
                  <c:v>ORD-11612</c:v>
                </c:pt>
                <c:pt idx="1612">
                  <c:v>ORD-11613</c:v>
                </c:pt>
                <c:pt idx="1613">
                  <c:v>ORD-11614</c:v>
                </c:pt>
                <c:pt idx="1614">
                  <c:v>ORD-11615</c:v>
                </c:pt>
                <c:pt idx="1615">
                  <c:v>ORD-11616</c:v>
                </c:pt>
                <c:pt idx="1616">
                  <c:v>ORD-11617</c:v>
                </c:pt>
                <c:pt idx="1617">
                  <c:v>ORD-11618</c:v>
                </c:pt>
                <c:pt idx="1618">
                  <c:v>ORD-11619</c:v>
                </c:pt>
                <c:pt idx="1619">
                  <c:v>ORD-11620</c:v>
                </c:pt>
                <c:pt idx="1620">
                  <c:v>ORD-11621</c:v>
                </c:pt>
                <c:pt idx="1621">
                  <c:v>ORD-11622</c:v>
                </c:pt>
                <c:pt idx="1622">
                  <c:v>ORD-11623</c:v>
                </c:pt>
                <c:pt idx="1623">
                  <c:v>ORD-11624</c:v>
                </c:pt>
                <c:pt idx="1624">
                  <c:v>ORD-11625</c:v>
                </c:pt>
                <c:pt idx="1625">
                  <c:v>ORD-11626</c:v>
                </c:pt>
                <c:pt idx="1626">
                  <c:v>ORD-11627</c:v>
                </c:pt>
                <c:pt idx="1627">
                  <c:v>ORD-11628</c:v>
                </c:pt>
                <c:pt idx="1628">
                  <c:v>ORD-11629</c:v>
                </c:pt>
                <c:pt idx="1629">
                  <c:v>ORD-11630</c:v>
                </c:pt>
                <c:pt idx="1630">
                  <c:v>ORD-11631</c:v>
                </c:pt>
                <c:pt idx="1631">
                  <c:v>ORD-11632</c:v>
                </c:pt>
                <c:pt idx="1632">
                  <c:v>ORD-11633</c:v>
                </c:pt>
                <c:pt idx="1633">
                  <c:v>ORD-11634</c:v>
                </c:pt>
                <c:pt idx="1634">
                  <c:v>ORD-11635</c:v>
                </c:pt>
                <c:pt idx="1635">
                  <c:v>ORD-11636</c:v>
                </c:pt>
                <c:pt idx="1636">
                  <c:v>ORD-11637</c:v>
                </c:pt>
                <c:pt idx="1637">
                  <c:v>ORD-11638</c:v>
                </c:pt>
                <c:pt idx="1638">
                  <c:v>ORD-11639</c:v>
                </c:pt>
                <c:pt idx="1639">
                  <c:v>ORD-11640</c:v>
                </c:pt>
                <c:pt idx="1640">
                  <c:v>ORD-11641</c:v>
                </c:pt>
                <c:pt idx="1641">
                  <c:v>ORD-11642</c:v>
                </c:pt>
                <c:pt idx="1642">
                  <c:v>ORD-11643</c:v>
                </c:pt>
                <c:pt idx="1643">
                  <c:v>ORD-11644</c:v>
                </c:pt>
                <c:pt idx="1644">
                  <c:v>ORD-11645</c:v>
                </c:pt>
                <c:pt idx="1645">
                  <c:v>ORD-11646</c:v>
                </c:pt>
                <c:pt idx="1646">
                  <c:v>ORD-11647</c:v>
                </c:pt>
                <c:pt idx="1647">
                  <c:v>ORD-11648</c:v>
                </c:pt>
                <c:pt idx="1648">
                  <c:v>ORD-11649</c:v>
                </c:pt>
                <c:pt idx="1649">
                  <c:v>ORD-11650</c:v>
                </c:pt>
                <c:pt idx="1650">
                  <c:v>ORD-11651</c:v>
                </c:pt>
                <c:pt idx="1651">
                  <c:v>ORD-11652</c:v>
                </c:pt>
                <c:pt idx="1652">
                  <c:v>ORD-11653</c:v>
                </c:pt>
                <c:pt idx="1653">
                  <c:v>ORD-11654</c:v>
                </c:pt>
                <c:pt idx="1654">
                  <c:v>ORD-11655</c:v>
                </c:pt>
                <c:pt idx="1655">
                  <c:v>ORD-11656</c:v>
                </c:pt>
                <c:pt idx="1656">
                  <c:v>ORD-11657</c:v>
                </c:pt>
                <c:pt idx="1657">
                  <c:v>ORD-11658</c:v>
                </c:pt>
                <c:pt idx="1658">
                  <c:v>ORD-11659</c:v>
                </c:pt>
                <c:pt idx="1659">
                  <c:v>ORD-11660</c:v>
                </c:pt>
                <c:pt idx="1660">
                  <c:v>ORD-11661</c:v>
                </c:pt>
                <c:pt idx="1661">
                  <c:v>ORD-11662</c:v>
                </c:pt>
                <c:pt idx="1662">
                  <c:v>ORD-11663</c:v>
                </c:pt>
                <c:pt idx="1663">
                  <c:v>ORD-11664</c:v>
                </c:pt>
                <c:pt idx="1664">
                  <c:v>ORD-11665</c:v>
                </c:pt>
                <c:pt idx="1665">
                  <c:v>ORD-11666</c:v>
                </c:pt>
                <c:pt idx="1666">
                  <c:v>ORD-11667</c:v>
                </c:pt>
                <c:pt idx="1667">
                  <c:v>ORD-11668</c:v>
                </c:pt>
                <c:pt idx="1668">
                  <c:v>ORD-11669</c:v>
                </c:pt>
                <c:pt idx="1669">
                  <c:v>ORD-11670</c:v>
                </c:pt>
                <c:pt idx="1670">
                  <c:v>ORD-11671</c:v>
                </c:pt>
                <c:pt idx="1671">
                  <c:v>ORD-11672</c:v>
                </c:pt>
                <c:pt idx="1672">
                  <c:v>ORD-11673</c:v>
                </c:pt>
                <c:pt idx="1673">
                  <c:v>ORD-11674</c:v>
                </c:pt>
                <c:pt idx="1674">
                  <c:v>ORD-11675</c:v>
                </c:pt>
                <c:pt idx="1675">
                  <c:v>ORD-11676</c:v>
                </c:pt>
                <c:pt idx="1676">
                  <c:v>ORD-11677</c:v>
                </c:pt>
                <c:pt idx="1677">
                  <c:v>ORD-11678</c:v>
                </c:pt>
                <c:pt idx="1678">
                  <c:v>ORD-11679</c:v>
                </c:pt>
                <c:pt idx="1679">
                  <c:v>ORD-11680</c:v>
                </c:pt>
                <c:pt idx="1680">
                  <c:v>ORD-11681</c:v>
                </c:pt>
                <c:pt idx="1681">
                  <c:v>ORD-11682</c:v>
                </c:pt>
                <c:pt idx="1682">
                  <c:v>ORD-11683</c:v>
                </c:pt>
                <c:pt idx="1683">
                  <c:v>ORD-11684</c:v>
                </c:pt>
                <c:pt idx="1684">
                  <c:v>ORD-11685</c:v>
                </c:pt>
                <c:pt idx="1685">
                  <c:v>ORD-11686</c:v>
                </c:pt>
                <c:pt idx="1686">
                  <c:v>ORD-11687</c:v>
                </c:pt>
                <c:pt idx="1687">
                  <c:v>ORD-11688</c:v>
                </c:pt>
                <c:pt idx="1688">
                  <c:v>ORD-11689</c:v>
                </c:pt>
                <c:pt idx="1689">
                  <c:v>ORD-11690</c:v>
                </c:pt>
                <c:pt idx="1690">
                  <c:v>ORD-11691</c:v>
                </c:pt>
                <c:pt idx="1691">
                  <c:v>ORD-11692</c:v>
                </c:pt>
                <c:pt idx="1692">
                  <c:v>ORD-11693</c:v>
                </c:pt>
                <c:pt idx="1693">
                  <c:v>ORD-11694</c:v>
                </c:pt>
                <c:pt idx="1694">
                  <c:v>ORD-11695</c:v>
                </c:pt>
                <c:pt idx="1695">
                  <c:v>ORD-11696</c:v>
                </c:pt>
                <c:pt idx="1696">
                  <c:v>ORD-11697</c:v>
                </c:pt>
                <c:pt idx="1697">
                  <c:v>ORD-11698</c:v>
                </c:pt>
                <c:pt idx="1698">
                  <c:v>ORD-11699</c:v>
                </c:pt>
                <c:pt idx="1699">
                  <c:v>ORD-11700</c:v>
                </c:pt>
                <c:pt idx="1700">
                  <c:v>ORD-11701</c:v>
                </c:pt>
                <c:pt idx="1701">
                  <c:v>ORD-11702</c:v>
                </c:pt>
                <c:pt idx="1702">
                  <c:v>ORD-11703</c:v>
                </c:pt>
                <c:pt idx="1703">
                  <c:v>ORD-11704</c:v>
                </c:pt>
                <c:pt idx="1704">
                  <c:v>ORD-11705</c:v>
                </c:pt>
                <c:pt idx="1705">
                  <c:v>ORD-11706</c:v>
                </c:pt>
                <c:pt idx="1706">
                  <c:v>ORD-11707</c:v>
                </c:pt>
                <c:pt idx="1707">
                  <c:v>ORD-11708</c:v>
                </c:pt>
                <c:pt idx="1708">
                  <c:v>ORD-11709</c:v>
                </c:pt>
                <c:pt idx="1709">
                  <c:v>ORD-11710</c:v>
                </c:pt>
                <c:pt idx="1710">
                  <c:v>ORD-11711</c:v>
                </c:pt>
                <c:pt idx="1711">
                  <c:v>ORD-11712</c:v>
                </c:pt>
                <c:pt idx="1712">
                  <c:v>ORD-11713</c:v>
                </c:pt>
                <c:pt idx="1713">
                  <c:v>ORD-11714</c:v>
                </c:pt>
                <c:pt idx="1714">
                  <c:v>ORD-11715</c:v>
                </c:pt>
                <c:pt idx="1715">
                  <c:v>ORD-11716</c:v>
                </c:pt>
                <c:pt idx="1716">
                  <c:v>ORD-11717</c:v>
                </c:pt>
                <c:pt idx="1717">
                  <c:v>ORD-11718</c:v>
                </c:pt>
                <c:pt idx="1718">
                  <c:v>ORD-11719</c:v>
                </c:pt>
                <c:pt idx="1719">
                  <c:v>ORD-11720</c:v>
                </c:pt>
                <c:pt idx="1720">
                  <c:v>ORD-11721</c:v>
                </c:pt>
                <c:pt idx="1721">
                  <c:v>ORD-11722</c:v>
                </c:pt>
                <c:pt idx="1722">
                  <c:v>ORD-11723</c:v>
                </c:pt>
                <c:pt idx="1723">
                  <c:v>ORD-11724</c:v>
                </c:pt>
                <c:pt idx="1724">
                  <c:v>ORD-11725</c:v>
                </c:pt>
                <c:pt idx="1725">
                  <c:v>ORD-11726</c:v>
                </c:pt>
                <c:pt idx="1726">
                  <c:v>ORD-11727</c:v>
                </c:pt>
                <c:pt idx="1727">
                  <c:v>ORD-11728</c:v>
                </c:pt>
                <c:pt idx="1728">
                  <c:v>ORD-11729</c:v>
                </c:pt>
                <c:pt idx="1729">
                  <c:v>ORD-11730</c:v>
                </c:pt>
                <c:pt idx="1730">
                  <c:v>ORD-11731</c:v>
                </c:pt>
                <c:pt idx="1731">
                  <c:v>ORD-11732</c:v>
                </c:pt>
                <c:pt idx="1732">
                  <c:v>ORD-11733</c:v>
                </c:pt>
                <c:pt idx="1733">
                  <c:v>ORD-11734</c:v>
                </c:pt>
                <c:pt idx="1734">
                  <c:v>ORD-11735</c:v>
                </c:pt>
                <c:pt idx="1735">
                  <c:v>ORD-11736</c:v>
                </c:pt>
                <c:pt idx="1736">
                  <c:v>ORD-11737</c:v>
                </c:pt>
                <c:pt idx="1737">
                  <c:v>ORD-11738</c:v>
                </c:pt>
                <c:pt idx="1738">
                  <c:v>ORD-11739</c:v>
                </c:pt>
                <c:pt idx="1739">
                  <c:v>ORD-11740</c:v>
                </c:pt>
                <c:pt idx="1740">
                  <c:v>ORD-11741</c:v>
                </c:pt>
                <c:pt idx="1741">
                  <c:v>ORD-11742</c:v>
                </c:pt>
                <c:pt idx="1742">
                  <c:v>ORD-11743</c:v>
                </c:pt>
                <c:pt idx="1743">
                  <c:v>ORD-11744</c:v>
                </c:pt>
                <c:pt idx="1744">
                  <c:v>ORD-11745</c:v>
                </c:pt>
                <c:pt idx="1745">
                  <c:v>ORD-11746</c:v>
                </c:pt>
                <c:pt idx="1746">
                  <c:v>ORD-11747</c:v>
                </c:pt>
                <c:pt idx="1747">
                  <c:v>ORD-11748</c:v>
                </c:pt>
                <c:pt idx="1748">
                  <c:v>ORD-11749</c:v>
                </c:pt>
                <c:pt idx="1749">
                  <c:v>ORD-11750</c:v>
                </c:pt>
                <c:pt idx="1750">
                  <c:v>ORD-11751</c:v>
                </c:pt>
                <c:pt idx="1751">
                  <c:v>ORD-11752</c:v>
                </c:pt>
                <c:pt idx="1752">
                  <c:v>ORD-11753</c:v>
                </c:pt>
                <c:pt idx="1753">
                  <c:v>ORD-11754</c:v>
                </c:pt>
                <c:pt idx="1754">
                  <c:v>ORD-11755</c:v>
                </c:pt>
                <c:pt idx="1755">
                  <c:v>ORD-11756</c:v>
                </c:pt>
                <c:pt idx="1756">
                  <c:v>ORD-11757</c:v>
                </c:pt>
                <c:pt idx="1757">
                  <c:v>ORD-11758</c:v>
                </c:pt>
                <c:pt idx="1758">
                  <c:v>ORD-11759</c:v>
                </c:pt>
                <c:pt idx="1759">
                  <c:v>ORD-11760</c:v>
                </c:pt>
                <c:pt idx="1760">
                  <c:v>ORD-11761</c:v>
                </c:pt>
                <c:pt idx="1761">
                  <c:v>ORD-11762</c:v>
                </c:pt>
                <c:pt idx="1762">
                  <c:v>ORD-11763</c:v>
                </c:pt>
                <c:pt idx="1763">
                  <c:v>ORD-11764</c:v>
                </c:pt>
                <c:pt idx="1764">
                  <c:v>ORD-11765</c:v>
                </c:pt>
                <c:pt idx="1765">
                  <c:v>ORD-11766</c:v>
                </c:pt>
                <c:pt idx="1766">
                  <c:v>ORD-11767</c:v>
                </c:pt>
                <c:pt idx="1767">
                  <c:v>ORD-11768</c:v>
                </c:pt>
                <c:pt idx="1768">
                  <c:v>ORD-11769</c:v>
                </c:pt>
                <c:pt idx="1769">
                  <c:v>ORD-11770</c:v>
                </c:pt>
                <c:pt idx="1770">
                  <c:v>ORD-11771</c:v>
                </c:pt>
                <c:pt idx="1771">
                  <c:v>ORD-11772</c:v>
                </c:pt>
                <c:pt idx="1772">
                  <c:v>ORD-11773</c:v>
                </c:pt>
                <c:pt idx="1773">
                  <c:v>ORD-11774</c:v>
                </c:pt>
                <c:pt idx="1774">
                  <c:v>ORD-11775</c:v>
                </c:pt>
                <c:pt idx="1775">
                  <c:v>ORD-11776</c:v>
                </c:pt>
                <c:pt idx="1776">
                  <c:v>ORD-11777</c:v>
                </c:pt>
                <c:pt idx="1777">
                  <c:v>ORD-11778</c:v>
                </c:pt>
                <c:pt idx="1778">
                  <c:v>ORD-11779</c:v>
                </c:pt>
                <c:pt idx="1779">
                  <c:v>ORD-11780</c:v>
                </c:pt>
                <c:pt idx="1780">
                  <c:v>ORD-11781</c:v>
                </c:pt>
                <c:pt idx="1781">
                  <c:v>ORD-11782</c:v>
                </c:pt>
                <c:pt idx="1782">
                  <c:v>ORD-11783</c:v>
                </c:pt>
                <c:pt idx="1783">
                  <c:v>ORD-11784</c:v>
                </c:pt>
                <c:pt idx="1784">
                  <c:v>ORD-11785</c:v>
                </c:pt>
                <c:pt idx="1785">
                  <c:v>ORD-11786</c:v>
                </c:pt>
                <c:pt idx="1786">
                  <c:v>ORD-11787</c:v>
                </c:pt>
                <c:pt idx="1787">
                  <c:v>ORD-11788</c:v>
                </c:pt>
                <c:pt idx="1788">
                  <c:v>ORD-11789</c:v>
                </c:pt>
                <c:pt idx="1789">
                  <c:v>ORD-11790</c:v>
                </c:pt>
                <c:pt idx="1790">
                  <c:v>ORD-11791</c:v>
                </c:pt>
                <c:pt idx="1791">
                  <c:v>ORD-11792</c:v>
                </c:pt>
                <c:pt idx="1792">
                  <c:v>ORD-11793</c:v>
                </c:pt>
                <c:pt idx="1793">
                  <c:v>ORD-11794</c:v>
                </c:pt>
                <c:pt idx="1794">
                  <c:v>ORD-11795</c:v>
                </c:pt>
                <c:pt idx="1795">
                  <c:v>ORD-11796</c:v>
                </c:pt>
                <c:pt idx="1796">
                  <c:v>ORD-11797</c:v>
                </c:pt>
                <c:pt idx="1797">
                  <c:v>ORD-11798</c:v>
                </c:pt>
                <c:pt idx="1798">
                  <c:v>ORD-11799</c:v>
                </c:pt>
                <c:pt idx="1799">
                  <c:v>ORD-11800</c:v>
                </c:pt>
                <c:pt idx="1800">
                  <c:v>ORD-11801</c:v>
                </c:pt>
                <c:pt idx="1801">
                  <c:v>ORD-11802</c:v>
                </c:pt>
                <c:pt idx="1802">
                  <c:v>ORD-11803</c:v>
                </c:pt>
                <c:pt idx="1803">
                  <c:v>ORD-11804</c:v>
                </c:pt>
                <c:pt idx="1804">
                  <c:v>ORD-11805</c:v>
                </c:pt>
                <c:pt idx="1805">
                  <c:v>ORD-11806</c:v>
                </c:pt>
                <c:pt idx="1806">
                  <c:v>ORD-11807</c:v>
                </c:pt>
                <c:pt idx="1807">
                  <c:v>ORD-11808</c:v>
                </c:pt>
                <c:pt idx="1808">
                  <c:v>ORD-11809</c:v>
                </c:pt>
                <c:pt idx="1809">
                  <c:v>ORD-11810</c:v>
                </c:pt>
                <c:pt idx="1810">
                  <c:v>ORD-11811</c:v>
                </c:pt>
                <c:pt idx="1811">
                  <c:v>ORD-11812</c:v>
                </c:pt>
                <c:pt idx="1812">
                  <c:v>ORD-11813</c:v>
                </c:pt>
                <c:pt idx="1813">
                  <c:v>ORD-11814</c:v>
                </c:pt>
                <c:pt idx="1814">
                  <c:v>ORD-11815</c:v>
                </c:pt>
                <c:pt idx="1815">
                  <c:v>ORD-11816</c:v>
                </c:pt>
                <c:pt idx="1816">
                  <c:v>ORD-11817</c:v>
                </c:pt>
                <c:pt idx="1817">
                  <c:v>ORD-11818</c:v>
                </c:pt>
                <c:pt idx="1818">
                  <c:v>ORD-11819</c:v>
                </c:pt>
                <c:pt idx="1819">
                  <c:v>ORD-11820</c:v>
                </c:pt>
                <c:pt idx="1820">
                  <c:v>ORD-11821</c:v>
                </c:pt>
                <c:pt idx="1821">
                  <c:v>ORD-11822</c:v>
                </c:pt>
                <c:pt idx="1822">
                  <c:v>ORD-11823</c:v>
                </c:pt>
                <c:pt idx="1823">
                  <c:v>ORD-11824</c:v>
                </c:pt>
                <c:pt idx="1824">
                  <c:v>ORD-11825</c:v>
                </c:pt>
                <c:pt idx="1825">
                  <c:v>ORD-11826</c:v>
                </c:pt>
                <c:pt idx="1826">
                  <c:v>ORD-11827</c:v>
                </c:pt>
                <c:pt idx="1827">
                  <c:v>ORD-11828</c:v>
                </c:pt>
                <c:pt idx="1828">
                  <c:v>ORD-11829</c:v>
                </c:pt>
                <c:pt idx="1829">
                  <c:v>ORD-11830</c:v>
                </c:pt>
                <c:pt idx="1830">
                  <c:v>ORD-11831</c:v>
                </c:pt>
                <c:pt idx="1831">
                  <c:v>ORD-11832</c:v>
                </c:pt>
                <c:pt idx="1832">
                  <c:v>ORD-11833</c:v>
                </c:pt>
                <c:pt idx="1833">
                  <c:v>ORD-11834</c:v>
                </c:pt>
                <c:pt idx="1834">
                  <c:v>ORD-11835</c:v>
                </c:pt>
                <c:pt idx="1835">
                  <c:v>ORD-11836</c:v>
                </c:pt>
                <c:pt idx="1836">
                  <c:v>ORD-11837</c:v>
                </c:pt>
                <c:pt idx="1837">
                  <c:v>ORD-11838</c:v>
                </c:pt>
                <c:pt idx="1838">
                  <c:v>ORD-11839</c:v>
                </c:pt>
                <c:pt idx="1839">
                  <c:v>ORD-11840</c:v>
                </c:pt>
                <c:pt idx="1840">
                  <c:v>ORD-11841</c:v>
                </c:pt>
                <c:pt idx="1841">
                  <c:v>ORD-11842</c:v>
                </c:pt>
                <c:pt idx="1842">
                  <c:v>ORD-11843</c:v>
                </c:pt>
                <c:pt idx="1843">
                  <c:v>ORD-11844</c:v>
                </c:pt>
                <c:pt idx="1844">
                  <c:v>ORD-11845</c:v>
                </c:pt>
                <c:pt idx="1845">
                  <c:v>ORD-11846</c:v>
                </c:pt>
                <c:pt idx="1846">
                  <c:v>ORD-11847</c:v>
                </c:pt>
                <c:pt idx="1847">
                  <c:v>ORD-11848</c:v>
                </c:pt>
                <c:pt idx="1848">
                  <c:v>ORD-11849</c:v>
                </c:pt>
                <c:pt idx="1849">
                  <c:v>ORD-11850</c:v>
                </c:pt>
                <c:pt idx="1850">
                  <c:v>ORD-11851</c:v>
                </c:pt>
                <c:pt idx="1851">
                  <c:v>ORD-11852</c:v>
                </c:pt>
                <c:pt idx="1852">
                  <c:v>ORD-11853</c:v>
                </c:pt>
                <c:pt idx="1853">
                  <c:v>ORD-11854</c:v>
                </c:pt>
                <c:pt idx="1854">
                  <c:v>ORD-11855</c:v>
                </c:pt>
                <c:pt idx="1855">
                  <c:v>ORD-11856</c:v>
                </c:pt>
                <c:pt idx="1856">
                  <c:v>ORD-11857</c:v>
                </c:pt>
                <c:pt idx="1857">
                  <c:v>ORD-11858</c:v>
                </c:pt>
                <c:pt idx="1858">
                  <c:v>ORD-11859</c:v>
                </c:pt>
                <c:pt idx="1859">
                  <c:v>ORD-11860</c:v>
                </c:pt>
                <c:pt idx="1860">
                  <c:v>ORD-11861</c:v>
                </c:pt>
                <c:pt idx="1861">
                  <c:v>ORD-11862</c:v>
                </c:pt>
                <c:pt idx="1862">
                  <c:v>ORD-11863</c:v>
                </c:pt>
                <c:pt idx="1863">
                  <c:v>ORD-11864</c:v>
                </c:pt>
                <c:pt idx="1864">
                  <c:v>ORD-11865</c:v>
                </c:pt>
                <c:pt idx="1865">
                  <c:v>ORD-11866</c:v>
                </c:pt>
                <c:pt idx="1866">
                  <c:v>ORD-11867</c:v>
                </c:pt>
                <c:pt idx="1867">
                  <c:v>ORD-11868</c:v>
                </c:pt>
                <c:pt idx="1868">
                  <c:v>ORD-11869</c:v>
                </c:pt>
                <c:pt idx="1869">
                  <c:v>ORD-11870</c:v>
                </c:pt>
                <c:pt idx="1870">
                  <c:v>ORD-11871</c:v>
                </c:pt>
                <c:pt idx="1871">
                  <c:v>ORD-11872</c:v>
                </c:pt>
                <c:pt idx="1872">
                  <c:v>ORD-11873</c:v>
                </c:pt>
                <c:pt idx="1873">
                  <c:v>ORD-11874</c:v>
                </c:pt>
                <c:pt idx="1874">
                  <c:v>ORD-11875</c:v>
                </c:pt>
                <c:pt idx="1875">
                  <c:v>ORD-11876</c:v>
                </c:pt>
                <c:pt idx="1876">
                  <c:v>ORD-11877</c:v>
                </c:pt>
                <c:pt idx="1877">
                  <c:v>ORD-11878</c:v>
                </c:pt>
                <c:pt idx="1878">
                  <c:v>ORD-11879</c:v>
                </c:pt>
                <c:pt idx="1879">
                  <c:v>ORD-11880</c:v>
                </c:pt>
                <c:pt idx="1880">
                  <c:v>ORD-11881</c:v>
                </c:pt>
                <c:pt idx="1881">
                  <c:v>ORD-11882</c:v>
                </c:pt>
                <c:pt idx="1882">
                  <c:v>ORD-11883</c:v>
                </c:pt>
                <c:pt idx="1883">
                  <c:v>ORD-11884</c:v>
                </c:pt>
                <c:pt idx="1884">
                  <c:v>ORD-11885</c:v>
                </c:pt>
                <c:pt idx="1885">
                  <c:v>ORD-11886</c:v>
                </c:pt>
                <c:pt idx="1886">
                  <c:v>ORD-11887</c:v>
                </c:pt>
                <c:pt idx="1887">
                  <c:v>ORD-11888</c:v>
                </c:pt>
                <c:pt idx="1888">
                  <c:v>ORD-11889</c:v>
                </c:pt>
                <c:pt idx="1889">
                  <c:v>ORD-11890</c:v>
                </c:pt>
                <c:pt idx="1890">
                  <c:v>ORD-11891</c:v>
                </c:pt>
                <c:pt idx="1891">
                  <c:v>ORD-11892</c:v>
                </c:pt>
                <c:pt idx="1892">
                  <c:v>ORD-11893</c:v>
                </c:pt>
                <c:pt idx="1893">
                  <c:v>ORD-11894</c:v>
                </c:pt>
                <c:pt idx="1894">
                  <c:v>ORD-11895</c:v>
                </c:pt>
                <c:pt idx="1895">
                  <c:v>ORD-11896</c:v>
                </c:pt>
                <c:pt idx="1896">
                  <c:v>ORD-11897</c:v>
                </c:pt>
                <c:pt idx="1897">
                  <c:v>ORD-11898</c:v>
                </c:pt>
                <c:pt idx="1898">
                  <c:v>ORD-11899</c:v>
                </c:pt>
                <c:pt idx="1899">
                  <c:v>ORD-11900</c:v>
                </c:pt>
                <c:pt idx="1900">
                  <c:v>ORD-11901</c:v>
                </c:pt>
                <c:pt idx="1901">
                  <c:v>ORD-11902</c:v>
                </c:pt>
                <c:pt idx="1902">
                  <c:v>ORD-11903</c:v>
                </c:pt>
                <c:pt idx="1903">
                  <c:v>ORD-11904</c:v>
                </c:pt>
                <c:pt idx="1904">
                  <c:v>ORD-11905</c:v>
                </c:pt>
                <c:pt idx="1905">
                  <c:v>ORD-11906</c:v>
                </c:pt>
                <c:pt idx="1906">
                  <c:v>ORD-11907</c:v>
                </c:pt>
                <c:pt idx="1907">
                  <c:v>ORD-11908</c:v>
                </c:pt>
                <c:pt idx="1908">
                  <c:v>ORD-11909</c:v>
                </c:pt>
                <c:pt idx="1909">
                  <c:v>ORD-11910</c:v>
                </c:pt>
                <c:pt idx="1910">
                  <c:v>ORD-11911</c:v>
                </c:pt>
                <c:pt idx="1911">
                  <c:v>ORD-11912</c:v>
                </c:pt>
                <c:pt idx="1912">
                  <c:v>ORD-11913</c:v>
                </c:pt>
                <c:pt idx="1913">
                  <c:v>ORD-11914</c:v>
                </c:pt>
                <c:pt idx="1914">
                  <c:v>ORD-11915</c:v>
                </c:pt>
                <c:pt idx="1915">
                  <c:v>ORD-11916</c:v>
                </c:pt>
                <c:pt idx="1916">
                  <c:v>ORD-11917</c:v>
                </c:pt>
                <c:pt idx="1917">
                  <c:v>ORD-11918</c:v>
                </c:pt>
                <c:pt idx="1918">
                  <c:v>ORD-11919</c:v>
                </c:pt>
                <c:pt idx="1919">
                  <c:v>ORD-11920</c:v>
                </c:pt>
                <c:pt idx="1920">
                  <c:v>ORD-11921</c:v>
                </c:pt>
                <c:pt idx="1921">
                  <c:v>ORD-11922</c:v>
                </c:pt>
                <c:pt idx="1922">
                  <c:v>ORD-11923</c:v>
                </c:pt>
                <c:pt idx="1923">
                  <c:v>ORD-11924</c:v>
                </c:pt>
                <c:pt idx="1924">
                  <c:v>ORD-11925</c:v>
                </c:pt>
                <c:pt idx="1925">
                  <c:v>ORD-11926</c:v>
                </c:pt>
                <c:pt idx="1926">
                  <c:v>ORD-11927</c:v>
                </c:pt>
                <c:pt idx="1927">
                  <c:v>ORD-11928</c:v>
                </c:pt>
                <c:pt idx="1928">
                  <c:v>ORD-11929</c:v>
                </c:pt>
                <c:pt idx="1929">
                  <c:v>ORD-11930</c:v>
                </c:pt>
                <c:pt idx="1930">
                  <c:v>ORD-11931</c:v>
                </c:pt>
                <c:pt idx="1931">
                  <c:v>ORD-11932</c:v>
                </c:pt>
                <c:pt idx="1932">
                  <c:v>ORD-11933</c:v>
                </c:pt>
                <c:pt idx="1933">
                  <c:v>ORD-11934</c:v>
                </c:pt>
                <c:pt idx="1934">
                  <c:v>ORD-11935</c:v>
                </c:pt>
                <c:pt idx="1935">
                  <c:v>ORD-11936</c:v>
                </c:pt>
                <c:pt idx="1936">
                  <c:v>ORD-11937</c:v>
                </c:pt>
                <c:pt idx="1937">
                  <c:v>ORD-11938</c:v>
                </c:pt>
                <c:pt idx="1938">
                  <c:v>ORD-11939</c:v>
                </c:pt>
                <c:pt idx="1939">
                  <c:v>ORD-11940</c:v>
                </c:pt>
                <c:pt idx="1940">
                  <c:v>ORD-11941</c:v>
                </c:pt>
                <c:pt idx="1941">
                  <c:v>ORD-11942</c:v>
                </c:pt>
                <c:pt idx="1942">
                  <c:v>ORD-11943</c:v>
                </c:pt>
                <c:pt idx="1943">
                  <c:v>ORD-11944</c:v>
                </c:pt>
                <c:pt idx="1944">
                  <c:v>ORD-11945</c:v>
                </c:pt>
                <c:pt idx="1945">
                  <c:v>ORD-11946</c:v>
                </c:pt>
                <c:pt idx="1946">
                  <c:v>ORD-11947</c:v>
                </c:pt>
                <c:pt idx="1947">
                  <c:v>ORD-11948</c:v>
                </c:pt>
                <c:pt idx="1948">
                  <c:v>ORD-11949</c:v>
                </c:pt>
                <c:pt idx="1949">
                  <c:v>ORD-11950</c:v>
                </c:pt>
                <c:pt idx="1950">
                  <c:v>ORD-11951</c:v>
                </c:pt>
                <c:pt idx="1951">
                  <c:v>ORD-11952</c:v>
                </c:pt>
                <c:pt idx="1952">
                  <c:v>ORD-11953</c:v>
                </c:pt>
                <c:pt idx="1953">
                  <c:v>ORD-11954</c:v>
                </c:pt>
                <c:pt idx="1954">
                  <c:v>ORD-11955</c:v>
                </c:pt>
                <c:pt idx="1955">
                  <c:v>ORD-11956</c:v>
                </c:pt>
                <c:pt idx="1956">
                  <c:v>ORD-11957</c:v>
                </c:pt>
                <c:pt idx="1957">
                  <c:v>ORD-11958</c:v>
                </c:pt>
                <c:pt idx="1958">
                  <c:v>ORD-11959</c:v>
                </c:pt>
                <c:pt idx="1959">
                  <c:v>ORD-11960</c:v>
                </c:pt>
                <c:pt idx="1960">
                  <c:v>ORD-11961</c:v>
                </c:pt>
                <c:pt idx="1961">
                  <c:v>ORD-11962</c:v>
                </c:pt>
                <c:pt idx="1962">
                  <c:v>ORD-11963</c:v>
                </c:pt>
                <c:pt idx="1963">
                  <c:v>ORD-11964</c:v>
                </c:pt>
                <c:pt idx="1964">
                  <c:v>ORD-11965</c:v>
                </c:pt>
                <c:pt idx="1965">
                  <c:v>ORD-11966</c:v>
                </c:pt>
                <c:pt idx="1966">
                  <c:v>ORD-11967</c:v>
                </c:pt>
                <c:pt idx="1967">
                  <c:v>ORD-11968</c:v>
                </c:pt>
                <c:pt idx="1968">
                  <c:v>ORD-11969</c:v>
                </c:pt>
                <c:pt idx="1969">
                  <c:v>ORD-11970</c:v>
                </c:pt>
                <c:pt idx="1970">
                  <c:v>ORD-11971</c:v>
                </c:pt>
                <c:pt idx="1971">
                  <c:v>ORD-11972</c:v>
                </c:pt>
                <c:pt idx="1972">
                  <c:v>ORD-11973</c:v>
                </c:pt>
                <c:pt idx="1973">
                  <c:v>ORD-11974</c:v>
                </c:pt>
                <c:pt idx="1974">
                  <c:v>ORD-11975</c:v>
                </c:pt>
                <c:pt idx="1975">
                  <c:v>ORD-11976</c:v>
                </c:pt>
                <c:pt idx="1976">
                  <c:v>ORD-11977</c:v>
                </c:pt>
                <c:pt idx="1977">
                  <c:v>ORD-11978</c:v>
                </c:pt>
                <c:pt idx="1978">
                  <c:v>ORD-11979</c:v>
                </c:pt>
                <c:pt idx="1979">
                  <c:v>ORD-11980</c:v>
                </c:pt>
                <c:pt idx="1980">
                  <c:v>ORD-11981</c:v>
                </c:pt>
                <c:pt idx="1981">
                  <c:v>ORD-11982</c:v>
                </c:pt>
                <c:pt idx="1982">
                  <c:v>ORD-11983</c:v>
                </c:pt>
                <c:pt idx="1983">
                  <c:v>ORD-11984</c:v>
                </c:pt>
                <c:pt idx="1984">
                  <c:v>ORD-11985</c:v>
                </c:pt>
                <c:pt idx="1985">
                  <c:v>ORD-11986</c:v>
                </c:pt>
                <c:pt idx="1986">
                  <c:v>ORD-11987</c:v>
                </c:pt>
                <c:pt idx="1987">
                  <c:v>ORD-11988</c:v>
                </c:pt>
                <c:pt idx="1988">
                  <c:v>ORD-11989</c:v>
                </c:pt>
                <c:pt idx="1989">
                  <c:v>ORD-11990</c:v>
                </c:pt>
                <c:pt idx="1990">
                  <c:v>ORD-11991</c:v>
                </c:pt>
                <c:pt idx="1991">
                  <c:v>ORD-11992</c:v>
                </c:pt>
                <c:pt idx="1992">
                  <c:v>ORD-11993</c:v>
                </c:pt>
                <c:pt idx="1993">
                  <c:v>ORD-11994</c:v>
                </c:pt>
                <c:pt idx="1994">
                  <c:v>ORD-11995</c:v>
                </c:pt>
                <c:pt idx="1995">
                  <c:v>ORD-11996</c:v>
                </c:pt>
                <c:pt idx="1996">
                  <c:v>ORD-11997</c:v>
                </c:pt>
                <c:pt idx="1997">
                  <c:v>ORD-11998</c:v>
                </c:pt>
                <c:pt idx="1998">
                  <c:v>ORD-11999</c:v>
                </c:pt>
                <c:pt idx="1999">
                  <c:v>ORD-12000</c:v>
                </c:pt>
              </c:strCache>
            </c:strRef>
          </c:cat>
          <c:val>
            <c:numRef>
              <c:f>Sheet9!$B$4:$B$2004</c:f>
              <c:numCache>
                <c:formatCode>0.00</c:formatCode>
                <c:ptCount val="2000"/>
                <c:pt idx="0">
                  <c:v>3.56</c:v>
                </c:pt>
                <c:pt idx="1">
                  <c:v>40.130000000000003</c:v>
                </c:pt>
                <c:pt idx="2">
                  <c:v>24.98</c:v>
                </c:pt>
                <c:pt idx="3">
                  <c:v>413.7</c:v>
                </c:pt>
                <c:pt idx="4">
                  <c:v>-0.01</c:v>
                </c:pt>
                <c:pt idx="5">
                  <c:v>-0.71</c:v>
                </c:pt>
                <c:pt idx="6">
                  <c:v>139.12</c:v>
                </c:pt>
                <c:pt idx="7">
                  <c:v>-3.55</c:v>
                </c:pt>
                <c:pt idx="8">
                  <c:v>37.46</c:v>
                </c:pt>
                <c:pt idx="9">
                  <c:v>174.52</c:v>
                </c:pt>
                <c:pt idx="10">
                  <c:v>646.52</c:v>
                </c:pt>
                <c:pt idx="11">
                  <c:v>11.46</c:v>
                </c:pt>
                <c:pt idx="12">
                  <c:v>60</c:v>
                </c:pt>
                <c:pt idx="13">
                  <c:v>79.67</c:v>
                </c:pt>
                <c:pt idx="14">
                  <c:v>9.14</c:v>
                </c:pt>
                <c:pt idx="15">
                  <c:v>91.6</c:v>
                </c:pt>
                <c:pt idx="16">
                  <c:v>14.57</c:v>
                </c:pt>
                <c:pt idx="17">
                  <c:v>83.79</c:v>
                </c:pt>
                <c:pt idx="18">
                  <c:v>43.58</c:v>
                </c:pt>
                <c:pt idx="19">
                  <c:v>58.02</c:v>
                </c:pt>
                <c:pt idx="20">
                  <c:v>20.95</c:v>
                </c:pt>
                <c:pt idx="21">
                  <c:v>45.17</c:v>
                </c:pt>
                <c:pt idx="22">
                  <c:v>-1.95</c:v>
                </c:pt>
                <c:pt idx="23">
                  <c:v>-11.28</c:v>
                </c:pt>
                <c:pt idx="24">
                  <c:v>74.59</c:v>
                </c:pt>
                <c:pt idx="25">
                  <c:v>23.67</c:v>
                </c:pt>
                <c:pt idx="26">
                  <c:v>40.92</c:v>
                </c:pt>
                <c:pt idx="27">
                  <c:v>43.54</c:v>
                </c:pt>
                <c:pt idx="28">
                  <c:v>29.08</c:v>
                </c:pt>
                <c:pt idx="29">
                  <c:v>1.08</c:v>
                </c:pt>
                <c:pt idx="30">
                  <c:v>105.1</c:v>
                </c:pt>
                <c:pt idx="31">
                  <c:v>29.66</c:v>
                </c:pt>
                <c:pt idx="32">
                  <c:v>106.32</c:v>
                </c:pt>
                <c:pt idx="33">
                  <c:v>-4.3899999999999997</c:v>
                </c:pt>
                <c:pt idx="34">
                  <c:v>389.06</c:v>
                </c:pt>
                <c:pt idx="35">
                  <c:v>185.39</c:v>
                </c:pt>
                <c:pt idx="36">
                  <c:v>101.45</c:v>
                </c:pt>
                <c:pt idx="37">
                  <c:v>2.5099999999999998</c:v>
                </c:pt>
                <c:pt idx="38">
                  <c:v>16.38</c:v>
                </c:pt>
                <c:pt idx="39">
                  <c:v>-0.76</c:v>
                </c:pt>
                <c:pt idx="40">
                  <c:v>13.45</c:v>
                </c:pt>
                <c:pt idx="41">
                  <c:v>89.26</c:v>
                </c:pt>
                <c:pt idx="42">
                  <c:v>61.48</c:v>
                </c:pt>
                <c:pt idx="43">
                  <c:v>129.05000000000001</c:v>
                </c:pt>
                <c:pt idx="44">
                  <c:v>-3.63</c:v>
                </c:pt>
                <c:pt idx="45">
                  <c:v>7.76</c:v>
                </c:pt>
                <c:pt idx="46">
                  <c:v>85.2</c:v>
                </c:pt>
                <c:pt idx="47">
                  <c:v>2.09</c:v>
                </c:pt>
                <c:pt idx="48">
                  <c:v>-7.15</c:v>
                </c:pt>
                <c:pt idx="49">
                  <c:v>7.37</c:v>
                </c:pt>
                <c:pt idx="50">
                  <c:v>10.47</c:v>
                </c:pt>
                <c:pt idx="51">
                  <c:v>22.87</c:v>
                </c:pt>
                <c:pt idx="52">
                  <c:v>87.13</c:v>
                </c:pt>
                <c:pt idx="53">
                  <c:v>1.89</c:v>
                </c:pt>
                <c:pt idx="54">
                  <c:v>36.78</c:v>
                </c:pt>
                <c:pt idx="55">
                  <c:v>11.65</c:v>
                </c:pt>
                <c:pt idx="56">
                  <c:v>274.69</c:v>
                </c:pt>
                <c:pt idx="57">
                  <c:v>266.81</c:v>
                </c:pt>
                <c:pt idx="58">
                  <c:v>346.19</c:v>
                </c:pt>
                <c:pt idx="59">
                  <c:v>-7.68</c:v>
                </c:pt>
                <c:pt idx="60">
                  <c:v>460.6</c:v>
                </c:pt>
                <c:pt idx="61">
                  <c:v>139.03</c:v>
                </c:pt>
                <c:pt idx="62">
                  <c:v>78.28</c:v>
                </c:pt>
                <c:pt idx="63">
                  <c:v>2.4300000000000002</c:v>
                </c:pt>
                <c:pt idx="64">
                  <c:v>-2.73</c:v>
                </c:pt>
                <c:pt idx="65">
                  <c:v>10.7</c:v>
                </c:pt>
                <c:pt idx="66">
                  <c:v>65.58</c:v>
                </c:pt>
                <c:pt idx="67">
                  <c:v>21.09</c:v>
                </c:pt>
                <c:pt idx="68">
                  <c:v>27.81</c:v>
                </c:pt>
                <c:pt idx="69">
                  <c:v>247.62</c:v>
                </c:pt>
                <c:pt idx="70">
                  <c:v>194.02</c:v>
                </c:pt>
                <c:pt idx="71">
                  <c:v>51.43</c:v>
                </c:pt>
                <c:pt idx="72">
                  <c:v>50.5</c:v>
                </c:pt>
                <c:pt idx="73">
                  <c:v>63.26</c:v>
                </c:pt>
                <c:pt idx="74">
                  <c:v>-8.26</c:v>
                </c:pt>
                <c:pt idx="75">
                  <c:v>34.64</c:v>
                </c:pt>
                <c:pt idx="76">
                  <c:v>25.41</c:v>
                </c:pt>
                <c:pt idx="77">
                  <c:v>155.03</c:v>
                </c:pt>
                <c:pt idx="78">
                  <c:v>48.33</c:v>
                </c:pt>
                <c:pt idx="79">
                  <c:v>178.79</c:v>
                </c:pt>
                <c:pt idx="80">
                  <c:v>13.51</c:v>
                </c:pt>
                <c:pt idx="81">
                  <c:v>25.94</c:v>
                </c:pt>
                <c:pt idx="82">
                  <c:v>-2.67</c:v>
                </c:pt>
                <c:pt idx="83">
                  <c:v>50.19</c:v>
                </c:pt>
                <c:pt idx="84">
                  <c:v>47.2</c:v>
                </c:pt>
                <c:pt idx="85">
                  <c:v>19.149999999999999</c:v>
                </c:pt>
                <c:pt idx="86">
                  <c:v>701.93</c:v>
                </c:pt>
                <c:pt idx="87">
                  <c:v>67.88</c:v>
                </c:pt>
                <c:pt idx="88">
                  <c:v>132.69999999999999</c:v>
                </c:pt>
                <c:pt idx="89">
                  <c:v>15.76</c:v>
                </c:pt>
                <c:pt idx="90">
                  <c:v>14.94</c:v>
                </c:pt>
                <c:pt idx="91">
                  <c:v>52.95</c:v>
                </c:pt>
                <c:pt idx="92">
                  <c:v>179.52</c:v>
                </c:pt>
                <c:pt idx="93">
                  <c:v>0.33</c:v>
                </c:pt>
                <c:pt idx="94">
                  <c:v>125.37</c:v>
                </c:pt>
                <c:pt idx="95">
                  <c:v>57.64</c:v>
                </c:pt>
                <c:pt idx="96">
                  <c:v>1.04</c:v>
                </c:pt>
                <c:pt idx="97">
                  <c:v>54.76</c:v>
                </c:pt>
                <c:pt idx="98">
                  <c:v>-2.68</c:v>
                </c:pt>
                <c:pt idx="99">
                  <c:v>25.88</c:v>
                </c:pt>
                <c:pt idx="100">
                  <c:v>53.86</c:v>
                </c:pt>
                <c:pt idx="101">
                  <c:v>128.75</c:v>
                </c:pt>
                <c:pt idx="102">
                  <c:v>23.83</c:v>
                </c:pt>
                <c:pt idx="103">
                  <c:v>0.14000000000000001</c:v>
                </c:pt>
                <c:pt idx="104">
                  <c:v>26.11</c:v>
                </c:pt>
                <c:pt idx="105">
                  <c:v>36.53</c:v>
                </c:pt>
                <c:pt idx="106">
                  <c:v>-6.11</c:v>
                </c:pt>
                <c:pt idx="107">
                  <c:v>44.8</c:v>
                </c:pt>
                <c:pt idx="108">
                  <c:v>22.41</c:v>
                </c:pt>
                <c:pt idx="109">
                  <c:v>20.350000000000001</c:v>
                </c:pt>
                <c:pt idx="110">
                  <c:v>31.68</c:v>
                </c:pt>
                <c:pt idx="111">
                  <c:v>74.05</c:v>
                </c:pt>
                <c:pt idx="112">
                  <c:v>27.71</c:v>
                </c:pt>
                <c:pt idx="113">
                  <c:v>131.02000000000001</c:v>
                </c:pt>
                <c:pt idx="114">
                  <c:v>13.96</c:v>
                </c:pt>
                <c:pt idx="115">
                  <c:v>23.33</c:v>
                </c:pt>
                <c:pt idx="116">
                  <c:v>4.25</c:v>
                </c:pt>
                <c:pt idx="117">
                  <c:v>120.46</c:v>
                </c:pt>
                <c:pt idx="118">
                  <c:v>36.81</c:v>
                </c:pt>
                <c:pt idx="119">
                  <c:v>35.15</c:v>
                </c:pt>
                <c:pt idx="120">
                  <c:v>8.83</c:v>
                </c:pt>
                <c:pt idx="121">
                  <c:v>1.18</c:v>
                </c:pt>
                <c:pt idx="122">
                  <c:v>45.96</c:v>
                </c:pt>
                <c:pt idx="123">
                  <c:v>12.09</c:v>
                </c:pt>
                <c:pt idx="124">
                  <c:v>47.71</c:v>
                </c:pt>
                <c:pt idx="125">
                  <c:v>90.91</c:v>
                </c:pt>
                <c:pt idx="126">
                  <c:v>34.01</c:v>
                </c:pt>
                <c:pt idx="127">
                  <c:v>-5.24</c:v>
                </c:pt>
                <c:pt idx="128">
                  <c:v>77.25</c:v>
                </c:pt>
                <c:pt idx="129">
                  <c:v>57.16</c:v>
                </c:pt>
                <c:pt idx="130">
                  <c:v>33.67</c:v>
                </c:pt>
                <c:pt idx="131">
                  <c:v>464.29</c:v>
                </c:pt>
                <c:pt idx="132">
                  <c:v>9.56</c:v>
                </c:pt>
                <c:pt idx="133">
                  <c:v>58.19</c:v>
                </c:pt>
                <c:pt idx="134">
                  <c:v>146.47</c:v>
                </c:pt>
                <c:pt idx="135">
                  <c:v>6.68</c:v>
                </c:pt>
                <c:pt idx="136">
                  <c:v>25.22</c:v>
                </c:pt>
                <c:pt idx="137">
                  <c:v>12.81</c:v>
                </c:pt>
                <c:pt idx="138">
                  <c:v>47.6</c:v>
                </c:pt>
                <c:pt idx="139">
                  <c:v>19.510000000000002</c:v>
                </c:pt>
                <c:pt idx="140">
                  <c:v>-0.38</c:v>
                </c:pt>
                <c:pt idx="141">
                  <c:v>15.69</c:v>
                </c:pt>
                <c:pt idx="142">
                  <c:v>-2.89</c:v>
                </c:pt>
                <c:pt idx="143">
                  <c:v>2.76</c:v>
                </c:pt>
                <c:pt idx="144">
                  <c:v>27.01</c:v>
                </c:pt>
                <c:pt idx="145">
                  <c:v>657.16</c:v>
                </c:pt>
                <c:pt idx="146">
                  <c:v>24.09</c:v>
                </c:pt>
                <c:pt idx="147">
                  <c:v>-8.07</c:v>
                </c:pt>
                <c:pt idx="148">
                  <c:v>29.07</c:v>
                </c:pt>
                <c:pt idx="149">
                  <c:v>370.69</c:v>
                </c:pt>
                <c:pt idx="150">
                  <c:v>-1.69</c:v>
                </c:pt>
                <c:pt idx="151">
                  <c:v>47.74</c:v>
                </c:pt>
                <c:pt idx="152">
                  <c:v>55.33</c:v>
                </c:pt>
                <c:pt idx="153">
                  <c:v>166.41</c:v>
                </c:pt>
                <c:pt idx="154">
                  <c:v>8.42</c:v>
                </c:pt>
                <c:pt idx="155">
                  <c:v>16.14</c:v>
                </c:pt>
                <c:pt idx="156">
                  <c:v>5.66</c:v>
                </c:pt>
                <c:pt idx="157">
                  <c:v>503.45</c:v>
                </c:pt>
                <c:pt idx="158">
                  <c:v>10.93</c:v>
                </c:pt>
                <c:pt idx="159">
                  <c:v>295.87</c:v>
                </c:pt>
                <c:pt idx="160">
                  <c:v>-0.5</c:v>
                </c:pt>
                <c:pt idx="161">
                  <c:v>1.33</c:v>
                </c:pt>
                <c:pt idx="162">
                  <c:v>60.66</c:v>
                </c:pt>
                <c:pt idx="163">
                  <c:v>90.6</c:v>
                </c:pt>
                <c:pt idx="164">
                  <c:v>10.83</c:v>
                </c:pt>
                <c:pt idx="165">
                  <c:v>155.44</c:v>
                </c:pt>
                <c:pt idx="166">
                  <c:v>-4.43</c:v>
                </c:pt>
                <c:pt idx="167">
                  <c:v>-1.8</c:v>
                </c:pt>
                <c:pt idx="168">
                  <c:v>14.19</c:v>
                </c:pt>
                <c:pt idx="169">
                  <c:v>667.79</c:v>
                </c:pt>
                <c:pt idx="170">
                  <c:v>14.28</c:v>
                </c:pt>
                <c:pt idx="171">
                  <c:v>200.48</c:v>
                </c:pt>
                <c:pt idx="172">
                  <c:v>95.27</c:v>
                </c:pt>
                <c:pt idx="173">
                  <c:v>18.28</c:v>
                </c:pt>
                <c:pt idx="174">
                  <c:v>103.04</c:v>
                </c:pt>
                <c:pt idx="175">
                  <c:v>109.12</c:v>
                </c:pt>
                <c:pt idx="176">
                  <c:v>34.32</c:v>
                </c:pt>
                <c:pt idx="177">
                  <c:v>2.08</c:v>
                </c:pt>
                <c:pt idx="178">
                  <c:v>101.71</c:v>
                </c:pt>
                <c:pt idx="179">
                  <c:v>124.82</c:v>
                </c:pt>
                <c:pt idx="180">
                  <c:v>19.739999999999998</c:v>
                </c:pt>
                <c:pt idx="181">
                  <c:v>101.55</c:v>
                </c:pt>
                <c:pt idx="182">
                  <c:v>248.72</c:v>
                </c:pt>
                <c:pt idx="183">
                  <c:v>29.97</c:v>
                </c:pt>
                <c:pt idx="184">
                  <c:v>163.09</c:v>
                </c:pt>
                <c:pt idx="185">
                  <c:v>134.01</c:v>
                </c:pt>
                <c:pt idx="186">
                  <c:v>-6.98</c:v>
                </c:pt>
                <c:pt idx="187">
                  <c:v>338.84</c:v>
                </c:pt>
                <c:pt idx="188">
                  <c:v>9.3800000000000008</c:v>
                </c:pt>
                <c:pt idx="189">
                  <c:v>1.1499999999999999</c:v>
                </c:pt>
                <c:pt idx="190">
                  <c:v>98.99</c:v>
                </c:pt>
                <c:pt idx="191">
                  <c:v>32.200000000000003</c:v>
                </c:pt>
                <c:pt idx="192">
                  <c:v>-1.61</c:v>
                </c:pt>
                <c:pt idx="193">
                  <c:v>106.85</c:v>
                </c:pt>
                <c:pt idx="194">
                  <c:v>38.46</c:v>
                </c:pt>
                <c:pt idx="195">
                  <c:v>20.45</c:v>
                </c:pt>
                <c:pt idx="196">
                  <c:v>-3.98</c:v>
                </c:pt>
                <c:pt idx="197">
                  <c:v>-0.17</c:v>
                </c:pt>
                <c:pt idx="198">
                  <c:v>33</c:v>
                </c:pt>
                <c:pt idx="199">
                  <c:v>155.69</c:v>
                </c:pt>
                <c:pt idx="200">
                  <c:v>-7.92</c:v>
                </c:pt>
                <c:pt idx="201">
                  <c:v>4.45</c:v>
                </c:pt>
                <c:pt idx="202">
                  <c:v>272.54000000000002</c:v>
                </c:pt>
                <c:pt idx="203">
                  <c:v>89.67</c:v>
                </c:pt>
                <c:pt idx="204">
                  <c:v>72.7</c:v>
                </c:pt>
                <c:pt idx="205">
                  <c:v>59.82</c:v>
                </c:pt>
                <c:pt idx="206">
                  <c:v>54.62</c:v>
                </c:pt>
                <c:pt idx="207">
                  <c:v>47.9</c:v>
                </c:pt>
                <c:pt idx="208">
                  <c:v>-3.59</c:v>
                </c:pt>
                <c:pt idx="209">
                  <c:v>273.61</c:v>
                </c:pt>
                <c:pt idx="210">
                  <c:v>4.6900000000000004</c:v>
                </c:pt>
                <c:pt idx="211">
                  <c:v>39.840000000000003</c:v>
                </c:pt>
                <c:pt idx="212">
                  <c:v>33.68</c:v>
                </c:pt>
                <c:pt idx="213">
                  <c:v>132.07</c:v>
                </c:pt>
                <c:pt idx="214">
                  <c:v>138.19</c:v>
                </c:pt>
                <c:pt idx="215">
                  <c:v>-3</c:v>
                </c:pt>
                <c:pt idx="216">
                  <c:v>46.31</c:v>
                </c:pt>
                <c:pt idx="217">
                  <c:v>2.35</c:v>
                </c:pt>
                <c:pt idx="218">
                  <c:v>2.65</c:v>
                </c:pt>
                <c:pt idx="219">
                  <c:v>129.69999999999999</c:v>
                </c:pt>
                <c:pt idx="220">
                  <c:v>314.14</c:v>
                </c:pt>
                <c:pt idx="221">
                  <c:v>44.26</c:v>
                </c:pt>
                <c:pt idx="222">
                  <c:v>38.44</c:v>
                </c:pt>
                <c:pt idx="223">
                  <c:v>11.85</c:v>
                </c:pt>
                <c:pt idx="224">
                  <c:v>142.02000000000001</c:v>
                </c:pt>
                <c:pt idx="225">
                  <c:v>47.98</c:v>
                </c:pt>
                <c:pt idx="226">
                  <c:v>128.02000000000001</c:v>
                </c:pt>
                <c:pt idx="227">
                  <c:v>1.46</c:v>
                </c:pt>
                <c:pt idx="228">
                  <c:v>80.63</c:v>
                </c:pt>
                <c:pt idx="229">
                  <c:v>60.05</c:v>
                </c:pt>
                <c:pt idx="230">
                  <c:v>43.4</c:v>
                </c:pt>
                <c:pt idx="231">
                  <c:v>167.66</c:v>
                </c:pt>
                <c:pt idx="232">
                  <c:v>-1.41</c:v>
                </c:pt>
                <c:pt idx="233">
                  <c:v>54.94</c:v>
                </c:pt>
                <c:pt idx="234">
                  <c:v>50.38</c:v>
                </c:pt>
                <c:pt idx="235">
                  <c:v>3.87</c:v>
                </c:pt>
                <c:pt idx="236">
                  <c:v>38.020000000000003</c:v>
                </c:pt>
                <c:pt idx="237">
                  <c:v>35.090000000000003</c:v>
                </c:pt>
                <c:pt idx="238">
                  <c:v>-2.66</c:v>
                </c:pt>
                <c:pt idx="239">
                  <c:v>-7.85</c:v>
                </c:pt>
                <c:pt idx="240">
                  <c:v>17.37</c:v>
                </c:pt>
                <c:pt idx="241">
                  <c:v>26.59</c:v>
                </c:pt>
                <c:pt idx="242">
                  <c:v>37.840000000000003</c:v>
                </c:pt>
                <c:pt idx="243">
                  <c:v>70.73</c:v>
                </c:pt>
                <c:pt idx="244">
                  <c:v>55.29</c:v>
                </c:pt>
                <c:pt idx="245">
                  <c:v>0.3</c:v>
                </c:pt>
                <c:pt idx="246">
                  <c:v>1.44</c:v>
                </c:pt>
                <c:pt idx="247">
                  <c:v>43.51</c:v>
                </c:pt>
                <c:pt idx="248">
                  <c:v>11.68</c:v>
                </c:pt>
                <c:pt idx="249">
                  <c:v>-2.87</c:v>
                </c:pt>
                <c:pt idx="250">
                  <c:v>28.94</c:v>
                </c:pt>
                <c:pt idx="251">
                  <c:v>70.42</c:v>
                </c:pt>
                <c:pt idx="252">
                  <c:v>583.04</c:v>
                </c:pt>
                <c:pt idx="253">
                  <c:v>12.48</c:v>
                </c:pt>
                <c:pt idx="254">
                  <c:v>20.04</c:v>
                </c:pt>
                <c:pt idx="255">
                  <c:v>-0.4</c:v>
                </c:pt>
                <c:pt idx="256">
                  <c:v>-0.69</c:v>
                </c:pt>
                <c:pt idx="257">
                  <c:v>3.23</c:v>
                </c:pt>
                <c:pt idx="258">
                  <c:v>74.23</c:v>
                </c:pt>
                <c:pt idx="259">
                  <c:v>80.569999999999993</c:v>
                </c:pt>
                <c:pt idx="260">
                  <c:v>9.1</c:v>
                </c:pt>
                <c:pt idx="261">
                  <c:v>-1.04</c:v>
                </c:pt>
                <c:pt idx="262">
                  <c:v>37.049999999999997</c:v>
                </c:pt>
                <c:pt idx="263">
                  <c:v>6.24</c:v>
                </c:pt>
                <c:pt idx="264">
                  <c:v>7.14</c:v>
                </c:pt>
                <c:pt idx="265">
                  <c:v>13.02</c:v>
                </c:pt>
                <c:pt idx="266">
                  <c:v>6.72</c:v>
                </c:pt>
                <c:pt idx="267">
                  <c:v>47.69</c:v>
                </c:pt>
                <c:pt idx="268">
                  <c:v>26.44</c:v>
                </c:pt>
                <c:pt idx="269">
                  <c:v>2.34</c:v>
                </c:pt>
                <c:pt idx="270">
                  <c:v>8.9499999999999993</c:v>
                </c:pt>
                <c:pt idx="271">
                  <c:v>251.41</c:v>
                </c:pt>
                <c:pt idx="272">
                  <c:v>-1.65</c:v>
                </c:pt>
                <c:pt idx="273">
                  <c:v>-5.95</c:v>
                </c:pt>
                <c:pt idx="274">
                  <c:v>24.36</c:v>
                </c:pt>
                <c:pt idx="275">
                  <c:v>38.659999999999997</c:v>
                </c:pt>
                <c:pt idx="276">
                  <c:v>3.16</c:v>
                </c:pt>
                <c:pt idx="277">
                  <c:v>512.22</c:v>
                </c:pt>
                <c:pt idx="278">
                  <c:v>7.71</c:v>
                </c:pt>
                <c:pt idx="279">
                  <c:v>59.57</c:v>
                </c:pt>
                <c:pt idx="280">
                  <c:v>59.93</c:v>
                </c:pt>
                <c:pt idx="281">
                  <c:v>49.76</c:v>
                </c:pt>
                <c:pt idx="282">
                  <c:v>184.13</c:v>
                </c:pt>
                <c:pt idx="283">
                  <c:v>44.7</c:v>
                </c:pt>
                <c:pt idx="284">
                  <c:v>10.130000000000001</c:v>
                </c:pt>
                <c:pt idx="285">
                  <c:v>2.64</c:v>
                </c:pt>
                <c:pt idx="286">
                  <c:v>-2.96</c:v>
                </c:pt>
                <c:pt idx="287">
                  <c:v>139.01</c:v>
                </c:pt>
                <c:pt idx="288">
                  <c:v>28.08</c:v>
                </c:pt>
                <c:pt idx="289">
                  <c:v>7.09</c:v>
                </c:pt>
                <c:pt idx="290">
                  <c:v>69.760000000000005</c:v>
                </c:pt>
                <c:pt idx="291">
                  <c:v>-5.15</c:v>
                </c:pt>
                <c:pt idx="292">
                  <c:v>14.6</c:v>
                </c:pt>
                <c:pt idx="293">
                  <c:v>22.47</c:v>
                </c:pt>
                <c:pt idx="294">
                  <c:v>2.86</c:v>
                </c:pt>
                <c:pt idx="295">
                  <c:v>4.51</c:v>
                </c:pt>
                <c:pt idx="296">
                  <c:v>286.92</c:v>
                </c:pt>
                <c:pt idx="297">
                  <c:v>38.64</c:v>
                </c:pt>
                <c:pt idx="298">
                  <c:v>21.53</c:v>
                </c:pt>
                <c:pt idx="299">
                  <c:v>252.39</c:v>
                </c:pt>
                <c:pt idx="300">
                  <c:v>-4.99</c:v>
                </c:pt>
                <c:pt idx="301">
                  <c:v>5.18</c:v>
                </c:pt>
                <c:pt idx="302">
                  <c:v>109.53</c:v>
                </c:pt>
                <c:pt idx="303">
                  <c:v>-5.54</c:v>
                </c:pt>
                <c:pt idx="304">
                  <c:v>56.16</c:v>
                </c:pt>
                <c:pt idx="305">
                  <c:v>3.85</c:v>
                </c:pt>
                <c:pt idx="306">
                  <c:v>30.46</c:v>
                </c:pt>
                <c:pt idx="307">
                  <c:v>10.63</c:v>
                </c:pt>
                <c:pt idx="308">
                  <c:v>-5.32</c:v>
                </c:pt>
                <c:pt idx="309">
                  <c:v>-7.12</c:v>
                </c:pt>
                <c:pt idx="310">
                  <c:v>-4.47</c:v>
                </c:pt>
                <c:pt idx="311">
                  <c:v>244.78</c:v>
                </c:pt>
                <c:pt idx="312">
                  <c:v>-0.88</c:v>
                </c:pt>
                <c:pt idx="313">
                  <c:v>24.46</c:v>
                </c:pt>
                <c:pt idx="314">
                  <c:v>74.52</c:v>
                </c:pt>
                <c:pt idx="315">
                  <c:v>-2.61</c:v>
                </c:pt>
                <c:pt idx="316">
                  <c:v>245.6</c:v>
                </c:pt>
                <c:pt idx="317">
                  <c:v>118.24</c:v>
                </c:pt>
                <c:pt idx="318">
                  <c:v>7.1</c:v>
                </c:pt>
                <c:pt idx="319">
                  <c:v>17.010000000000002</c:v>
                </c:pt>
                <c:pt idx="320">
                  <c:v>2.09</c:v>
                </c:pt>
                <c:pt idx="321">
                  <c:v>-6.1</c:v>
                </c:pt>
                <c:pt idx="322">
                  <c:v>104.61</c:v>
                </c:pt>
                <c:pt idx="323">
                  <c:v>38.51</c:v>
                </c:pt>
                <c:pt idx="324">
                  <c:v>3.69</c:v>
                </c:pt>
                <c:pt idx="325">
                  <c:v>2.1800000000000002</c:v>
                </c:pt>
                <c:pt idx="326">
                  <c:v>26.25</c:v>
                </c:pt>
                <c:pt idx="327">
                  <c:v>6.62</c:v>
                </c:pt>
                <c:pt idx="328">
                  <c:v>14.38</c:v>
                </c:pt>
                <c:pt idx="329">
                  <c:v>486.56</c:v>
                </c:pt>
                <c:pt idx="330">
                  <c:v>73.900000000000006</c:v>
                </c:pt>
                <c:pt idx="331">
                  <c:v>5.25</c:v>
                </c:pt>
                <c:pt idx="332">
                  <c:v>56.14</c:v>
                </c:pt>
                <c:pt idx="333">
                  <c:v>3.05</c:v>
                </c:pt>
                <c:pt idx="334">
                  <c:v>0.27</c:v>
                </c:pt>
                <c:pt idx="335">
                  <c:v>58.87</c:v>
                </c:pt>
                <c:pt idx="336">
                  <c:v>15.54</c:v>
                </c:pt>
                <c:pt idx="337">
                  <c:v>19.7</c:v>
                </c:pt>
                <c:pt idx="338">
                  <c:v>299.17</c:v>
                </c:pt>
                <c:pt idx="339">
                  <c:v>37.979999999999997</c:v>
                </c:pt>
                <c:pt idx="340">
                  <c:v>-7.04</c:v>
                </c:pt>
                <c:pt idx="341">
                  <c:v>5.14</c:v>
                </c:pt>
                <c:pt idx="342">
                  <c:v>46.68</c:v>
                </c:pt>
                <c:pt idx="343">
                  <c:v>36.159999999999997</c:v>
                </c:pt>
                <c:pt idx="344">
                  <c:v>140.47999999999999</c:v>
                </c:pt>
                <c:pt idx="345">
                  <c:v>13.2</c:v>
                </c:pt>
                <c:pt idx="346">
                  <c:v>46.9</c:v>
                </c:pt>
                <c:pt idx="347">
                  <c:v>39.590000000000003</c:v>
                </c:pt>
                <c:pt idx="348">
                  <c:v>2.4500000000000002</c:v>
                </c:pt>
                <c:pt idx="349">
                  <c:v>9.44</c:v>
                </c:pt>
                <c:pt idx="350">
                  <c:v>100.34</c:v>
                </c:pt>
                <c:pt idx="351">
                  <c:v>-3.28</c:v>
                </c:pt>
                <c:pt idx="352">
                  <c:v>29.11</c:v>
                </c:pt>
                <c:pt idx="353">
                  <c:v>3.33</c:v>
                </c:pt>
                <c:pt idx="354">
                  <c:v>167.35</c:v>
                </c:pt>
                <c:pt idx="355">
                  <c:v>16.21</c:v>
                </c:pt>
                <c:pt idx="356">
                  <c:v>-3.6</c:v>
                </c:pt>
                <c:pt idx="357">
                  <c:v>26.9</c:v>
                </c:pt>
                <c:pt idx="358">
                  <c:v>1017.49</c:v>
                </c:pt>
                <c:pt idx="359">
                  <c:v>19.7</c:v>
                </c:pt>
                <c:pt idx="360">
                  <c:v>2.58</c:v>
                </c:pt>
                <c:pt idx="361">
                  <c:v>111.11</c:v>
                </c:pt>
                <c:pt idx="362">
                  <c:v>87.16</c:v>
                </c:pt>
                <c:pt idx="363">
                  <c:v>48.95</c:v>
                </c:pt>
                <c:pt idx="364">
                  <c:v>71.010000000000005</c:v>
                </c:pt>
                <c:pt idx="365">
                  <c:v>268.14999999999998</c:v>
                </c:pt>
                <c:pt idx="366">
                  <c:v>98.95</c:v>
                </c:pt>
                <c:pt idx="367">
                  <c:v>27.53</c:v>
                </c:pt>
                <c:pt idx="368">
                  <c:v>117.75</c:v>
                </c:pt>
                <c:pt idx="369">
                  <c:v>43.91</c:v>
                </c:pt>
                <c:pt idx="370">
                  <c:v>2.1800000000000002</c:v>
                </c:pt>
                <c:pt idx="371">
                  <c:v>148.24</c:v>
                </c:pt>
                <c:pt idx="372">
                  <c:v>-4.91</c:v>
                </c:pt>
                <c:pt idx="373">
                  <c:v>113.76</c:v>
                </c:pt>
                <c:pt idx="374">
                  <c:v>2.56</c:v>
                </c:pt>
                <c:pt idx="375">
                  <c:v>-5.16</c:v>
                </c:pt>
                <c:pt idx="376">
                  <c:v>51.17</c:v>
                </c:pt>
                <c:pt idx="377">
                  <c:v>67.62</c:v>
                </c:pt>
                <c:pt idx="378">
                  <c:v>-6.07</c:v>
                </c:pt>
                <c:pt idx="379">
                  <c:v>212.18</c:v>
                </c:pt>
                <c:pt idx="380">
                  <c:v>24.56</c:v>
                </c:pt>
                <c:pt idx="381">
                  <c:v>43.57</c:v>
                </c:pt>
                <c:pt idx="382">
                  <c:v>15.54</c:v>
                </c:pt>
                <c:pt idx="383">
                  <c:v>-6.6</c:v>
                </c:pt>
                <c:pt idx="384">
                  <c:v>0.14000000000000001</c:v>
                </c:pt>
                <c:pt idx="385">
                  <c:v>-3.64</c:v>
                </c:pt>
                <c:pt idx="386">
                  <c:v>13.75</c:v>
                </c:pt>
                <c:pt idx="387">
                  <c:v>138.83000000000001</c:v>
                </c:pt>
                <c:pt idx="388">
                  <c:v>24.03</c:v>
                </c:pt>
                <c:pt idx="389">
                  <c:v>46.78</c:v>
                </c:pt>
                <c:pt idx="390">
                  <c:v>46.78</c:v>
                </c:pt>
                <c:pt idx="391">
                  <c:v>4.18</c:v>
                </c:pt>
                <c:pt idx="392">
                  <c:v>1.38</c:v>
                </c:pt>
                <c:pt idx="393">
                  <c:v>6.95</c:v>
                </c:pt>
                <c:pt idx="394">
                  <c:v>98.71</c:v>
                </c:pt>
                <c:pt idx="395">
                  <c:v>94.78</c:v>
                </c:pt>
                <c:pt idx="396">
                  <c:v>34.29</c:v>
                </c:pt>
                <c:pt idx="397">
                  <c:v>3.66</c:v>
                </c:pt>
                <c:pt idx="398">
                  <c:v>7.14</c:v>
                </c:pt>
                <c:pt idx="399">
                  <c:v>-2.29</c:v>
                </c:pt>
                <c:pt idx="400">
                  <c:v>72.94</c:v>
                </c:pt>
                <c:pt idx="401">
                  <c:v>221.57</c:v>
                </c:pt>
                <c:pt idx="402">
                  <c:v>81.12</c:v>
                </c:pt>
                <c:pt idx="403">
                  <c:v>3.38</c:v>
                </c:pt>
                <c:pt idx="404">
                  <c:v>7.24</c:v>
                </c:pt>
                <c:pt idx="405">
                  <c:v>-3.88</c:v>
                </c:pt>
                <c:pt idx="406">
                  <c:v>-6.13</c:v>
                </c:pt>
                <c:pt idx="407">
                  <c:v>-0.77</c:v>
                </c:pt>
                <c:pt idx="408">
                  <c:v>91.7</c:v>
                </c:pt>
                <c:pt idx="409">
                  <c:v>-5.0199999999999996</c:v>
                </c:pt>
                <c:pt idx="410">
                  <c:v>53.58</c:v>
                </c:pt>
                <c:pt idx="411">
                  <c:v>-6.36</c:v>
                </c:pt>
                <c:pt idx="412">
                  <c:v>1189.79</c:v>
                </c:pt>
                <c:pt idx="413">
                  <c:v>-6.79</c:v>
                </c:pt>
                <c:pt idx="414">
                  <c:v>220.89</c:v>
                </c:pt>
                <c:pt idx="415">
                  <c:v>-2.72</c:v>
                </c:pt>
                <c:pt idx="416">
                  <c:v>18.760000000000002</c:v>
                </c:pt>
                <c:pt idx="417">
                  <c:v>50.3</c:v>
                </c:pt>
                <c:pt idx="418">
                  <c:v>5.62</c:v>
                </c:pt>
                <c:pt idx="419">
                  <c:v>35.299999999999997</c:v>
                </c:pt>
                <c:pt idx="420">
                  <c:v>269.07</c:v>
                </c:pt>
                <c:pt idx="421">
                  <c:v>15.8</c:v>
                </c:pt>
                <c:pt idx="422">
                  <c:v>3.42</c:v>
                </c:pt>
                <c:pt idx="423">
                  <c:v>11.12</c:v>
                </c:pt>
                <c:pt idx="424">
                  <c:v>208.57</c:v>
                </c:pt>
                <c:pt idx="425">
                  <c:v>100.68</c:v>
                </c:pt>
                <c:pt idx="426">
                  <c:v>93.33</c:v>
                </c:pt>
                <c:pt idx="427">
                  <c:v>34.92</c:v>
                </c:pt>
                <c:pt idx="428">
                  <c:v>244.33</c:v>
                </c:pt>
                <c:pt idx="429">
                  <c:v>63.57</c:v>
                </c:pt>
                <c:pt idx="430">
                  <c:v>0.03</c:v>
                </c:pt>
                <c:pt idx="431">
                  <c:v>53.57</c:v>
                </c:pt>
                <c:pt idx="432">
                  <c:v>-3.82</c:v>
                </c:pt>
                <c:pt idx="433">
                  <c:v>5.66</c:v>
                </c:pt>
                <c:pt idx="434">
                  <c:v>24.82</c:v>
                </c:pt>
                <c:pt idx="435">
                  <c:v>62.49</c:v>
                </c:pt>
                <c:pt idx="436">
                  <c:v>263.44</c:v>
                </c:pt>
                <c:pt idx="437">
                  <c:v>28.41</c:v>
                </c:pt>
                <c:pt idx="438">
                  <c:v>9.2799999999999994</c:v>
                </c:pt>
                <c:pt idx="439">
                  <c:v>-1.93</c:v>
                </c:pt>
                <c:pt idx="440">
                  <c:v>52.9</c:v>
                </c:pt>
                <c:pt idx="441">
                  <c:v>39.049999999999997</c:v>
                </c:pt>
                <c:pt idx="442">
                  <c:v>3.61</c:v>
                </c:pt>
                <c:pt idx="443">
                  <c:v>72.989999999999995</c:v>
                </c:pt>
                <c:pt idx="444">
                  <c:v>3.09</c:v>
                </c:pt>
                <c:pt idx="445">
                  <c:v>12.99</c:v>
                </c:pt>
                <c:pt idx="446">
                  <c:v>-1.52</c:v>
                </c:pt>
                <c:pt idx="447">
                  <c:v>43.94</c:v>
                </c:pt>
                <c:pt idx="448">
                  <c:v>4.16</c:v>
                </c:pt>
                <c:pt idx="449">
                  <c:v>127.82</c:v>
                </c:pt>
                <c:pt idx="450">
                  <c:v>56.94</c:v>
                </c:pt>
                <c:pt idx="451">
                  <c:v>18.12</c:v>
                </c:pt>
                <c:pt idx="452">
                  <c:v>7.57</c:v>
                </c:pt>
                <c:pt idx="453">
                  <c:v>-0.9</c:v>
                </c:pt>
                <c:pt idx="454">
                  <c:v>-0.27</c:v>
                </c:pt>
                <c:pt idx="455">
                  <c:v>77.42</c:v>
                </c:pt>
                <c:pt idx="456">
                  <c:v>58.34</c:v>
                </c:pt>
                <c:pt idx="457">
                  <c:v>40.08</c:v>
                </c:pt>
                <c:pt idx="458">
                  <c:v>14.81</c:v>
                </c:pt>
                <c:pt idx="459">
                  <c:v>-3.56</c:v>
                </c:pt>
                <c:pt idx="460">
                  <c:v>21</c:v>
                </c:pt>
                <c:pt idx="461">
                  <c:v>88.42</c:v>
                </c:pt>
                <c:pt idx="462">
                  <c:v>539.08000000000004</c:v>
                </c:pt>
                <c:pt idx="463">
                  <c:v>56.64</c:v>
                </c:pt>
                <c:pt idx="464">
                  <c:v>50.51</c:v>
                </c:pt>
                <c:pt idx="465">
                  <c:v>129.47</c:v>
                </c:pt>
                <c:pt idx="466">
                  <c:v>26.32</c:v>
                </c:pt>
                <c:pt idx="467">
                  <c:v>5.74</c:v>
                </c:pt>
                <c:pt idx="468">
                  <c:v>74.84</c:v>
                </c:pt>
                <c:pt idx="469">
                  <c:v>27.08</c:v>
                </c:pt>
                <c:pt idx="470">
                  <c:v>20</c:v>
                </c:pt>
                <c:pt idx="471">
                  <c:v>312.49</c:v>
                </c:pt>
                <c:pt idx="472">
                  <c:v>105.94</c:v>
                </c:pt>
                <c:pt idx="473">
                  <c:v>26.36</c:v>
                </c:pt>
                <c:pt idx="474">
                  <c:v>61.1</c:v>
                </c:pt>
                <c:pt idx="475">
                  <c:v>0.28999999999999998</c:v>
                </c:pt>
                <c:pt idx="476">
                  <c:v>6.16</c:v>
                </c:pt>
                <c:pt idx="477">
                  <c:v>-5.89</c:v>
                </c:pt>
                <c:pt idx="478">
                  <c:v>8.1999999999999993</c:v>
                </c:pt>
                <c:pt idx="479">
                  <c:v>12.28</c:v>
                </c:pt>
                <c:pt idx="480">
                  <c:v>21.08</c:v>
                </c:pt>
                <c:pt idx="481">
                  <c:v>3.04</c:v>
                </c:pt>
                <c:pt idx="482">
                  <c:v>87.15</c:v>
                </c:pt>
                <c:pt idx="483">
                  <c:v>123.39</c:v>
                </c:pt>
                <c:pt idx="484">
                  <c:v>88.18</c:v>
                </c:pt>
                <c:pt idx="485">
                  <c:v>84.55</c:v>
                </c:pt>
                <c:pt idx="486">
                  <c:v>158.9</c:v>
                </c:pt>
                <c:pt idx="487">
                  <c:v>56.62</c:v>
                </c:pt>
                <c:pt idx="488">
                  <c:v>2.36</c:v>
                </c:pt>
                <c:pt idx="489">
                  <c:v>39.46</c:v>
                </c:pt>
                <c:pt idx="490">
                  <c:v>145.71</c:v>
                </c:pt>
                <c:pt idx="491">
                  <c:v>4.09</c:v>
                </c:pt>
                <c:pt idx="492">
                  <c:v>43.33</c:v>
                </c:pt>
                <c:pt idx="493">
                  <c:v>104.98</c:v>
                </c:pt>
                <c:pt idx="494">
                  <c:v>-4.55</c:v>
                </c:pt>
                <c:pt idx="495">
                  <c:v>54.58</c:v>
                </c:pt>
                <c:pt idx="496">
                  <c:v>2.86</c:v>
                </c:pt>
                <c:pt idx="497">
                  <c:v>53.25</c:v>
                </c:pt>
                <c:pt idx="498">
                  <c:v>114.79</c:v>
                </c:pt>
                <c:pt idx="499">
                  <c:v>28.55</c:v>
                </c:pt>
                <c:pt idx="500">
                  <c:v>56.52</c:v>
                </c:pt>
                <c:pt idx="501">
                  <c:v>13.01</c:v>
                </c:pt>
                <c:pt idx="502">
                  <c:v>7.14</c:v>
                </c:pt>
                <c:pt idx="503">
                  <c:v>7.97</c:v>
                </c:pt>
                <c:pt idx="504">
                  <c:v>14.83</c:v>
                </c:pt>
                <c:pt idx="505">
                  <c:v>9.8800000000000008</c:v>
                </c:pt>
                <c:pt idx="506">
                  <c:v>5.45</c:v>
                </c:pt>
                <c:pt idx="507">
                  <c:v>38.46</c:v>
                </c:pt>
                <c:pt idx="508">
                  <c:v>84.45</c:v>
                </c:pt>
                <c:pt idx="509">
                  <c:v>74.94</c:v>
                </c:pt>
                <c:pt idx="510">
                  <c:v>-4.93</c:v>
                </c:pt>
                <c:pt idx="511">
                  <c:v>27.65</c:v>
                </c:pt>
                <c:pt idx="512">
                  <c:v>23.22</c:v>
                </c:pt>
                <c:pt idx="513">
                  <c:v>-4.51</c:v>
                </c:pt>
                <c:pt idx="514">
                  <c:v>24.26</c:v>
                </c:pt>
                <c:pt idx="515">
                  <c:v>83.17</c:v>
                </c:pt>
                <c:pt idx="516">
                  <c:v>2.08</c:v>
                </c:pt>
                <c:pt idx="517">
                  <c:v>57.99</c:v>
                </c:pt>
                <c:pt idx="518">
                  <c:v>-3.98</c:v>
                </c:pt>
                <c:pt idx="519">
                  <c:v>657.86</c:v>
                </c:pt>
                <c:pt idx="520">
                  <c:v>37.26</c:v>
                </c:pt>
                <c:pt idx="521">
                  <c:v>771.41</c:v>
                </c:pt>
                <c:pt idx="522">
                  <c:v>57.82</c:v>
                </c:pt>
                <c:pt idx="523">
                  <c:v>-1.98</c:v>
                </c:pt>
                <c:pt idx="524">
                  <c:v>107.88</c:v>
                </c:pt>
                <c:pt idx="525">
                  <c:v>61.8</c:v>
                </c:pt>
                <c:pt idx="526">
                  <c:v>142.09</c:v>
                </c:pt>
                <c:pt idx="527">
                  <c:v>42.62</c:v>
                </c:pt>
                <c:pt idx="528">
                  <c:v>53.94</c:v>
                </c:pt>
                <c:pt idx="529">
                  <c:v>54.62</c:v>
                </c:pt>
                <c:pt idx="530">
                  <c:v>-6.49</c:v>
                </c:pt>
                <c:pt idx="531">
                  <c:v>98.83</c:v>
                </c:pt>
                <c:pt idx="532">
                  <c:v>24.38</c:v>
                </c:pt>
                <c:pt idx="533">
                  <c:v>213.69</c:v>
                </c:pt>
                <c:pt idx="534">
                  <c:v>-0.84</c:v>
                </c:pt>
                <c:pt idx="535">
                  <c:v>860.28</c:v>
                </c:pt>
                <c:pt idx="536">
                  <c:v>-0.53</c:v>
                </c:pt>
                <c:pt idx="537">
                  <c:v>19.77</c:v>
                </c:pt>
                <c:pt idx="538">
                  <c:v>71.92</c:v>
                </c:pt>
                <c:pt idx="539">
                  <c:v>5.95</c:v>
                </c:pt>
                <c:pt idx="540">
                  <c:v>19.18</c:v>
                </c:pt>
                <c:pt idx="541">
                  <c:v>154.01</c:v>
                </c:pt>
                <c:pt idx="542">
                  <c:v>25.39</c:v>
                </c:pt>
                <c:pt idx="543">
                  <c:v>38</c:v>
                </c:pt>
                <c:pt idx="544">
                  <c:v>56.82</c:v>
                </c:pt>
                <c:pt idx="545">
                  <c:v>25.67</c:v>
                </c:pt>
                <c:pt idx="546">
                  <c:v>13.23</c:v>
                </c:pt>
                <c:pt idx="547">
                  <c:v>72.8</c:v>
                </c:pt>
                <c:pt idx="548">
                  <c:v>25.31</c:v>
                </c:pt>
                <c:pt idx="549">
                  <c:v>34.520000000000003</c:v>
                </c:pt>
                <c:pt idx="550">
                  <c:v>134.77000000000001</c:v>
                </c:pt>
                <c:pt idx="551">
                  <c:v>114.39</c:v>
                </c:pt>
                <c:pt idx="552">
                  <c:v>10.97</c:v>
                </c:pt>
                <c:pt idx="553">
                  <c:v>165.2</c:v>
                </c:pt>
                <c:pt idx="554">
                  <c:v>47.13</c:v>
                </c:pt>
                <c:pt idx="555">
                  <c:v>129.34</c:v>
                </c:pt>
                <c:pt idx="556">
                  <c:v>78.78</c:v>
                </c:pt>
                <c:pt idx="557">
                  <c:v>216.56</c:v>
                </c:pt>
                <c:pt idx="558">
                  <c:v>6.51</c:v>
                </c:pt>
                <c:pt idx="559">
                  <c:v>3.62</c:v>
                </c:pt>
                <c:pt idx="560">
                  <c:v>113.38</c:v>
                </c:pt>
                <c:pt idx="561">
                  <c:v>96.77</c:v>
                </c:pt>
                <c:pt idx="562">
                  <c:v>113.86</c:v>
                </c:pt>
                <c:pt idx="563">
                  <c:v>32.07</c:v>
                </c:pt>
                <c:pt idx="564">
                  <c:v>16.22</c:v>
                </c:pt>
                <c:pt idx="565">
                  <c:v>143.77000000000001</c:v>
                </c:pt>
                <c:pt idx="566">
                  <c:v>190.72</c:v>
                </c:pt>
                <c:pt idx="567">
                  <c:v>0.38</c:v>
                </c:pt>
                <c:pt idx="568">
                  <c:v>72.599999999999994</c:v>
                </c:pt>
                <c:pt idx="569">
                  <c:v>2.4300000000000002</c:v>
                </c:pt>
                <c:pt idx="570">
                  <c:v>2.09</c:v>
                </c:pt>
                <c:pt idx="571">
                  <c:v>33.36</c:v>
                </c:pt>
                <c:pt idx="572">
                  <c:v>-1.6</c:v>
                </c:pt>
                <c:pt idx="573">
                  <c:v>26.65</c:v>
                </c:pt>
                <c:pt idx="574">
                  <c:v>89.3</c:v>
                </c:pt>
                <c:pt idx="575">
                  <c:v>2.08</c:v>
                </c:pt>
                <c:pt idx="576">
                  <c:v>17.23</c:v>
                </c:pt>
                <c:pt idx="577">
                  <c:v>99.03</c:v>
                </c:pt>
                <c:pt idx="578">
                  <c:v>92.9</c:v>
                </c:pt>
                <c:pt idx="579">
                  <c:v>91.9</c:v>
                </c:pt>
                <c:pt idx="580">
                  <c:v>12.68</c:v>
                </c:pt>
                <c:pt idx="581">
                  <c:v>-1.25</c:v>
                </c:pt>
                <c:pt idx="582">
                  <c:v>0.02</c:v>
                </c:pt>
                <c:pt idx="583">
                  <c:v>216.76</c:v>
                </c:pt>
                <c:pt idx="584">
                  <c:v>78.84</c:v>
                </c:pt>
                <c:pt idx="585">
                  <c:v>42.42</c:v>
                </c:pt>
                <c:pt idx="586">
                  <c:v>263.32</c:v>
                </c:pt>
                <c:pt idx="587">
                  <c:v>58.23</c:v>
                </c:pt>
                <c:pt idx="588">
                  <c:v>199.72</c:v>
                </c:pt>
                <c:pt idx="589">
                  <c:v>3.42</c:v>
                </c:pt>
                <c:pt idx="590">
                  <c:v>-0.49</c:v>
                </c:pt>
                <c:pt idx="591">
                  <c:v>4.66</c:v>
                </c:pt>
                <c:pt idx="592">
                  <c:v>3.89</c:v>
                </c:pt>
                <c:pt idx="593">
                  <c:v>248.13</c:v>
                </c:pt>
                <c:pt idx="594">
                  <c:v>15.4</c:v>
                </c:pt>
                <c:pt idx="595">
                  <c:v>38.369999999999997</c:v>
                </c:pt>
                <c:pt idx="596">
                  <c:v>119.33</c:v>
                </c:pt>
                <c:pt idx="597">
                  <c:v>366.2</c:v>
                </c:pt>
                <c:pt idx="598">
                  <c:v>60.82</c:v>
                </c:pt>
                <c:pt idx="599">
                  <c:v>261.2</c:v>
                </c:pt>
                <c:pt idx="600">
                  <c:v>35.36</c:v>
                </c:pt>
                <c:pt idx="601">
                  <c:v>210.96</c:v>
                </c:pt>
                <c:pt idx="602">
                  <c:v>280.47000000000003</c:v>
                </c:pt>
                <c:pt idx="603">
                  <c:v>43.99</c:v>
                </c:pt>
                <c:pt idx="604">
                  <c:v>248.72</c:v>
                </c:pt>
                <c:pt idx="605">
                  <c:v>53.37</c:v>
                </c:pt>
                <c:pt idx="606">
                  <c:v>11.06</c:v>
                </c:pt>
                <c:pt idx="607">
                  <c:v>7.89</c:v>
                </c:pt>
                <c:pt idx="608">
                  <c:v>72.61</c:v>
                </c:pt>
                <c:pt idx="609">
                  <c:v>86.02</c:v>
                </c:pt>
                <c:pt idx="610">
                  <c:v>3.17</c:v>
                </c:pt>
                <c:pt idx="611">
                  <c:v>294.47000000000003</c:v>
                </c:pt>
                <c:pt idx="612">
                  <c:v>1.06</c:v>
                </c:pt>
                <c:pt idx="613">
                  <c:v>28.96</c:v>
                </c:pt>
                <c:pt idx="614">
                  <c:v>24.24</c:v>
                </c:pt>
                <c:pt idx="615">
                  <c:v>98.9</c:v>
                </c:pt>
                <c:pt idx="616">
                  <c:v>-3.69</c:v>
                </c:pt>
                <c:pt idx="617">
                  <c:v>336.58</c:v>
                </c:pt>
                <c:pt idx="618">
                  <c:v>10.23</c:v>
                </c:pt>
                <c:pt idx="619">
                  <c:v>-6.16</c:v>
                </c:pt>
                <c:pt idx="620">
                  <c:v>230.46</c:v>
                </c:pt>
                <c:pt idx="621">
                  <c:v>17.25</c:v>
                </c:pt>
                <c:pt idx="622">
                  <c:v>68.37</c:v>
                </c:pt>
                <c:pt idx="623">
                  <c:v>-3.21</c:v>
                </c:pt>
                <c:pt idx="624">
                  <c:v>633.6</c:v>
                </c:pt>
                <c:pt idx="625">
                  <c:v>-5.55</c:v>
                </c:pt>
                <c:pt idx="626">
                  <c:v>47.11</c:v>
                </c:pt>
                <c:pt idx="627">
                  <c:v>39.64</c:v>
                </c:pt>
                <c:pt idx="628">
                  <c:v>46.97</c:v>
                </c:pt>
                <c:pt idx="629">
                  <c:v>10.34</c:v>
                </c:pt>
                <c:pt idx="630">
                  <c:v>36.07</c:v>
                </c:pt>
                <c:pt idx="631">
                  <c:v>0.92</c:v>
                </c:pt>
                <c:pt idx="632">
                  <c:v>18.02</c:v>
                </c:pt>
                <c:pt idx="633">
                  <c:v>244.05</c:v>
                </c:pt>
                <c:pt idx="634">
                  <c:v>83.28</c:v>
                </c:pt>
                <c:pt idx="635">
                  <c:v>0.34</c:v>
                </c:pt>
                <c:pt idx="636">
                  <c:v>3.96</c:v>
                </c:pt>
                <c:pt idx="637">
                  <c:v>395.07</c:v>
                </c:pt>
                <c:pt idx="638">
                  <c:v>0.2</c:v>
                </c:pt>
                <c:pt idx="639">
                  <c:v>134.37</c:v>
                </c:pt>
                <c:pt idx="640">
                  <c:v>77.86</c:v>
                </c:pt>
                <c:pt idx="641">
                  <c:v>678.86</c:v>
                </c:pt>
                <c:pt idx="642">
                  <c:v>5.54</c:v>
                </c:pt>
                <c:pt idx="643">
                  <c:v>36.49</c:v>
                </c:pt>
                <c:pt idx="644">
                  <c:v>251.09</c:v>
                </c:pt>
                <c:pt idx="645">
                  <c:v>16.89</c:v>
                </c:pt>
                <c:pt idx="646">
                  <c:v>-1.29</c:v>
                </c:pt>
                <c:pt idx="647">
                  <c:v>-7.69</c:v>
                </c:pt>
                <c:pt idx="648">
                  <c:v>44.89</c:v>
                </c:pt>
                <c:pt idx="649">
                  <c:v>15.54</c:v>
                </c:pt>
                <c:pt idx="650">
                  <c:v>-0.54</c:v>
                </c:pt>
                <c:pt idx="651">
                  <c:v>394.52</c:v>
                </c:pt>
                <c:pt idx="652">
                  <c:v>8.73</c:v>
                </c:pt>
                <c:pt idx="653">
                  <c:v>34.22</c:v>
                </c:pt>
                <c:pt idx="654">
                  <c:v>6.03</c:v>
                </c:pt>
                <c:pt idx="655">
                  <c:v>55.6</c:v>
                </c:pt>
                <c:pt idx="656">
                  <c:v>100.66</c:v>
                </c:pt>
                <c:pt idx="657">
                  <c:v>52.65</c:v>
                </c:pt>
                <c:pt idx="658">
                  <c:v>21.8</c:v>
                </c:pt>
                <c:pt idx="659">
                  <c:v>6.62</c:v>
                </c:pt>
                <c:pt idx="660">
                  <c:v>222.86</c:v>
                </c:pt>
                <c:pt idx="661">
                  <c:v>53.37</c:v>
                </c:pt>
                <c:pt idx="662">
                  <c:v>150.31</c:v>
                </c:pt>
                <c:pt idx="663">
                  <c:v>165.85</c:v>
                </c:pt>
                <c:pt idx="664">
                  <c:v>32.61</c:v>
                </c:pt>
                <c:pt idx="665">
                  <c:v>-4.26</c:v>
                </c:pt>
                <c:pt idx="666">
                  <c:v>16.48</c:v>
                </c:pt>
                <c:pt idx="667">
                  <c:v>41.82</c:v>
                </c:pt>
                <c:pt idx="668">
                  <c:v>9.3000000000000007</c:v>
                </c:pt>
                <c:pt idx="669">
                  <c:v>44.14</c:v>
                </c:pt>
                <c:pt idx="670">
                  <c:v>15.25</c:v>
                </c:pt>
                <c:pt idx="671">
                  <c:v>-0.08</c:v>
                </c:pt>
                <c:pt idx="672">
                  <c:v>34.14</c:v>
                </c:pt>
                <c:pt idx="673">
                  <c:v>30.02</c:v>
                </c:pt>
                <c:pt idx="674">
                  <c:v>18.66</c:v>
                </c:pt>
                <c:pt idx="675">
                  <c:v>220.87</c:v>
                </c:pt>
                <c:pt idx="676">
                  <c:v>193.56</c:v>
                </c:pt>
                <c:pt idx="677">
                  <c:v>3.71</c:v>
                </c:pt>
                <c:pt idx="678">
                  <c:v>28.98</c:v>
                </c:pt>
                <c:pt idx="679">
                  <c:v>-2.5099999999999998</c:v>
                </c:pt>
                <c:pt idx="680">
                  <c:v>46.81</c:v>
                </c:pt>
                <c:pt idx="681">
                  <c:v>-0.01</c:v>
                </c:pt>
                <c:pt idx="682">
                  <c:v>80.42</c:v>
                </c:pt>
                <c:pt idx="683">
                  <c:v>0.94</c:v>
                </c:pt>
                <c:pt idx="684">
                  <c:v>-5.38</c:v>
                </c:pt>
                <c:pt idx="685">
                  <c:v>-5.87</c:v>
                </c:pt>
                <c:pt idx="686">
                  <c:v>51.23</c:v>
                </c:pt>
                <c:pt idx="687">
                  <c:v>1.5</c:v>
                </c:pt>
                <c:pt idx="688">
                  <c:v>107.8</c:v>
                </c:pt>
                <c:pt idx="689">
                  <c:v>28.08</c:v>
                </c:pt>
                <c:pt idx="690">
                  <c:v>36.54</c:v>
                </c:pt>
                <c:pt idx="691">
                  <c:v>-1.47</c:v>
                </c:pt>
                <c:pt idx="692">
                  <c:v>10.24</c:v>
                </c:pt>
                <c:pt idx="693">
                  <c:v>65.92</c:v>
                </c:pt>
                <c:pt idx="694">
                  <c:v>-5.91</c:v>
                </c:pt>
                <c:pt idx="695">
                  <c:v>19.86</c:v>
                </c:pt>
                <c:pt idx="696">
                  <c:v>-2.63</c:v>
                </c:pt>
                <c:pt idx="697">
                  <c:v>17.649999999999999</c:v>
                </c:pt>
                <c:pt idx="698">
                  <c:v>405.16</c:v>
                </c:pt>
                <c:pt idx="699">
                  <c:v>47.96</c:v>
                </c:pt>
                <c:pt idx="700">
                  <c:v>101.05</c:v>
                </c:pt>
                <c:pt idx="701">
                  <c:v>-9.01</c:v>
                </c:pt>
                <c:pt idx="702">
                  <c:v>1.46</c:v>
                </c:pt>
                <c:pt idx="703">
                  <c:v>14.08</c:v>
                </c:pt>
                <c:pt idx="704">
                  <c:v>6.18</c:v>
                </c:pt>
                <c:pt idx="705">
                  <c:v>263.7</c:v>
                </c:pt>
                <c:pt idx="706">
                  <c:v>27.34</c:v>
                </c:pt>
                <c:pt idx="707">
                  <c:v>66.19</c:v>
                </c:pt>
                <c:pt idx="708">
                  <c:v>14.67</c:v>
                </c:pt>
                <c:pt idx="709">
                  <c:v>59.92</c:v>
                </c:pt>
                <c:pt idx="710">
                  <c:v>9.3000000000000007</c:v>
                </c:pt>
                <c:pt idx="711">
                  <c:v>104.96</c:v>
                </c:pt>
                <c:pt idx="712">
                  <c:v>36.9</c:v>
                </c:pt>
                <c:pt idx="713">
                  <c:v>46.41</c:v>
                </c:pt>
                <c:pt idx="714">
                  <c:v>122.43</c:v>
                </c:pt>
                <c:pt idx="715">
                  <c:v>164.06</c:v>
                </c:pt>
                <c:pt idx="716">
                  <c:v>117.21</c:v>
                </c:pt>
                <c:pt idx="717">
                  <c:v>350.46</c:v>
                </c:pt>
                <c:pt idx="718">
                  <c:v>140.69</c:v>
                </c:pt>
                <c:pt idx="719">
                  <c:v>56.92</c:v>
                </c:pt>
                <c:pt idx="720">
                  <c:v>1.41</c:v>
                </c:pt>
                <c:pt idx="721">
                  <c:v>33.76</c:v>
                </c:pt>
                <c:pt idx="722">
                  <c:v>-2.84</c:v>
                </c:pt>
                <c:pt idx="723">
                  <c:v>103.67</c:v>
                </c:pt>
                <c:pt idx="724">
                  <c:v>246.56</c:v>
                </c:pt>
                <c:pt idx="725">
                  <c:v>55.93</c:v>
                </c:pt>
                <c:pt idx="726">
                  <c:v>5.12</c:v>
                </c:pt>
                <c:pt idx="727">
                  <c:v>23.06</c:v>
                </c:pt>
                <c:pt idx="728">
                  <c:v>219.29</c:v>
                </c:pt>
                <c:pt idx="729">
                  <c:v>25.09</c:v>
                </c:pt>
                <c:pt idx="730">
                  <c:v>250.6</c:v>
                </c:pt>
                <c:pt idx="731">
                  <c:v>105.59</c:v>
                </c:pt>
                <c:pt idx="732">
                  <c:v>25.85</c:v>
                </c:pt>
                <c:pt idx="733">
                  <c:v>-2.87</c:v>
                </c:pt>
                <c:pt idx="734">
                  <c:v>63.38</c:v>
                </c:pt>
                <c:pt idx="735">
                  <c:v>22.07</c:v>
                </c:pt>
                <c:pt idx="736">
                  <c:v>164.92</c:v>
                </c:pt>
                <c:pt idx="737">
                  <c:v>619.46</c:v>
                </c:pt>
                <c:pt idx="738">
                  <c:v>496.58</c:v>
                </c:pt>
                <c:pt idx="739">
                  <c:v>33.229999999999997</c:v>
                </c:pt>
                <c:pt idx="740">
                  <c:v>64.97</c:v>
                </c:pt>
                <c:pt idx="741">
                  <c:v>11.4</c:v>
                </c:pt>
                <c:pt idx="742">
                  <c:v>104.42</c:v>
                </c:pt>
                <c:pt idx="743">
                  <c:v>107.7</c:v>
                </c:pt>
                <c:pt idx="744">
                  <c:v>319.52</c:v>
                </c:pt>
                <c:pt idx="745">
                  <c:v>40.020000000000003</c:v>
                </c:pt>
                <c:pt idx="746">
                  <c:v>-2.37</c:v>
                </c:pt>
                <c:pt idx="747">
                  <c:v>15.97</c:v>
                </c:pt>
                <c:pt idx="748">
                  <c:v>19.63</c:v>
                </c:pt>
                <c:pt idx="749">
                  <c:v>15.66</c:v>
                </c:pt>
                <c:pt idx="750">
                  <c:v>237.92</c:v>
                </c:pt>
                <c:pt idx="751">
                  <c:v>187.95</c:v>
                </c:pt>
                <c:pt idx="752">
                  <c:v>67.94</c:v>
                </c:pt>
                <c:pt idx="753">
                  <c:v>353.12</c:v>
                </c:pt>
                <c:pt idx="754">
                  <c:v>-1.9</c:v>
                </c:pt>
                <c:pt idx="755">
                  <c:v>13.41</c:v>
                </c:pt>
                <c:pt idx="756">
                  <c:v>82.5</c:v>
                </c:pt>
                <c:pt idx="757">
                  <c:v>-1.39</c:v>
                </c:pt>
                <c:pt idx="758">
                  <c:v>-0.55000000000000004</c:v>
                </c:pt>
                <c:pt idx="759">
                  <c:v>166.57</c:v>
                </c:pt>
                <c:pt idx="760">
                  <c:v>283.25</c:v>
                </c:pt>
                <c:pt idx="761">
                  <c:v>-0.83</c:v>
                </c:pt>
                <c:pt idx="762">
                  <c:v>13.41</c:v>
                </c:pt>
                <c:pt idx="763">
                  <c:v>-3.86</c:v>
                </c:pt>
                <c:pt idx="764">
                  <c:v>-2.12</c:v>
                </c:pt>
                <c:pt idx="765">
                  <c:v>22.54</c:v>
                </c:pt>
                <c:pt idx="766">
                  <c:v>386.94</c:v>
                </c:pt>
                <c:pt idx="767">
                  <c:v>252.08</c:v>
                </c:pt>
                <c:pt idx="768">
                  <c:v>252.8</c:v>
                </c:pt>
                <c:pt idx="769">
                  <c:v>79.98</c:v>
                </c:pt>
                <c:pt idx="770">
                  <c:v>2.2999999999999998</c:v>
                </c:pt>
                <c:pt idx="771">
                  <c:v>-3.94</c:v>
                </c:pt>
                <c:pt idx="772">
                  <c:v>87.62</c:v>
                </c:pt>
                <c:pt idx="773">
                  <c:v>142.93</c:v>
                </c:pt>
                <c:pt idx="774">
                  <c:v>18.329999999999998</c:v>
                </c:pt>
                <c:pt idx="775">
                  <c:v>2.2999999999999998</c:v>
                </c:pt>
                <c:pt idx="776">
                  <c:v>783.69</c:v>
                </c:pt>
                <c:pt idx="777">
                  <c:v>265.01</c:v>
                </c:pt>
                <c:pt idx="778">
                  <c:v>23.12</c:v>
                </c:pt>
                <c:pt idx="779">
                  <c:v>154.97999999999999</c:v>
                </c:pt>
                <c:pt idx="780">
                  <c:v>497.04</c:v>
                </c:pt>
                <c:pt idx="781">
                  <c:v>32.22</c:v>
                </c:pt>
                <c:pt idx="782">
                  <c:v>10.27</c:v>
                </c:pt>
                <c:pt idx="783">
                  <c:v>373.97</c:v>
                </c:pt>
                <c:pt idx="784">
                  <c:v>217.49</c:v>
                </c:pt>
                <c:pt idx="785">
                  <c:v>193.99</c:v>
                </c:pt>
                <c:pt idx="786">
                  <c:v>18.309999999999999</c:v>
                </c:pt>
                <c:pt idx="787">
                  <c:v>-2.68</c:v>
                </c:pt>
                <c:pt idx="788">
                  <c:v>760.05</c:v>
                </c:pt>
                <c:pt idx="789">
                  <c:v>43.83</c:v>
                </c:pt>
                <c:pt idx="790">
                  <c:v>29.37</c:v>
                </c:pt>
                <c:pt idx="791">
                  <c:v>27.04</c:v>
                </c:pt>
                <c:pt idx="792">
                  <c:v>-0.46</c:v>
                </c:pt>
                <c:pt idx="793">
                  <c:v>83.81</c:v>
                </c:pt>
                <c:pt idx="794">
                  <c:v>82.3</c:v>
                </c:pt>
                <c:pt idx="795">
                  <c:v>7.42</c:v>
                </c:pt>
                <c:pt idx="796">
                  <c:v>8.15</c:v>
                </c:pt>
                <c:pt idx="797">
                  <c:v>157.78</c:v>
                </c:pt>
                <c:pt idx="798">
                  <c:v>77.66</c:v>
                </c:pt>
                <c:pt idx="799">
                  <c:v>111.48</c:v>
                </c:pt>
                <c:pt idx="800">
                  <c:v>59.31</c:v>
                </c:pt>
                <c:pt idx="801">
                  <c:v>21.58</c:v>
                </c:pt>
                <c:pt idx="802">
                  <c:v>91.14</c:v>
                </c:pt>
                <c:pt idx="803">
                  <c:v>1.1399999999999999</c:v>
                </c:pt>
                <c:pt idx="804">
                  <c:v>31.22</c:v>
                </c:pt>
                <c:pt idx="805">
                  <c:v>26.56</c:v>
                </c:pt>
                <c:pt idx="806">
                  <c:v>0.38</c:v>
                </c:pt>
                <c:pt idx="807">
                  <c:v>36.520000000000003</c:v>
                </c:pt>
                <c:pt idx="808">
                  <c:v>3.08</c:v>
                </c:pt>
                <c:pt idx="809">
                  <c:v>11.52</c:v>
                </c:pt>
                <c:pt idx="810">
                  <c:v>25.35</c:v>
                </c:pt>
                <c:pt idx="811">
                  <c:v>92.77</c:v>
                </c:pt>
                <c:pt idx="812">
                  <c:v>10.72</c:v>
                </c:pt>
                <c:pt idx="813">
                  <c:v>8.08</c:v>
                </c:pt>
                <c:pt idx="814">
                  <c:v>20.39</c:v>
                </c:pt>
                <c:pt idx="815">
                  <c:v>0.8</c:v>
                </c:pt>
                <c:pt idx="816">
                  <c:v>56.76</c:v>
                </c:pt>
                <c:pt idx="817">
                  <c:v>15.61</c:v>
                </c:pt>
                <c:pt idx="818">
                  <c:v>19.45</c:v>
                </c:pt>
                <c:pt idx="819">
                  <c:v>104.2</c:v>
                </c:pt>
                <c:pt idx="820">
                  <c:v>21.58</c:v>
                </c:pt>
                <c:pt idx="821">
                  <c:v>8.19</c:v>
                </c:pt>
                <c:pt idx="822">
                  <c:v>190.36</c:v>
                </c:pt>
                <c:pt idx="823">
                  <c:v>99.04</c:v>
                </c:pt>
                <c:pt idx="824">
                  <c:v>-0.22</c:v>
                </c:pt>
                <c:pt idx="825">
                  <c:v>5.67</c:v>
                </c:pt>
                <c:pt idx="826">
                  <c:v>8.57</c:v>
                </c:pt>
                <c:pt idx="827">
                  <c:v>19.73</c:v>
                </c:pt>
                <c:pt idx="828">
                  <c:v>21.14</c:v>
                </c:pt>
                <c:pt idx="829">
                  <c:v>143.16</c:v>
                </c:pt>
                <c:pt idx="830">
                  <c:v>15.81</c:v>
                </c:pt>
                <c:pt idx="831">
                  <c:v>21.47</c:v>
                </c:pt>
                <c:pt idx="832">
                  <c:v>2.98</c:v>
                </c:pt>
                <c:pt idx="833">
                  <c:v>-1.58</c:v>
                </c:pt>
                <c:pt idx="834">
                  <c:v>6.5</c:v>
                </c:pt>
                <c:pt idx="835">
                  <c:v>41.33</c:v>
                </c:pt>
                <c:pt idx="836">
                  <c:v>33.03</c:v>
                </c:pt>
                <c:pt idx="837">
                  <c:v>89.89</c:v>
                </c:pt>
                <c:pt idx="838">
                  <c:v>88.49</c:v>
                </c:pt>
                <c:pt idx="839">
                  <c:v>41.71</c:v>
                </c:pt>
                <c:pt idx="840">
                  <c:v>12.66</c:v>
                </c:pt>
                <c:pt idx="841">
                  <c:v>-0.06</c:v>
                </c:pt>
                <c:pt idx="842">
                  <c:v>21.03</c:v>
                </c:pt>
                <c:pt idx="843">
                  <c:v>125.12</c:v>
                </c:pt>
                <c:pt idx="844">
                  <c:v>2.2400000000000002</c:v>
                </c:pt>
                <c:pt idx="845">
                  <c:v>-3.85</c:v>
                </c:pt>
                <c:pt idx="846">
                  <c:v>8.5399999999999991</c:v>
                </c:pt>
                <c:pt idx="847">
                  <c:v>70.010000000000005</c:v>
                </c:pt>
                <c:pt idx="848">
                  <c:v>11.3</c:v>
                </c:pt>
                <c:pt idx="849">
                  <c:v>-4.6500000000000004</c:v>
                </c:pt>
                <c:pt idx="850">
                  <c:v>409.15</c:v>
                </c:pt>
                <c:pt idx="851">
                  <c:v>24.14</c:v>
                </c:pt>
                <c:pt idx="852">
                  <c:v>-4.84</c:v>
                </c:pt>
                <c:pt idx="853">
                  <c:v>65.11</c:v>
                </c:pt>
                <c:pt idx="854">
                  <c:v>-2.54</c:v>
                </c:pt>
                <c:pt idx="855">
                  <c:v>40.78</c:v>
                </c:pt>
                <c:pt idx="856">
                  <c:v>200.83</c:v>
                </c:pt>
                <c:pt idx="857">
                  <c:v>231.47</c:v>
                </c:pt>
                <c:pt idx="858">
                  <c:v>31.33</c:v>
                </c:pt>
                <c:pt idx="859">
                  <c:v>30.61</c:v>
                </c:pt>
                <c:pt idx="860">
                  <c:v>3.8</c:v>
                </c:pt>
                <c:pt idx="861">
                  <c:v>257.74</c:v>
                </c:pt>
                <c:pt idx="862">
                  <c:v>94.68</c:v>
                </c:pt>
                <c:pt idx="863">
                  <c:v>1.26</c:v>
                </c:pt>
                <c:pt idx="864">
                  <c:v>22.97</c:v>
                </c:pt>
                <c:pt idx="865">
                  <c:v>8.81</c:v>
                </c:pt>
                <c:pt idx="866">
                  <c:v>25.36</c:v>
                </c:pt>
                <c:pt idx="867">
                  <c:v>18.25</c:v>
                </c:pt>
                <c:pt idx="868">
                  <c:v>0.6</c:v>
                </c:pt>
                <c:pt idx="869">
                  <c:v>263.67</c:v>
                </c:pt>
                <c:pt idx="870">
                  <c:v>181.94</c:v>
                </c:pt>
                <c:pt idx="871">
                  <c:v>-6.35</c:v>
                </c:pt>
                <c:pt idx="872">
                  <c:v>49.2</c:v>
                </c:pt>
                <c:pt idx="873">
                  <c:v>-1.04</c:v>
                </c:pt>
                <c:pt idx="874">
                  <c:v>431.15</c:v>
                </c:pt>
                <c:pt idx="875">
                  <c:v>168.64</c:v>
                </c:pt>
                <c:pt idx="876">
                  <c:v>28.82</c:v>
                </c:pt>
                <c:pt idx="877">
                  <c:v>9.9499999999999993</c:v>
                </c:pt>
                <c:pt idx="878">
                  <c:v>14.77</c:v>
                </c:pt>
                <c:pt idx="879">
                  <c:v>46.58</c:v>
                </c:pt>
                <c:pt idx="880">
                  <c:v>85.17</c:v>
                </c:pt>
                <c:pt idx="881">
                  <c:v>-5.45</c:v>
                </c:pt>
                <c:pt idx="882">
                  <c:v>26.06</c:v>
                </c:pt>
                <c:pt idx="883">
                  <c:v>64.069999999999993</c:v>
                </c:pt>
                <c:pt idx="884">
                  <c:v>4.13</c:v>
                </c:pt>
                <c:pt idx="885">
                  <c:v>58.7</c:v>
                </c:pt>
                <c:pt idx="886">
                  <c:v>-1.94</c:v>
                </c:pt>
                <c:pt idx="887">
                  <c:v>8.61</c:v>
                </c:pt>
                <c:pt idx="888">
                  <c:v>-0.26</c:v>
                </c:pt>
                <c:pt idx="889">
                  <c:v>203.12</c:v>
                </c:pt>
                <c:pt idx="890">
                  <c:v>79.08</c:v>
                </c:pt>
                <c:pt idx="891">
                  <c:v>-3.99</c:v>
                </c:pt>
                <c:pt idx="892">
                  <c:v>42.38</c:v>
                </c:pt>
                <c:pt idx="893">
                  <c:v>33.630000000000003</c:v>
                </c:pt>
                <c:pt idx="894">
                  <c:v>7.46</c:v>
                </c:pt>
                <c:pt idx="895">
                  <c:v>272.44</c:v>
                </c:pt>
                <c:pt idx="896">
                  <c:v>46.36</c:v>
                </c:pt>
                <c:pt idx="897">
                  <c:v>14.78</c:v>
                </c:pt>
                <c:pt idx="898">
                  <c:v>49.93</c:v>
                </c:pt>
                <c:pt idx="899">
                  <c:v>1.65</c:v>
                </c:pt>
                <c:pt idx="900">
                  <c:v>249.05</c:v>
                </c:pt>
                <c:pt idx="901">
                  <c:v>49.48</c:v>
                </c:pt>
                <c:pt idx="902">
                  <c:v>7.87</c:v>
                </c:pt>
                <c:pt idx="903">
                  <c:v>55.66</c:v>
                </c:pt>
                <c:pt idx="904">
                  <c:v>-0.4</c:v>
                </c:pt>
                <c:pt idx="905">
                  <c:v>61.44</c:v>
                </c:pt>
                <c:pt idx="906">
                  <c:v>-1.1399999999999999</c:v>
                </c:pt>
                <c:pt idx="907">
                  <c:v>25.63</c:v>
                </c:pt>
                <c:pt idx="908">
                  <c:v>35.979999999999997</c:v>
                </c:pt>
                <c:pt idx="909">
                  <c:v>61.42</c:v>
                </c:pt>
                <c:pt idx="910">
                  <c:v>3.13</c:v>
                </c:pt>
                <c:pt idx="911">
                  <c:v>12.33</c:v>
                </c:pt>
                <c:pt idx="912">
                  <c:v>132.9</c:v>
                </c:pt>
                <c:pt idx="913">
                  <c:v>68.739999999999995</c:v>
                </c:pt>
                <c:pt idx="914">
                  <c:v>221.25</c:v>
                </c:pt>
                <c:pt idx="915">
                  <c:v>30.26</c:v>
                </c:pt>
                <c:pt idx="916">
                  <c:v>-1.62</c:v>
                </c:pt>
                <c:pt idx="917">
                  <c:v>0.2</c:v>
                </c:pt>
                <c:pt idx="918">
                  <c:v>89.37</c:v>
                </c:pt>
                <c:pt idx="919">
                  <c:v>96.46</c:v>
                </c:pt>
                <c:pt idx="920">
                  <c:v>373.88</c:v>
                </c:pt>
                <c:pt idx="921">
                  <c:v>75.03</c:v>
                </c:pt>
                <c:pt idx="922">
                  <c:v>647.70000000000005</c:v>
                </c:pt>
                <c:pt idx="923">
                  <c:v>27.84</c:v>
                </c:pt>
                <c:pt idx="924">
                  <c:v>-1.82</c:v>
                </c:pt>
                <c:pt idx="925">
                  <c:v>45.22</c:v>
                </c:pt>
                <c:pt idx="926">
                  <c:v>184.98</c:v>
                </c:pt>
                <c:pt idx="927">
                  <c:v>-3.08</c:v>
                </c:pt>
                <c:pt idx="928">
                  <c:v>48.65</c:v>
                </c:pt>
                <c:pt idx="929">
                  <c:v>100.38</c:v>
                </c:pt>
                <c:pt idx="930">
                  <c:v>21.05</c:v>
                </c:pt>
                <c:pt idx="931">
                  <c:v>1.77</c:v>
                </c:pt>
                <c:pt idx="932">
                  <c:v>3.53</c:v>
                </c:pt>
                <c:pt idx="933">
                  <c:v>1.86</c:v>
                </c:pt>
                <c:pt idx="934">
                  <c:v>-1.24</c:v>
                </c:pt>
                <c:pt idx="935">
                  <c:v>9.11</c:v>
                </c:pt>
                <c:pt idx="936">
                  <c:v>535.99</c:v>
                </c:pt>
                <c:pt idx="937">
                  <c:v>80.55</c:v>
                </c:pt>
                <c:pt idx="938">
                  <c:v>23.91</c:v>
                </c:pt>
                <c:pt idx="939">
                  <c:v>27.54</c:v>
                </c:pt>
                <c:pt idx="940">
                  <c:v>6.08</c:v>
                </c:pt>
                <c:pt idx="941">
                  <c:v>0.33</c:v>
                </c:pt>
                <c:pt idx="942">
                  <c:v>3.77</c:v>
                </c:pt>
                <c:pt idx="943">
                  <c:v>209.66</c:v>
                </c:pt>
                <c:pt idx="944">
                  <c:v>17.55</c:v>
                </c:pt>
                <c:pt idx="945">
                  <c:v>13.26</c:v>
                </c:pt>
                <c:pt idx="946">
                  <c:v>186.82</c:v>
                </c:pt>
                <c:pt idx="947">
                  <c:v>28.26</c:v>
                </c:pt>
                <c:pt idx="948">
                  <c:v>22.31</c:v>
                </c:pt>
                <c:pt idx="949">
                  <c:v>68.41</c:v>
                </c:pt>
                <c:pt idx="950">
                  <c:v>37.54</c:v>
                </c:pt>
                <c:pt idx="951">
                  <c:v>1.18</c:v>
                </c:pt>
                <c:pt idx="952">
                  <c:v>9.0299999999999994</c:v>
                </c:pt>
                <c:pt idx="953">
                  <c:v>144.4</c:v>
                </c:pt>
                <c:pt idx="954">
                  <c:v>49.88</c:v>
                </c:pt>
                <c:pt idx="955">
                  <c:v>5.89</c:v>
                </c:pt>
                <c:pt idx="956">
                  <c:v>11.22</c:v>
                </c:pt>
                <c:pt idx="957">
                  <c:v>78.98</c:v>
                </c:pt>
                <c:pt idx="958">
                  <c:v>54.93</c:v>
                </c:pt>
                <c:pt idx="959">
                  <c:v>10.11</c:v>
                </c:pt>
                <c:pt idx="960">
                  <c:v>7.7</c:v>
                </c:pt>
                <c:pt idx="961">
                  <c:v>19.98</c:v>
                </c:pt>
                <c:pt idx="962">
                  <c:v>13.05</c:v>
                </c:pt>
                <c:pt idx="963">
                  <c:v>131.21</c:v>
                </c:pt>
                <c:pt idx="964">
                  <c:v>117.99</c:v>
                </c:pt>
                <c:pt idx="965">
                  <c:v>54.39</c:v>
                </c:pt>
                <c:pt idx="966">
                  <c:v>38.51</c:v>
                </c:pt>
                <c:pt idx="967">
                  <c:v>39.770000000000003</c:v>
                </c:pt>
                <c:pt idx="968">
                  <c:v>269.87</c:v>
                </c:pt>
                <c:pt idx="969">
                  <c:v>231.02</c:v>
                </c:pt>
                <c:pt idx="970">
                  <c:v>24.52</c:v>
                </c:pt>
                <c:pt idx="971">
                  <c:v>-2.1</c:v>
                </c:pt>
                <c:pt idx="972">
                  <c:v>-1.1599999999999999</c:v>
                </c:pt>
                <c:pt idx="973">
                  <c:v>-0.91</c:v>
                </c:pt>
                <c:pt idx="974">
                  <c:v>205.81</c:v>
                </c:pt>
                <c:pt idx="975">
                  <c:v>32.090000000000003</c:v>
                </c:pt>
                <c:pt idx="976">
                  <c:v>16.899999999999999</c:v>
                </c:pt>
                <c:pt idx="977">
                  <c:v>-1.44</c:v>
                </c:pt>
                <c:pt idx="978">
                  <c:v>131.29</c:v>
                </c:pt>
                <c:pt idx="979">
                  <c:v>277.41000000000003</c:v>
                </c:pt>
                <c:pt idx="980">
                  <c:v>17.73</c:v>
                </c:pt>
                <c:pt idx="981">
                  <c:v>-4.03</c:v>
                </c:pt>
                <c:pt idx="982">
                  <c:v>154.88999999999999</c:v>
                </c:pt>
                <c:pt idx="983">
                  <c:v>190.55</c:v>
                </c:pt>
                <c:pt idx="984">
                  <c:v>86.29</c:v>
                </c:pt>
                <c:pt idx="985">
                  <c:v>-0.56999999999999995</c:v>
                </c:pt>
                <c:pt idx="986">
                  <c:v>43.97</c:v>
                </c:pt>
                <c:pt idx="987">
                  <c:v>48.23</c:v>
                </c:pt>
                <c:pt idx="988">
                  <c:v>7.57</c:v>
                </c:pt>
                <c:pt idx="989">
                  <c:v>120.15</c:v>
                </c:pt>
                <c:pt idx="990">
                  <c:v>315.93</c:v>
                </c:pt>
                <c:pt idx="991">
                  <c:v>98.58</c:v>
                </c:pt>
                <c:pt idx="992">
                  <c:v>77.819999999999993</c:v>
                </c:pt>
                <c:pt idx="993">
                  <c:v>26.14</c:v>
                </c:pt>
                <c:pt idx="994">
                  <c:v>-4.7</c:v>
                </c:pt>
                <c:pt idx="995">
                  <c:v>34.56</c:v>
                </c:pt>
                <c:pt idx="996">
                  <c:v>145.74</c:v>
                </c:pt>
                <c:pt idx="997">
                  <c:v>85.03</c:v>
                </c:pt>
                <c:pt idx="998">
                  <c:v>17.12</c:v>
                </c:pt>
                <c:pt idx="999">
                  <c:v>7.15</c:v>
                </c:pt>
                <c:pt idx="1000">
                  <c:v>-10.1</c:v>
                </c:pt>
                <c:pt idx="1001">
                  <c:v>14.44</c:v>
                </c:pt>
                <c:pt idx="1002">
                  <c:v>0.49</c:v>
                </c:pt>
                <c:pt idx="1003">
                  <c:v>15.55</c:v>
                </c:pt>
                <c:pt idx="1004">
                  <c:v>34.56</c:v>
                </c:pt>
                <c:pt idx="1005">
                  <c:v>40.68</c:v>
                </c:pt>
                <c:pt idx="1006">
                  <c:v>325.93</c:v>
                </c:pt>
                <c:pt idx="1007">
                  <c:v>220.8</c:v>
                </c:pt>
                <c:pt idx="1008">
                  <c:v>95.32</c:v>
                </c:pt>
                <c:pt idx="1009">
                  <c:v>0.09</c:v>
                </c:pt>
                <c:pt idx="1010">
                  <c:v>45.31</c:v>
                </c:pt>
                <c:pt idx="1011">
                  <c:v>328.53</c:v>
                </c:pt>
                <c:pt idx="1012">
                  <c:v>0.28000000000000003</c:v>
                </c:pt>
                <c:pt idx="1013">
                  <c:v>33.89</c:v>
                </c:pt>
                <c:pt idx="1014">
                  <c:v>41.92</c:v>
                </c:pt>
                <c:pt idx="1015">
                  <c:v>17.71</c:v>
                </c:pt>
                <c:pt idx="1016">
                  <c:v>50.67</c:v>
                </c:pt>
                <c:pt idx="1017">
                  <c:v>18.8</c:v>
                </c:pt>
                <c:pt idx="1018">
                  <c:v>-3.52</c:v>
                </c:pt>
                <c:pt idx="1019">
                  <c:v>12.91</c:v>
                </c:pt>
                <c:pt idx="1020">
                  <c:v>14.42</c:v>
                </c:pt>
                <c:pt idx="1021">
                  <c:v>-5.33</c:v>
                </c:pt>
                <c:pt idx="1022">
                  <c:v>8.99</c:v>
                </c:pt>
                <c:pt idx="1023">
                  <c:v>-1.95</c:v>
                </c:pt>
                <c:pt idx="1024">
                  <c:v>-2.25</c:v>
                </c:pt>
                <c:pt idx="1025">
                  <c:v>27.3</c:v>
                </c:pt>
                <c:pt idx="1026">
                  <c:v>21.65</c:v>
                </c:pt>
                <c:pt idx="1027">
                  <c:v>374.65</c:v>
                </c:pt>
                <c:pt idx="1028">
                  <c:v>27.81</c:v>
                </c:pt>
                <c:pt idx="1029">
                  <c:v>52.78</c:v>
                </c:pt>
                <c:pt idx="1030">
                  <c:v>51.28</c:v>
                </c:pt>
                <c:pt idx="1031">
                  <c:v>235.94</c:v>
                </c:pt>
                <c:pt idx="1032">
                  <c:v>-5.39</c:v>
                </c:pt>
                <c:pt idx="1033">
                  <c:v>25.91</c:v>
                </c:pt>
                <c:pt idx="1034">
                  <c:v>33.57</c:v>
                </c:pt>
                <c:pt idx="1035">
                  <c:v>213.07</c:v>
                </c:pt>
                <c:pt idx="1036">
                  <c:v>118.38</c:v>
                </c:pt>
                <c:pt idx="1037">
                  <c:v>348.62</c:v>
                </c:pt>
                <c:pt idx="1038">
                  <c:v>9.61</c:v>
                </c:pt>
                <c:pt idx="1039">
                  <c:v>10.8</c:v>
                </c:pt>
                <c:pt idx="1040">
                  <c:v>31.34</c:v>
                </c:pt>
                <c:pt idx="1041">
                  <c:v>233.88</c:v>
                </c:pt>
                <c:pt idx="1042">
                  <c:v>17.62</c:v>
                </c:pt>
                <c:pt idx="1043">
                  <c:v>31.41</c:v>
                </c:pt>
                <c:pt idx="1044">
                  <c:v>156.22999999999999</c:v>
                </c:pt>
                <c:pt idx="1045">
                  <c:v>0.75</c:v>
                </c:pt>
                <c:pt idx="1046">
                  <c:v>79.73</c:v>
                </c:pt>
                <c:pt idx="1047">
                  <c:v>86.25</c:v>
                </c:pt>
                <c:pt idx="1048">
                  <c:v>5.39</c:v>
                </c:pt>
                <c:pt idx="1049">
                  <c:v>-3.02</c:v>
                </c:pt>
                <c:pt idx="1050">
                  <c:v>3.79</c:v>
                </c:pt>
                <c:pt idx="1051">
                  <c:v>456.85</c:v>
                </c:pt>
                <c:pt idx="1052">
                  <c:v>46.6</c:v>
                </c:pt>
                <c:pt idx="1053">
                  <c:v>150.37</c:v>
                </c:pt>
                <c:pt idx="1054">
                  <c:v>27.53</c:v>
                </c:pt>
                <c:pt idx="1055">
                  <c:v>108.85</c:v>
                </c:pt>
                <c:pt idx="1056">
                  <c:v>27.51</c:v>
                </c:pt>
                <c:pt idx="1057">
                  <c:v>68.16</c:v>
                </c:pt>
                <c:pt idx="1058">
                  <c:v>-5.0199999999999996</c:v>
                </c:pt>
                <c:pt idx="1059">
                  <c:v>15.43</c:v>
                </c:pt>
                <c:pt idx="1060">
                  <c:v>447.36</c:v>
                </c:pt>
                <c:pt idx="1061">
                  <c:v>33.17</c:v>
                </c:pt>
                <c:pt idx="1062">
                  <c:v>77.34</c:v>
                </c:pt>
                <c:pt idx="1063">
                  <c:v>-0.72</c:v>
                </c:pt>
                <c:pt idx="1064">
                  <c:v>10.32</c:v>
                </c:pt>
                <c:pt idx="1065">
                  <c:v>59.99</c:v>
                </c:pt>
                <c:pt idx="1066">
                  <c:v>71.72</c:v>
                </c:pt>
                <c:pt idx="1067">
                  <c:v>-1.41</c:v>
                </c:pt>
                <c:pt idx="1068">
                  <c:v>19.28</c:v>
                </c:pt>
                <c:pt idx="1069">
                  <c:v>-2.91</c:v>
                </c:pt>
                <c:pt idx="1070">
                  <c:v>32.47</c:v>
                </c:pt>
                <c:pt idx="1071">
                  <c:v>180.66</c:v>
                </c:pt>
                <c:pt idx="1072">
                  <c:v>89.39</c:v>
                </c:pt>
                <c:pt idx="1073">
                  <c:v>131.04</c:v>
                </c:pt>
                <c:pt idx="1074">
                  <c:v>2.02</c:v>
                </c:pt>
                <c:pt idx="1075">
                  <c:v>35.020000000000003</c:v>
                </c:pt>
                <c:pt idx="1076">
                  <c:v>93.18</c:v>
                </c:pt>
                <c:pt idx="1077">
                  <c:v>67.010000000000005</c:v>
                </c:pt>
                <c:pt idx="1078">
                  <c:v>35.29</c:v>
                </c:pt>
                <c:pt idx="1079">
                  <c:v>14.09</c:v>
                </c:pt>
                <c:pt idx="1080">
                  <c:v>232.24</c:v>
                </c:pt>
                <c:pt idx="1081">
                  <c:v>9.5399999999999991</c:v>
                </c:pt>
                <c:pt idx="1082">
                  <c:v>644.77</c:v>
                </c:pt>
                <c:pt idx="1083">
                  <c:v>48.7</c:v>
                </c:pt>
                <c:pt idx="1084">
                  <c:v>6.53</c:v>
                </c:pt>
                <c:pt idx="1085">
                  <c:v>42.49</c:v>
                </c:pt>
                <c:pt idx="1086">
                  <c:v>47.21</c:v>
                </c:pt>
                <c:pt idx="1087">
                  <c:v>16.170000000000002</c:v>
                </c:pt>
                <c:pt idx="1088">
                  <c:v>5.12</c:v>
                </c:pt>
                <c:pt idx="1089">
                  <c:v>1370.08</c:v>
                </c:pt>
                <c:pt idx="1090">
                  <c:v>874.37</c:v>
                </c:pt>
                <c:pt idx="1091">
                  <c:v>63.02</c:v>
                </c:pt>
                <c:pt idx="1092">
                  <c:v>46.34</c:v>
                </c:pt>
                <c:pt idx="1093">
                  <c:v>7.06</c:v>
                </c:pt>
                <c:pt idx="1094">
                  <c:v>28.01</c:v>
                </c:pt>
                <c:pt idx="1095">
                  <c:v>29.71</c:v>
                </c:pt>
                <c:pt idx="1096">
                  <c:v>22.24</c:v>
                </c:pt>
                <c:pt idx="1097">
                  <c:v>75.319999999999993</c:v>
                </c:pt>
                <c:pt idx="1098">
                  <c:v>15</c:v>
                </c:pt>
                <c:pt idx="1099">
                  <c:v>11.37</c:v>
                </c:pt>
                <c:pt idx="1100">
                  <c:v>165.16</c:v>
                </c:pt>
                <c:pt idx="1101">
                  <c:v>106.33</c:v>
                </c:pt>
                <c:pt idx="1102">
                  <c:v>0.12</c:v>
                </c:pt>
                <c:pt idx="1103">
                  <c:v>10.25</c:v>
                </c:pt>
                <c:pt idx="1104">
                  <c:v>255.43</c:v>
                </c:pt>
                <c:pt idx="1105">
                  <c:v>33.86</c:v>
                </c:pt>
                <c:pt idx="1106">
                  <c:v>50.29</c:v>
                </c:pt>
                <c:pt idx="1107">
                  <c:v>27.46</c:v>
                </c:pt>
                <c:pt idx="1108">
                  <c:v>12.57</c:v>
                </c:pt>
                <c:pt idx="1109">
                  <c:v>11.2</c:v>
                </c:pt>
                <c:pt idx="1110">
                  <c:v>-1.79</c:v>
                </c:pt>
                <c:pt idx="1111">
                  <c:v>7.12</c:v>
                </c:pt>
                <c:pt idx="1112">
                  <c:v>30.69</c:v>
                </c:pt>
                <c:pt idx="1113">
                  <c:v>32.89</c:v>
                </c:pt>
                <c:pt idx="1114">
                  <c:v>107.83</c:v>
                </c:pt>
                <c:pt idx="1115">
                  <c:v>93.22</c:v>
                </c:pt>
                <c:pt idx="1116">
                  <c:v>52.25</c:v>
                </c:pt>
                <c:pt idx="1117">
                  <c:v>1.99</c:v>
                </c:pt>
                <c:pt idx="1118">
                  <c:v>29.43</c:v>
                </c:pt>
                <c:pt idx="1119">
                  <c:v>409</c:v>
                </c:pt>
                <c:pt idx="1120">
                  <c:v>124.92</c:v>
                </c:pt>
                <c:pt idx="1121">
                  <c:v>43.31</c:v>
                </c:pt>
                <c:pt idx="1122">
                  <c:v>-3.52</c:v>
                </c:pt>
                <c:pt idx="1123">
                  <c:v>3.89</c:v>
                </c:pt>
                <c:pt idx="1124">
                  <c:v>130.79</c:v>
                </c:pt>
                <c:pt idx="1125">
                  <c:v>131.63</c:v>
                </c:pt>
                <c:pt idx="1126">
                  <c:v>195.65</c:v>
                </c:pt>
                <c:pt idx="1127">
                  <c:v>491.36</c:v>
                </c:pt>
                <c:pt idx="1128">
                  <c:v>45.83</c:v>
                </c:pt>
                <c:pt idx="1129">
                  <c:v>52.63</c:v>
                </c:pt>
                <c:pt idx="1130">
                  <c:v>11.8</c:v>
                </c:pt>
                <c:pt idx="1131">
                  <c:v>3.17</c:v>
                </c:pt>
                <c:pt idx="1132">
                  <c:v>185.38</c:v>
                </c:pt>
                <c:pt idx="1133">
                  <c:v>39.06</c:v>
                </c:pt>
                <c:pt idx="1134">
                  <c:v>24.6</c:v>
                </c:pt>
                <c:pt idx="1135">
                  <c:v>26.98</c:v>
                </c:pt>
                <c:pt idx="1136">
                  <c:v>22.61</c:v>
                </c:pt>
                <c:pt idx="1137">
                  <c:v>16.07</c:v>
                </c:pt>
                <c:pt idx="1138">
                  <c:v>148.76</c:v>
                </c:pt>
                <c:pt idx="1139">
                  <c:v>227.22</c:v>
                </c:pt>
                <c:pt idx="1140">
                  <c:v>-1.86</c:v>
                </c:pt>
                <c:pt idx="1141">
                  <c:v>14.98</c:v>
                </c:pt>
                <c:pt idx="1142">
                  <c:v>37.42</c:v>
                </c:pt>
                <c:pt idx="1143">
                  <c:v>130.93</c:v>
                </c:pt>
                <c:pt idx="1144">
                  <c:v>115.22</c:v>
                </c:pt>
                <c:pt idx="1145">
                  <c:v>133.61000000000001</c:v>
                </c:pt>
                <c:pt idx="1146">
                  <c:v>57.75</c:v>
                </c:pt>
                <c:pt idx="1147">
                  <c:v>42.03</c:v>
                </c:pt>
                <c:pt idx="1148">
                  <c:v>100.47</c:v>
                </c:pt>
                <c:pt idx="1149">
                  <c:v>55.09</c:v>
                </c:pt>
                <c:pt idx="1150">
                  <c:v>7.35</c:v>
                </c:pt>
                <c:pt idx="1151">
                  <c:v>348.29</c:v>
                </c:pt>
                <c:pt idx="1152">
                  <c:v>1116.45</c:v>
                </c:pt>
                <c:pt idx="1153">
                  <c:v>48.26</c:v>
                </c:pt>
                <c:pt idx="1154">
                  <c:v>115.42</c:v>
                </c:pt>
                <c:pt idx="1155">
                  <c:v>46.62</c:v>
                </c:pt>
                <c:pt idx="1156">
                  <c:v>61.93</c:v>
                </c:pt>
                <c:pt idx="1157">
                  <c:v>9.2899999999999991</c:v>
                </c:pt>
                <c:pt idx="1158">
                  <c:v>45.66</c:v>
                </c:pt>
                <c:pt idx="1159">
                  <c:v>2.76</c:v>
                </c:pt>
                <c:pt idx="1160">
                  <c:v>-2.74</c:v>
                </c:pt>
                <c:pt idx="1161">
                  <c:v>8.44</c:v>
                </c:pt>
                <c:pt idx="1162">
                  <c:v>17.41</c:v>
                </c:pt>
                <c:pt idx="1163">
                  <c:v>26.91</c:v>
                </c:pt>
                <c:pt idx="1164">
                  <c:v>307.48</c:v>
                </c:pt>
                <c:pt idx="1165">
                  <c:v>154.97</c:v>
                </c:pt>
                <c:pt idx="1166">
                  <c:v>362.63</c:v>
                </c:pt>
                <c:pt idx="1167">
                  <c:v>13.02</c:v>
                </c:pt>
                <c:pt idx="1168">
                  <c:v>1.67</c:v>
                </c:pt>
                <c:pt idx="1169">
                  <c:v>86.39</c:v>
                </c:pt>
                <c:pt idx="1170">
                  <c:v>56.23</c:v>
                </c:pt>
                <c:pt idx="1171">
                  <c:v>104.1</c:v>
                </c:pt>
                <c:pt idx="1172">
                  <c:v>80.349999999999994</c:v>
                </c:pt>
                <c:pt idx="1173">
                  <c:v>6.16</c:v>
                </c:pt>
                <c:pt idx="1174">
                  <c:v>17.91</c:v>
                </c:pt>
                <c:pt idx="1175">
                  <c:v>6.76</c:v>
                </c:pt>
                <c:pt idx="1176">
                  <c:v>66.3</c:v>
                </c:pt>
                <c:pt idx="1177">
                  <c:v>76.97</c:v>
                </c:pt>
                <c:pt idx="1178">
                  <c:v>67.28</c:v>
                </c:pt>
                <c:pt idx="1179">
                  <c:v>36.24</c:v>
                </c:pt>
                <c:pt idx="1180">
                  <c:v>7.6</c:v>
                </c:pt>
                <c:pt idx="1181">
                  <c:v>156.02000000000001</c:v>
                </c:pt>
                <c:pt idx="1182">
                  <c:v>16.100000000000001</c:v>
                </c:pt>
                <c:pt idx="1183">
                  <c:v>35.549999999999997</c:v>
                </c:pt>
                <c:pt idx="1184">
                  <c:v>-1.83</c:v>
                </c:pt>
                <c:pt idx="1185">
                  <c:v>-7.73</c:v>
                </c:pt>
                <c:pt idx="1186">
                  <c:v>113.38</c:v>
                </c:pt>
                <c:pt idx="1187">
                  <c:v>27.41</c:v>
                </c:pt>
                <c:pt idx="1188">
                  <c:v>5.23</c:v>
                </c:pt>
                <c:pt idx="1189">
                  <c:v>63.32</c:v>
                </c:pt>
                <c:pt idx="1190">
                  <c:v>25.15</c:v>
                </c:pt>
                <c:pt idx="1191">
                  <c:v>12.01</c:v>
                </c:pt>
                <c:pt idx="1192">
                  <c:v>51.41</c:v>
                </c:pt>
                <c:pt idx="1193">
                  <c:v>11.55</c:v>
                </c:pt>
                <c:pt idx="1194">
                  <c:v>153.66</c:v>
                </c:pt>
                <c:pt idx="1195">
                  <c:v>25.04</c:v>
                </c:pt>
                <c:pt idx="1196">
                  <c:v>137.68</c:v>
                </c:pt>
                <c:pt idx="1197">
                  <c:v>134.53</c:v>
                </c:pt>
                <c:pt idx="1198">
                  <c:v>18.63</c:v>
                </c:pt>
                <c:pt idx="1199">
                  <c:v>357.4</c:v>
                </c:pt>
                <c:pt idx="1200">
                  <c:v>-3.57</c:v>
                </c:pt>
                <c:pt idx="1201">
                  <c:v>26.71</c:v>
                </c:pt>
                <c:pt idx="1202">
                  <c:v>60.22</c:v>
                </c:pt>
                <c:pt idx="1203">
                  <c:v>-3.9</c:v>
                </c:pt>
                <c:pt idx="1204">
                  <c:v>10.97</c:v>
                </c:pt>
                <c:pt idx="1205">
                  <c:v>163.5</c:v>
                </c:pt>
                <c:pt idx="1206">
                  <c:v>140.11000000000001</c:v>
                </c:pt>
                <c:pt idx="1207">
                  <c:v>48.91</c:v>
                </c:pt>
                <c:pt idx="1208">
                  <c:v>-1.54</c:v>
                </c:pt>
                <c:pt idx="1209">
                  <c:v>4.82</c:v>
                </c:pt>
                <c:pt idx="1210">
                  <c:v>132.07</c:v>
                </c:pt>
                <c:pt idx="1211">
                  <c:v>57.13</c:v>
                </c:pt>
                <c:pt idx="1212">
                  <c:v>63.38</c:v>
                </c:pt>
                <c:pt idx="1213">
                  <c:v>76.849999999999994</c:v>
                </c:pt>
                <c:pt idx="1214">
                  <c:v>422.9</c:v>
                </c:pt>
                <c:pt idx="1215">
                  <c:v>-6.45</c:v>
                </c:pt>
                <c:pt idx="1216">
                  <c:v>265.39</c:v>
                </c:pt>
                <c:pt idx="1217">
                  <c:v>468.09</c:v>
                </c:pt>
                <c:pt idx="1218">
                  <c:v>-5.07</c:v>
                </c:pt>
                <c:pt idx="1219">
                  <c:v>98.68</c:v>
                </c:pt>
                <c:pt idx="1220">
                  <c:v>66.47</c:v>
                </c:pt>
                <c:pt idx="1221">
                  <c:v>49.64</c:v>
                </c:pt>
                <c:pt idx="1222">
                  <c:v>13.65</c:v>
                </c:pt>
                <c:pt idx="1223">
                  <c:v>90.28</c:v>
                </c:pt>
                <c:pt idx="1224">
                  <c:v>37.28</c:v>
                </c:pt>
                <c:pt idx="1225">
                  <c:v>130.59</c:v>
                </c:pt>
                <c:pt idx="1226">
                  <c:v>-5.43</c:v>
                </c:pt>
                <c:pt idx="1227">
                  <c:v>230.95</c:v>
                </c:pt>
                <c:pt idx="1228">
                  <c:v>-4.97</c:v>
                </c:pt>
                <c:pt idx="1229">
                  <c:v>28.78</c:v>
                </c:pt>
                <c:pt idx="1230">
                  <c:v>25.39</c:v>
                </c:pt>
                <c:pt idx="1231">
                  <c:v>-5.19</c:v>
                </c:pt>
                <c:pt idx="1232">
                  <c:v>11.16</c:v>
                </c:pt>
                <c:pt idx="1233">
                  <c:v>203.98</c:v>
                </c:pt>
                <c:pt idx="1234">
                  <c:v>280.23</c:v>
                </c:pt>
                <c:pt idx="1235">
                  <c:v>135.25</c:v>
                </c:pt>
                <c:pt idx="1236">
                  <c:v>588.72</c:v>
                </c:pt>
                <c:pt idx="1237">
                  <c:v>15.69</c:v>
                </c:pt>
                <c:pt idx="1238">
                  <c:v>152.58000000000001</c:v>
                </c:pt>
                <c:pt idx="1239">
                  <c:v>-4.7</c:v>
                </c:pt>
                <c:pt idx="1240">
                  <c:v>94.11</c:v>
                </c:pt>
                <c:pt idx="1241">
                  <c:v>992.84</c:v>
                </c:pt>
                <c:pt idx="1242">
                  <c:v>45.27</c:v>
                </c:pt>
                <c:pt idx="1243">
                  <c:v>83.62</c:v>
                </c:pt>
                <c:pt idx="1244">
                  <c:v>73.010000000000005</c:v>
                </c:pt>
                <c:pt idx="1245">
                  <c:v>39.69</c:v>
                </c:pt>
                <c:pt idx="1246">
                  <c:v>62.71</c:v>
                </c:pt>
                <c:pt idx="1247">
                  <c:v>70.069999999999993</c:v>
                </c:pt>
                <c:pt idx="1248">
                  <c:v>78.83</c:v>
                </c:pt>
                <c:pt idx="1249">
                  <c:v>30.27</c:v>
                </c:pt>
                <c:pt idx="1250">
                  <c:v>31.84</c:v>
                </c:pt>
                <c:pt idx="1251">
                  <c:v>75.58</c:v>
                </c:pt>
                <c:pt idx="1252">
                  <c:v>28.41</c:v>
                </c:pt>
                <c:pt idx="1253">
                  <c:v>55.63</c:v>
                </c:pt>
                <c:pt idx="1254">
                  <c:v>14.17</c:v>
                </c:pt>
                <c:pt idx="1255">
                  <c:v>140.37</c:v>
                </c:pt>
                <c:pt idx="1256">
                  <c:v>24.4</c:v>
                </c:pt>
                <c:pt idx="1257">
                  <c:v>13.22</c:v>
                </c:pt>
                <c:pt idx="1258">
                  <c:v>116.73</c:v>
                </c:pt>
                <c:pt idx="1259">
                  <c:v>-2</c:v>
                </c:pt>
                <c:pt idx="1260">
                  <c:v>242.29</c:v>
                </c:pt>
                <c:pt idx="1261">
                  <c:v>128.25</c:v>
                </c:pt>
                <c:pt idx="1262">
                  <c:v>199.01</c:v>
                </c:pt>
                <c:pt idx="1263">
                  <c:v>36.61</c:v>
                </c:pt>
                <c:pt idx="1264">
                  <c:v>137.65</c:v>
                </c:pt>
                <c:pt idx="1265">
                  <c:v>-3.24</c:v>
                </c:pt>
                <c:pt idx="1266">
                  <c:v>25.4</c:v>
                </c:pt>
                <c:pt idx="1267">
                  <c:v>-4.12</c:v>
                </c:pt>
                <c:pt idx="1268">
                  <c:v>-10.48</c:v>
                </c:pt>
                <c:pt idx="1269">
                  <c:v>378.75</c:v>
                </c:pt>
                <c:pt idx="1270">
                  <c:v>9.36</c:v>
                </c:pt>
                <c:pt idx="1271">
                  <c:v>31.06</c:v>
                </c:pt>
                <c:pt idx="1272">
                  <c:v>54.39</c:v>
                </c:pt>
                <c:pt idx="1273">
                  <c:v>137.34</c:v>
                </c:pt>
                <c:pt idx="1274">
                  <c:v>58.41</c:v>
                </c:pt>
                <c:pt idx="1275">
                  <c:v>-4.18</c:v>
                </c:pt>
                <c:pt idx="1276">
                  <c:v>40.03</c:v>
                </c:pt>
                <c:pt idx="1277">
                  <c:v>69.27</c:v>
                </c:pt>
                <c:pt idx="1278">
                  <c:v>73.08</c:v>
                </c:pt>
                <c:pt idx="1279">
                  <c:v>7.85</c:v>
                </c:pt>
                <c:pt idx="1280">
                  <c:v>90.6</c:v>
                </c:pt>
                <c:pt idx="1281">
                  <c:v>67.09</c:v>
                </c:pt>
                <c:pt idx="1282">
                  <c:v>35.520000000000003</c:v>
                </c:pt>
                <c:pt idx="1283">
                  <c:v>146.76</c:v>
                </c:pt>
                <c:pt idx="1284">
                  <c:v>9</c:v>
                </c:pt>
                <c:pt idx="1285">
                  <c:v>-1.76</c:v>
                </c:pt>
                <c:pt idx="1286">
                  <c:v>456.73</c:v>
                </c:pt>
                <c:pt idx="1287">
                  <c:v>500.67</c:v>
                </c:pt>
                <c:pt idx="1288">
                  <c:v>37.340000000000003</c:v>
                </c:pt>
                <c:pt idx="1289">
                  <c:v>118.59</c:v>
                </c:pt>
                <c:pt idx="1290">
                  <c:v>-3.65</c:v>
                </c:pt>
                <c:pt idx="1291">
                  <c:v>323.39999999999998</c:v>
                </c:pt>
                <c:pt idx="1292">
                  <c:v>-7.14</c:v>
                </c:pt>
                <c:pt idx="1293">
                  <c:v>0.26</c:v>
                </c:pt>
                <c:pt idx="1294">
                  <c:v>-5.31</c:v>
                </c:pt>
                <c:pt idx="1295">
                  <c:v>41.92</c:v>
                </c:pt>
                <c:pt idx="1296">
                  <c:v>16.899999999999999</c:v>
                </c:pt>
                <c:pt idx="1297">
                  <c:v>78.83</c:v>
                </c:pt>
                <c:pt idx="1298">
                  <c:v>0.35</c:v>
                </c:pt>
                <c:pt idx="1299">
                  <c:v>143.03</c:v>
                </c:pt>
                <c:pt idx="1300">
                  <c:v>6.88</c:v>
                </c:pt>
                <c:pt idx="1301">
                  <c:v>70.31</c:v>
                </c:pt>
                <c:pt idx="1302">
                  <c:v>367.64</c:v>
                </c:pt>
                <c:pt idx="1303">
                  <c:v>282.29000000000002</c:v>
                </c:pt>
                <c:pt idx="1304">
                  <c:v>78.89</c:v>
                </c:pt>
                <c:pt idx="1305">
                  <c:v>32.770000000000003</c:v>
                </c:pt>
                <c:pt idx="1306">
                  <c:v>30.83</c:v>
                </c:pt>
                <c:pt idx="1307">
                  <c:v>17.899999999999999</c:v>
                </c:pt>
                <c:pt idx="1308">
                  <c:v>653.71</c:v>
                </c:pt>
                <c:pt idx="1309">
                  <c:v>24.2</c:v>
                </c:pt>
                <c:pt idx="1310">
                  <c:v>15.32</c:v>
                </c:pt>
                <c:pt idx="1311">
                  <c:v>51.77</c:v>
                </c:pt>
                <c:pt idx="1312">
                  <c:v>7.79</c:v>
                </c:pt>
                <c:pt idx="1313">
                  <c:v>83.12</c:v>
                </c:pt>
                <c:pt idx="1314">
                  <c:v>24.68</c:v>
                </c:pt>
                <c:pt idx="1315">
                  <c:v>63.34</c:v>
                </c:pt>
                <c:pt idx="1316">
                  <c:v>255.08</c:v>
                </c:pt>
                <c:pt idx="1317">
                  <c:v>153.26</c:v>
                </c:pt>
                <c:pt idx="1318">
                  <c:v>22.56</c:v>
                </c:pt>
                <c:pt idx="1319">
                  <c:v>19.98</c:v>
                </c:pt>
                <c:pt idx="1320">
                  <c:v>3.75</c:v>
                </c:pt>
                <c:pt idx="1321">
                  <c:v>162.27000000000001</c:v>
                </c:pt>
                <c:pt idx="1322">
                  <c:v>9.92</c:v>
                </c:pt>
                <c:pt idx="1323">
                  <c:v>727.25</c:v>
                </c:pt>
                <c:pt idx="1324">
                  <c:v>198.67</c:v>
                </c:pt>
                <c:pt idx="1325">
                  <c:v>-0.59</c:v>
                </c:pt>
                <c:pt idx="1326">
                  <c:v>3.93</c:v>
                </c:pt>
                <c:pt idx="1327">
                  <c:v>133.44</c:v>
                </c:pt>
                <c:pt idx="1328">
                  <c:v>25.57</c:v>
                </c:pt>
                <c:pt idx="1329">
                  <c:v>17.760000000000002</c:v>
                </c:pt>
                <c:pt idx="1330">
                  <c:v>17.34</c:v>
                </c:pt>
                <c:pt idx="1331">
                  <c:v>17.7</c:v>
                </c:pt>
                <c:pt idx="1332">
                  <c:v>57.46</c:v>
                </c:pt>
                <c:pt idx="1333">
                  <c:v>32.94</c:v>
                </c:pt>
                <c:pt idx="1334">
                  <c:v>-0.56999999999999995</c:v>
                </c:pt>
                <c:pt idx="1335">
                  <c:v>76.89</c:v>
                </c:pt>
                <c:pt idx="1336">
                  <c:v>1.61</c:v>
                </c:pt>
                <c:pt idx="1337">
                  <c:v>17.46</c:v>
                </c:pt>
                <c:pt idx="1338">
                  <c:v>182.73</c:v>
                </c:pt>
                <c:pt idx="1339">
                  <c:v>74.5</c:v>
                </c:pt>
                <c:pt idx="1340">
                  <c:v>-1.61</c:v>
                </c:pt>
                <c:pt idx="1341">
                  <c:v>261.25</c:v>
                </c:pt>
                <c:pt idx="1342">
                  <c:v>-5.67</c:v>
                </c:pt>
                <c:pt idx="1343">
                  <c:v>-0.48</c:v>
                </c:pt>
                <c:pt idx="1344">
                  <c:v>98.92</c:v>
                </c:pt>
                <c:pt idx="1345">
                  <c:v>46.12</c:v>
                </c:pt>
                <c:pt idx="1346">
                  <c:v>25.48</c:v>
                </c:pt>
                <c:pt idx="1347">
                  <c:v>-4.4800000000000004</c:v>
                </c:pt>
                <c:pt idx="1348">
                  <c:v>719.68</c:v>
                </c:pt>
                <c:pt idx="1349">
                  <c:v>84.74</c:v>
                </c:pt>
                <c:pt idx="1350">
                  <c:v>84.2</c:v>
                </c:pt>
                <c:pt idx="1351">
                  <c:v>-4.6500000000000004</c:v>
                </c:pt>
                <c:pt idx="1352">
                  <c:v>-4.29</c:v>
                </c:pt>
                <c:pt idx="1353">
                  <c:v>138.06</c:v>
                </c:pt>
                <c:pt idx="1354">
                  <c:v>60.48</c:v>
                </c:pt>
                <c:pt idx="1355">
                  <c:v>18.32</c:v>
                </c:pt>
                <c:pt idx="1356">
                  <c:v>416.67</c:v>
                </c:pt>
                <c:pt idx="1357">
                  <c:v>73.349999999999994</c:v>
                </c:pt>
                <c:pt idx="1358">
                  <c:v>52.48</c:v>
                </c:pt>
                <c:pt idx="1359">
                  <c:v>67.11</c:v>
                </c:pt>
                <c:pt idx="1360">
                  <c:v>42.03</c:v>
                </c:pt>
                <c:pt idx="1361">
                  <c:v>4.53</c:v>
                </c:pt>
                <c:pt idx="1362">
                  <c:v>7.01</c:v>
                </c:pt>
                <c:pt idx="1363">
                  <c:v>19.79</c:v>
                </c:pt>
                <c:pt idx="1364">
                  <c:v>75.44</c:v>
                </c:pt>
                <c:pt idx="1365">
                  <c:v>112.64</c:v>
                </c:pt>
                <c:pt idx="1366">
                  <c:v>9.75</c:v>
                </c:pt>
                <c:pt idx="1367">
                  <c:v>51.89</c:v>
                </c:pt>
                <c:pt idx="1368">
                  <c:v>-0.32</c:v>
                </c:pt>
                <c:pt idx="1369">
                  <c:v>1.1000000000000001</c:v>
                </c:pt>
                <c:pt idx="1370">
                  <c:v>93.57</c:v>
                </c:pt>
                <c:pt idx="1371">
                  <c:v>87.09</c:v>
                </c:pt>
                <c:pt idx="1372">
                  <c:v>81.96</c:v>
                </c:pt>
                <c:pt idx="1373">
                  <c:v>118.74</c:v>
                </c:pt>
                <c:pt idx="1374">
                  <c:v>-2.56</c:v>
                </c:pt>
                <c:pt idx="1375">
                  <c:v>23.43</c:v>
                </c:pt>
                <c:pt idx="1376">
                  <c:v>9.4700000000000006</c:v>
                </c:pt>
                <c:pt idx="1377">
                  <c:v>2.52</c:v>
                </c:pt>
                <c:pt idx="1378">
                  <c:v>9.43</c:v>
                </c:pt>
                <c:pt idx="1379">
                  <c:v>97.88</c:v>
                </c:pt>
                <c:pt idx="1380">
                  <c:v>64.489999999999995</c:v>
                </c:pt>
                <c:pt idx="1381">
                  <c:v>280.17</c:v>
                </c:pt>
                <c:pt idx="1382">
                  <c:v>12.4</c:v>
                </c:pt>
                <c:pt idx="1383">
                  <c:v>227.04</c:v>
                </c:pt>
                <c:pt idx="1384">
                  <c:v>0.33</c:v>
                </c:pt>
                <c:pt idx="1385">
                  <c:v>21.13</c:v>
                </c:pt>
                <c:pt idx="1386">
                  <c:v>26.45</c:v>
                </c:pt>
                <c:pt idx="1387">
                  <c:v>23.54</c:v>
                </c:pt>
                <c:pt idx="1388">
                  <c:v>47.39</c:v>
                </c:pt>
                <c:pt idx="1389">
                  <c:v>26.83</c:v>
                </c:pt>
                <c:pt idx="1390">
                  <c:v>-3.1</c:v>
                </c:pt>
                <c:pt idx="1391">
                  <c:v>12.47</c:v>
                </c:pt>
                <c:pt idx="1392">
                  <c:v>-3.05</c:v>
                </c:pt>
                <c:pt idx="1393">
                  <c:v>20.22</c:v>
                </c:pt>
                <c:pt idx="1394">
                  <c:v>44.26</c:v>
                </c:pt>
                <c:pt idx="1395">
                  <c:v>-8.7100000000000009</c:v>
                </c:pt>
                <c:pt idx="1396">
                  <c:v>49.18</c:v>
                </c:pt>
                <c:pt idx="1397">
                  <c:v>3</c:v>
                </c:pt>
                <c:pt idx="1398">
                  <c:v>50.27</c:v>
                </c:pt>
                <c:pt idx="1399">
                  <c:v>74.13</c:v>
                </c:pt>
                <c:pt idx="1400">
                  <c:v>43.68</c:v>
                </c:pt>
                <c:pt idx="1401">
                  <c:v>12.83</c:v>
                </c:pt>
                <c:pt idx="1402">
                  <c:v>222.06</c:v>
                </c:pt>
                <c:pt idx="1403">
                  <c:v>5.13</c:v>
                </c:pt>
                <c:pt idx="1404">
                  <c:v>25.84</c:v>
                </c:pt>
                <c:pt idx="1405">
                  <c:v>139.1</c:v>
                </c:pt>
                <c:pt idx="1406">
                  <c:v>0.61</c:v>
                </c:pt>
                <c:pt idx="1407">
                  <c:v>138.44999999999999</c:v>
                </c:pt>
                <c:pt idx="1408">
                  <c:v>14.04</c:v>
                </c:pt>
                <c:pt idx="1409">
                  <c:v>79.95</c:v>
                </c:pt>
                <c:pt idx="1410">
                  <c:v>13.78</c:v>
                </c:pt>
                <c:pt idx="1411">
                  <c:v>65.430000000000007</c:v>
                </c:pt>
                <c:pt idx="1412">
                  <c:v>21.86</c:v>
                </c:pt>
                <c:pt idx="1413">
                  <c:v>38.659999999999997</c:v>
                </c:pt>
                <c:pt idx="1414">
                  <c:v>14.59</c:v>
                </c:pt>
                <c:pt idx="1415">
                  <c:v>93.19</c:v>
                </c:pt>
                <c:pt idx="1416">
                  <c:v>39.53</c:v>
                </c:pt>
                <c:pt idx="1417">
                  <c:v>29.31</c:v>
                </c:pt>
                <c:pt idx="1418">
                  <c:v>113.2</c:v>
                </c:pt>
                <c:pt idx="1419">
                  <c:v>240.47</c:v>
                </c:pt>
                <c:pt idx="1420">
                  <c:v>433.73</c:v>
                </c:pt>
                <c:pt idx="1421">
                  <c:v>186.83</c:v>
                </c:pt>
                <c:pt idx="1422">
                  <c:v>2.12</c:v>
                </c:pt>
                <c:pt idx="1423">
                  <c:v>0.78</c:v>
                </c:pt>
                <c:pt idx="1424">
                  <c:v>17.22</c:v>
                </c:pt>
                <c:pt idx="1425">
                  <c:v>25.19</c:v>
                </c:pt>
                <c:pt idx="1426">
                  <c:v>25.45</c:v>
                </c:pt>
                <c:pt idx="1427">
                  <c:v>1.0900000000000001</c:v>
                </c:pt>
                <c:pt idx="1428">
                  <c:v>16.02</c:v>
                </c:pt>
                <c:pt idx="1429">
                  <c:v>-9.69</c:v>
                </c:pt>
                <c:pt idx="1430">
                  <c:v>-4.95</c:v>
                </c:pt>
                <c:pt idx="1431">
                  <c:v>28</c:v>
                </c:pt>
                <c:pt idx="1432">
                  <c:v>-1.86</c:v>
                </c:pt>
                <c:pt idx="1433">
                  <c:v>-0.54</c:v>
                </c:pt>
                <c:pt idx="1434">
                  <c:v>227.12</c:v>
                </c:pt>
                <c:pt idx="1435">
                  <c:v>40.49</c:v>
                </c:pt>
                <c:pt idx="1436">
                  <c:v>47.34</c:v>
                </c:pt>
                <c:pt idx="1437">
                  <c:v>37.08</c:v>
                </c:pt>
                <c:pt idx="1438">
                  <c:v>132.82</c:v>
                </c:pt>
                <c:pt idx="1439">
                  <c:v>22.96</c:v>
                </c:pt>
                <c:pt idx="1440">
                  <c:v>37.39</c:v>
                </c:pt>
                <c:pt idx="1441">
                  <c:v>46.61</c:v>
                </c:pt>
                <c:pt idx="1442">
                  <c:v>184.96</c:v>
                </c:pt>
                <c:pt idx="1443">
                  <c:v>-0.26</c:v>
                </c:pt>
                <c:pt idx="1444">
                  <c:v>2.41</c:v>
                </c:pt>
                <c:pt idx="1445">
                  <c:v>185.46</c:v>
                </c:pt>
                <c:pt idx="1446">
                  <c:v>59.82</c:v>
                </c:pt>
                <c:pt idx="1447">
                  <c:v>25.12</c:v>
                </c:pt>
                <c:pt idx="1448">
                  <c:v>210.11</c:v>
                </c:pt>
                <c:pt idx="1449">
                  <c:v>-2.4700000000000002</c:v>
                </c:pt>
                <c:pt idx="1450">
                  <c:v>20.95</c:v>
                </c:pt>
                <c:pt idx="1451">
                  <c:v>-3.68</c:v>
                </c:pt>
                <c:pt idx="1452">
                  <c:v>-3.2</c:v>
                </c:pt>
                <c:pt idx="1453">
                  <c:v>253.44</c:v>
                </c:pt>
                <c:pt idx="1454">
                  <c:v>43.49</c:v>
                </c:pt>
                <c:pt idx="1455">
                  <c:v>165</c:v>
                </c:pt>
                <c:pt idx="1456">
                  <c:v>56</c:v>
                </c:pt>
                <c:pt idx="1457">
                  <c:v>91.33</c:v>
                </c:pt>
                <c:pt idx="1458">
                  <c:v>45.7</c:v>
                </c:pt>
                <c:pt idx="1459">
                  <c:v>19.89</c:v>
                </c:pt>
                <c:pt idx="1460">
                  <c:v>3.14</c:v>
                </c:pt>
                <c:pt idx="1461">
                  <c:v>94.73</c:v>
                </c:pt>
                <c:pt idx="1462">
                  <c:v>190.76</c:v>
                </c:pt>
                <c:pt idx="1463">
                  <c:v>299.08999999999997</c:v>
                </c:pt>
                <c:pt idx="1464">
                  <c:v>9.8800000000000008</c:v>
                </c:pt>
                <c:pt idx="1465">
                  <c:v>4.72</c:v>
                </c:pt>
                <c:pt idx="1466">
                  <c:v>7.03</c:v>
                </c:pt>
                <c:pt idx="1467">
                  <c:v>-6.88</c:v>
                </c:pt>
                <c:pt idx="1468">
                  <c:v>39.22</c:v>
                </c:pt>
                <c:pt idx="1469">
                  <c:v>115.02</c:v>
                </c:pt>
                <c:pt idx="1470">
                  <c:v>38.99</c:v>
                </c:pt>
                <c:pt idx="1471">
                  <c:v>50.59</c:v>
                </c:pt>
                <c:pt idx="1472">
                  <c:v>27.4</c:v>
                </c:pt>
                <c:pt idx="1473">
                  <c:v>27.85</c:v>
                </c:pt>
                <c:pt idx="1474">
                  <c:v>72.75</c:v>
                </c:pt>
                <c:pt idx="1475">
                  <c:v>43.35</c:v>
                </c:pt>
                <c:pt idx="1476">
                  <c:v>44.46</c:v>
                </c:pt>
                <c:pt idx="1477">
                  <c:v>30.46</c:v>
                </c:pt>
                <c:pt idx="1478">
                  <c:v>30.28</c:v>
                </c:pt>
                <c:pt idx="1479">
                  <c:v>198.6</c:v>
                </c:pt>
                <c:pt idx="1480">
                  <c:v>13.35</c:v>
                </c:pt>
                <c:pt idx="1481">
                  <c:v>97.22</c:v>
                </c:pt>
                <c:pt idx="1482">
                  <c:v>9.7799999999999994</c:v>
                </c:pt>
                <c:pt idx="1483">
                  <c:v>35.6</c:v>
                </c:pt>
                <c:pt idx="1484">
                  <c:v>7.34</c:v>
                </c:pt>
                <c:pt idx="1485">
                  <c:v>502.04</c:v>
                </c:pt>
                <c:pt idx="1486">
                  <c:v>52.14</c:v>
                </c:pt>
                <c:pt idx="1487">
                  <c:v>63.3</c:v>
                </c:pt>
                <c:pt idx="1488">
                  <c:v>48.94</c:v>
                </c:pt>
                <c:pt idx="1489">
                  <c:v>614.64</c:v>
                </c:pt>
                <c:pt idx="1490">
                  <c:v>3.51</c:v>
                </c:pt>
                <c:pt idx="1491">
                  <c:v>-3.83</c:v>
                </c:pt>
                <c:pt idx="1492">
                  <c:v>8.81</c:v>
                </c:pt>
                <c:pt idx="1493">
                  <c:v>8.83</c:v>
                </c:pt>
                <c:pt idx="1494">
                  <c:v>13.95</c:v>
                </c:pt>
                <c:pt idx="1495">
                  <c:v>91.16</c:v>
                </c:pt>
                <c:pt idx="1496">
                  <c:v>209.81</c:v>
                </c:pt>
                <c:pt idx="1497">
                  <c:v>1.05</c:v>
                </c:pt>
                <c:pt idx="1498">
                  <c:v>-2.08</c:v>
                </c:pt>
                <c:pt idx="1499">
                  <c:v>2.66</c:v>
                </c:pt>
                <c:pt idx="1500">
                  <c:v>91.48</c:v>
                </c:pt>
                <c:pt idx="1501">
                  <c:v>313.26</c:v>
                </c:pt>
                <c:pt idx="1502">
                  <c:v>145.13999999999999</c:v>
                </c:pt>
                <c:pt idx="1503">
                  <c:v>18.690000000000001</c:v>
                </c:pt>
                <c:pt idx="1504">
                  <c:v>-7.98</c:v>
                </c:pt>
                <c:pt idx="1505">
                  <c:v>401.23</c:v>
                </c:pt>
                <c:pt idx="1506">
                  <c:v>180.93</c:v>
                </c:pt>
                <c:pt idx="1507">
                  <c:v>59.63</c:v>
                </c:pt>
                <c:pt idx="1508">
                  <c:v>48.37</c:v>
                </c:pt>
                <c:pt idx="1509">
                  <c:v>39.909999999999997</c:v>
                </c:pt>
                <c:pt idx="1510">
                  <c:v>13.09</c:v>
                </c:pt>
                <c:pt idx="1511">
                  <c:v>5.63</c:v>
                </c:pt>
                <c:pt idx="1512">
                  <c:v>49.9</c:v>
                </c:pt>
                <c:pt idx="1513">
                  <c:v>-3.42</c:v>
                </c:pt>
                <c:pt idx="1514">
                  <c:v>49.79</c:v>
                </c:pt>
                <c:pt idx="1515">
                  <c:v>147.72</c:v>
                </c:pt>
                <c:pt idx="1516">
                  <c:v>-4.03</c:v>
                </c:pt>
                <c:pt idx="1517">
                  <c:v>124.42</c:v>
                </c:pt>
                <c:pt idx="1518">
                  <c:v>7.12</c:v>
                </c:pt>
                <c:pt idx="1519">
                  <c:v>102</c:v>
                </c:pt>
                <c:pt idx="1520">
                  <c:v>-2.04</c:v>
                </c:pt>
                <c:pt idx="1521">
                  <c:v>38.909999999999997</c:v>
                </c:pt>
                <c:pt idx="1522">
                  <c:v>111.69</c:v>
                </c:pt>
                <c:pt idx="1523">
                  <c:v>-0.92</c:v>
                </c:pt>
                <c:pt idx="1524">
                  <c:v>-5.85</c:v>
                </c:pt>
                <c:pt idx="1525">
                  <c:v>9.4600000000000009</c:v>
                </c:pt>
                <c:pt idx="1526">
                  <c:v>3.38</c:v>
                </c:pt>
                <c:pt idx="1527">
                  <c:v>86.93</c:v>
                </c:pt>
                <c:pt idx="1528">
                  <c:v>29.09</c:v>
                </c:pt>
                <c:pt idx="1529">
                  <c:v>12.83</c:v>
                </c:pt>
                <c:pt idx="1530">
                  <c:v>359.57</c:v>
                </c:pt>
                <c:pt idx="1531">
                  <c:v>53.71</c:v>
                </c:pt>
                <c:pt idx="1532">
                  <c:v>-2.31</c:v>
                </c:pt>
                <c:pt idx="1533">
                  <c:v>5.24</c:v>
                </c:pt>
                <c:pt idx="1534">
                  <c:v>53.86</c:v>
                </c:pt>
                <c:pt idx="1535">
                  <c:v>25.97</c:v>
                </c:pt>
                <c:pt idx="1536">
                  <c:v>237.4</c:v>
                </c:pt>
                <c:pt idx="1537">
                  <c:v>34.700000000000003</c:v>
                </c:pt>
                <c:pt idx="1538">
                  <c:v>45.7</c:v>
                </c:pt>
                <c:pt idx="1539">
                  <c:v>709.01</c:v>
                </c:pt>
                <c:pt idx="1540">
                  <c:v>166.15</c:v>
                </c:pt>
                <c:pt idx="1541">
                  <c:v>15.87</c:v>
                </c:pt>
                <c:pt idx="1542">
                  <c:v>109.53</c:v>
                </c:pt>
                <c:pt idx="1543">
                  <c:v>136.04</c:v>
                </c:pt>
                <c:pt idx="1544">
                  <c:v>90</c:v>
                </c:pt>
                <c:pt idx="1545">
                  <c:v>52.86</c:v>
                </c:pt>
                <c:pt idx="1546">
                  <c:v>-2.16</c:v>
                </c:pt>
                <c:pt idx="1547">
                  <c:v>50.95</c:v>
                </c:pt>
                <c:pt idx="1548">
                  <c:v>29.09</c:v>
                </c:pt>
                <c:pt idx="1549">
                  <c:v>99.5</c:v>
                </c:pt>
                <c:pt idx="1550">
                  <c:v>128.08000000000001</c:v>
                </c:pt>
                <c:pt idx="1551">
                  <c:v>59.24</c:v>
                </c:pt>
                <c:pt idx="1552">
                  <c:v>9.69</c:v>
                </c:pt>
                <c:pt idx="1553">
                  <c:v>17.989999999999998</c:v>
                </c:pt>
                <c:pt idx="1554">
                  <c:v>38.049999999999997</c:v>
                </c:pt>
                <c:pt idx="1555">
                  <c:v>268.3</c:v>
                </c:pt>
                <c:pt idx="1556">
                  <c:v>32.72</c:v>
                </c:pt>
                <c:pt idx="1557">
                  <c:v>22.83</c:v>
                </c:pt>
                <c:pt idx="1558">
                  <c:v>60.42</c:v>
                </c:pt>
                <c:pt idx="1559">
                  <c:v>9.7100000000000009</c:v>
                </c:pt>
                <c:pt idx="1560">
                  <c:v>44.29</c:v>
                </c:pt>
                <c:pt idx="1561">
                  <c:v>24.07</c:v>
                </c:pt>
                <c:pt idx="1562">
                  <c:v>8.99</c:v>
                </c:pt>
                <c:pt idx="1563">
                  <c:v>41.12</c:v>
                </c:pt>
                <c:pt idx="1564">
                  <c:v>46.14</c:v>
                </c:pt>
                <c:pt idx="1565">
                  <c:v>36.51</c:v>
                </c:pt>
                <c:pt idx="1566">
                  <c:v>8.6199999999999992</c:v>
                </c:pt>
                <c:pt idx="1567">
                  <c:v>4.96</c:v>
                </c:pt>
                <c:pt idx="1568">
                  <c:v>60.74</c:v>
                </c:pt>
                <c:pt idx="1569">
                  <c:v>160.9</c:v>
                </c:pt>
                <c:pt idx="1570">
                  <c:v>5.86</c:v>
                </c:pt>
                <c:pt idx="1571">
                  <c:v>90.67</c:v>
                </c:pt>
                <c:pt idx="1572">
                  <c:v>42.21</c:v>
                </c:pt>
                <c:pt idx="1573">
                  <c:v>19.489999999999998</c:v>
                </c:pt>
                <c:pt idx="1574">
                  <c:v>329.99</c:v>
                </c:pt>
                <c:pt idx="1575">
                  <c:v>247.15</c:v>
                </c:pt>
                <c:pt idx="1576">
                  <c:v>157.24</c:v>
                </c:pt>
                <c:pt idx="1577">
                  <c:v>219.03</c:v>
                </c:pt>
                <c:pt idx="1578">
                  <c:v>37.65</c:v>
                </c:pt>
                <c:pt idx="1579">
                  <c:v>1.48</c:v>
                </c:pt>
                <c:pt idx="1580">
                  <c:v>44.05</c:v>
                </c:pt>
                <c:pt idx="1581">
                  <c:v>68.760000000000005</c:v>
                </c:pt>
                <c:pt idx="1582">
                  <c:v>540.71</c:v>
                </c:pt>
                <c:pt idx="1583">
                  <c:v>78.510000000000005</c:v>
                </c:pt>
                <c:pt idx="1584">
                  <c:v>42.51</c:v>
                </c:pt>
                <c:pt idx="1585">
                  <c:v>-8.8699999999999992</c:v>
                </c:pt>
                <c:pt idx="1586">
                  <c:v>34.82</c:v>
                </c:pt>
                <c:pt idx="1587">
                  <c:v>-3.18</c:v>
                </c:pt>
                <c:pt idx="1588">
                  <c:v>-6.52</c:v>
                </c:pt>
                <c:pt idx="1589">
                  <c:v>-3.04</c:v>
                </c:pt>
                <c:pt idx="1590">
                  <c:v>44.7</c:v>
                </c:pt>
                <c:pt idx="1591">
                  <c:v>13.16</c:v>
                </c:pt>
                <c:pt idx="1592">
                  <c:v>76.86</c:v>
                </c:pt>
                <c:pt idx="1593">
                  <c:v>63.6</c:v>
                </c:pt>
                <c:pt idx="1594">
                  <c:v>77.819999999999993</c:v>
                </c:pt>
                <c:pt idx="1595">
                  <c:v>69.67</c:v>
                </c:pt>
                <c:pt idx="1596">
                  <c:v>-1.36</c:v>
                </c:pt>
                <c:pt idx="1597">
                  <c:v>185.09</c:v>
                </c:pt>
                <c:pt idx="1598">
                  <c:v>48.85</c:v>
                </c:pt>
                <c:pt idx="1599">
                  <c:v>1.64</c:v>
                </c:pt>
                <c:pt idx="1600">
                  <c:v>243.24</c:v>
                </c:pt>
                <c:pt idx="1601">
                  <c:v>1.91</c:v>
                </c:pt>
                <c:pt idx="1602">
                  <c:v>413.61</c:v>
                </c:pt>
                <c:pt idx="1603">
                  <c:v>-1.25</c:v>
                </c:pt>
                <c:pt idx="1604">
                  <c:v>111.24</c:v>
                </c:pt>
                <c:pt idx="1605">
                  <c:v>26.9</c:v>
                </c:pt>
                <c:pt idx="1606">
                  <c:v>34.83</c:v>
                </c:pt>
                <c:pt idx="1607">
                  <c:v>260.27</c:v>
                </c:pt>
                <c:pt idx="1608">
                  <c:v>1.93</c:v>
                </c:pt>
                <c:pt idx="1609">
                  <c:v>0.69</c:v>
                </c:pt>
                <c:pt idx="1610">
                  <c:v>-6.24</c:v>
                </c:pt>
                <c:pt idx="1611">
                  <c:v>43.67</c:v>
                </c:pt>
                <c:pt idx="1612">
                  <c:v>45.22</c:v>
                </c:pt>
                <c:pt idx="1613">
                  <c:v>22.03</c:v>
                </c:pt>
                <c:pt idx="1614">
                  <c:v>10.19</c:v>
                </c:pt>
                <c:pt idx="1615">
                  <c:v>1.94</c:v>
                </c:pt>
                <c:pt idx="1616">
                  <c:v>-0.55000000000000004</c:v>
                </c:pt>
                <c:pt idx="1617">
                  <c:v>0.35</c:v>
                </c:pt>
                <c:pt idx="1618">
                  <c:v>-3.04</c:v>
                </c:pt>
                <c:pt idx="1619">
                  <c:v>12.89</c:v>
                </c:pt>
                <c:pt idx="1620">
                  <c:v>9.98</c:v>
                </c:pt>
                <c:pt idx="1621">
                  <c:v>131.74</c:v>
                </c:pt>
                <c:pt idx="1622">
                  <c:v>-6.08</c:v>
                </c:pt>
                <c:pt idx="1623">
                  <c:v>1115.05</c:v>
                </c:pt>
                <c:pt idx="1624">
                  <c:v>415.78</c:v>
                </c:pt>
                <c:pt idx="1625">
                  <c:v>475</c:v>
                </c:pt>
                <c:pt idx="1626">
                  <c:v>28.16</c:v>
                </c:pt>
                <c:pt idx="1627">
                  <c:v>-1.58</c:v>
                </c:pt>
                <c:pt idx="1628">
                  <c:v>64.14</c:v>
                </c:pt>
                <c:pt idx="1629">
                  <c:v>4.16</c:v>
                </c:pt>
                <c:pt idx="1630">
                  <c:v>564.46</c:v>
                </c:pt>
                <c:pt idx="1631">
                  <c:v>111.73</c:v>
                </c:pt>
                <c:pt idx="1632">
                  <c:v>104.15</c:v>
                </c:pt>
                <c:pt idx="1633">
                  <c:v>69.739999999999995</c:v>
                </c:pt>
                <c:pt idx="1634">
                  <c:v>101.12</c:v>
                </c:pt>
                <c:pt idx="1635">
                  <c:v>9.51</c:v>
                </c:pt>
                <c:pt idx="1636">
                  <c:v>51.15</c:v>
                </c:pt>
                <c:pt idx="1637">
                  <c:v>67.040000000000006</c:v>
                </c:pt>
                <c:pt idx="1638">
                  <c:v>61.06</c:v>
                </c:pt>
                <c:pt idx="1639">
                  <c:v>4.57</c:v>
                </c:pt>
                <c:pt idx="1640">
                  <c:v>-0.72</c:v>
                </c:pt>
                <c:pt idx="1641">
                  <c:v>52.58</c:v>
                </c:pt>
                <c:pt idx="1642">
                  <c:v>7.02</c:v>
                </c:pt>
                <c:pt idx="1643">
                  <c:v>-6.29</c:v>
                </c:pt>
                <c:pt idx="1644">
                  <c:v>149.04</c:v>
                </c:pt>
                <c:pt idx="1645">
                  <c:v>5.56</c:v>
                </c:pt>
                <c:pt idx="1646">
                  <c:v>7.94</c:v>
                </c:pt>
                <c:pt idx="1647">
                  <c:v>1.38</c:v>
                </c:pt>
                <c:pt idx="1648">
                  <c:v>-6.87</c:v>
                </c:pt>
                <c:pt idx="1649">
                  <c:v>30.02</c:v>
                </c:pt>
                <c:pt idx="1650">
                  <c:v>485.71</c:v>
                </c:pt>
                <c:pt idx="1651">
                  <c:v>5.05</c:v>
                </c:pt>
                <c:pt idx="1652">
                  <c:v>-0.16</c:v>
                </c:pt>
                <c:pt idx="1653">
                  <c:v>32.44</c:v>
                </c:pt>
                <c:pt idx="1654">
                  <c:v>7.59</c:v>
                </c:pt>
                <c:pt idx="1655">
                  <c:v>10.96</c:v>
                </c:pt>
                <c:pt idx="1656">
                  <c:v>20.53</c:v>
                </c:pt>
                <c:pt idx="1657">
                  <c:v>-4.26</c:v>
                </c:pt>
                <c:pt idx="1658">
                  <c:v>56.3</c:v>
                </c:pt>
                <c:pt idx="1659">
                  <c:v>10.55</c:v>
                </c:pt>
                <c:pt idx="1660">
                  <c:v>40.630000000000003</c:v>
                </c:pt>
                <c:pt idx="1661">
                  <c:v>-5.66</c:v>
                </c:pt>
                <c:pt idx="1662">
                  <c:v>124.07</c:v>
                </c:pt>
                <c:pt idx="1663">
                  <c:v>137.04</c:v>
                </c:pt>
                <c:pt idx="1664">
                  <c:v>1373.63</c:v>
                </c:pt>
                <c:pt idx="1665">
                  <c:v>-2.25</c:v>
                </c:pt>
                <c:pt idx="1666">
                  <c:v>26.54</c:v>
                </c:pt>
                <c:pt idx="1667">
                  <c:v>286.77</c:v>
                </c:pt>
                <c:pt idx="1668">
                  <c:v>-0.88</c:v>
                </c:pt>
                <c:pt idx="1669">
                  <c:v>4.1900000000000004</c:v>
                </c:pt>
                <c:pt idx="1670">
                  <c:v>58.03</c:v>
                </c:pt>
                <c:pt idx="1671">
                  <c:v>24.54</c:v>
                </c:pt>
                <c:pt idx="1672">
                  <c:v>167.47</c:v>
                </c:pt>
                <c:pt idx="1673">
                  <c:v>58.97</c:v>
                </c:pt>
                <c:pt idx="1674">
                  <c:v>844.98</c:v>
                </c:pt>
                <c:pt idx="1675">
                  <c:v>-1.54</c:v>
                </c:pt>
                <c:pt idx="1676">
                  <c:v>64.930000000000007</c:v>
                </c:pt>
                <c:pt idx="1677">
                  <c:v>5.24</c:v>
                </c:pt>
                <c:pt idx="1678">
                  <c:v>49.1</c:v>
                </c:pt>
                <c:pt idx="1679">
                  <c:v>41.81</c:v>
                </c:pt>
                <c:pt idx="1680">
                  <c:v>89.58</c:v>
                </c:pt>
                <c:pt idx="1681">
                  <c:v>11.63</c:v>
                </c:pt>
                <c:pt idx="1682">
                  <c:v>433.81</c:v>
                </c:pt>
                <c:pt idx="1683">
                  <c:v>0.94</c:v>
                </c:pt>
                <c:pt idx="1684">
                  <c:v>109.99</c:v>
                </c:pt>
                <c:pt idx="1685">
                  <c:v>124.21</c:v>
                </c:pt>
                <c:pt idx="1686">
                  <c:v>-3.38</c:v>
                </c:pt>
                <c:pt idx="1687">
                  <c:v>43.06</c:v>
                </c:pt>
                <c:pt idx="1688">
                  <c:v>10.48</c:v>
                </c:pt>
                <c:pt idx="1689">
                  <c:v>20.3</c:v>
                </c:pt>
                <c:pt idx="1690">
                  <c:v>55.55</c:v>
                </c:pt>
                <c:pt idx="1691">
                  <c:v>21.37</c:v>
                </c:pt>
                <c:pt idx="1692">
                  <c:v>219.68</c:v>
                </c:pt>
                <c:pt idx="1693">
                  <c:v>-2.0499999999999998</c:v>
                </c:pt>
                <c:pt idx="1694">
                  <c:v>43.39</c:v>
                </c:pt>
                <c:pt idx="1695">
                  <c:v>82.81</c:v>
                </c:pt>
                <c:pt idx="1696">
                  <c:v>16.28</c:v>
                </c:pt>
                <c:pt idx="1697">
                  <c:v>0.64</c:v>
                </c:pt>
                <c:pt idx="1698">
                  <c:v>27.86</c:v>
                </c:pt>
                <c:pt idx="1699">
                  <c:v>32.700000000000003</c:v>
                </c:pt>
                <c:pt idx="1700">
                  <c:v>119.26</c:v>
                </c:pt>
                <c:pt idx="1701">
                  <c:v>221.96</c:v>
                </c:pt>
                <c:pt idx="1702">
                  <c:v>98.44</c:v>
                </c:pt>
                <c:pt idx="1703">
                  <c:v>9.19</c:v>
                </c:pt>
                <c:pt idx="1704">
                  <c:v>4.4400000000000004</c:v>
                </c:pt>
                <c:pt idx="1705">
                  <c:v>1054.26</c:v>
                </c:pt>
                <c:pt idx="1706">
                  <c:v>-0.93</c:v>
                </c:pt>
                <c:pt idx="1707">
                  <c:v>42.1</c:v>
                </c:pt>
                <c:pt idx="1708">
                  <c:v>572.66</c:v>
                </c:pt>
                <c:pt idx="1709">
                  <c:v>11.62</c:v>
                </c:pt>
                <c:pt idx="1710">
                  <c:v>15.52</c:v>
                </c:pt>
                <c:pt idx="1711">
                  <c:v>90.35</c:v>
                </c:pt>
                <c:pt idx="1712">
                  <c:v>11.45</c:v>
                </c:pt>
                <c:pt idx="1713">
                  <c:v>2.91</c:v>
                </c:pt>
                <c:pt idx="1714">
                  <c:v>32.520000000000003</c:v>
                </c:pt>
                <c:pt idx="1715">
                  <c:v>4.9400000000000004</c:v>
                </c:pt>
                <c:pt idx="1716">
                  <c:v>72.84</c:v>
                </c:pt>
                <c:pt idx="1717">
                  <c:v>22.77</c:v>
                </c:pt>
                <c:pt idx="1718">
                  <c:v>265.18</c:v>
                </c:pt>
                <c:pt idx="1719">
                  <c:v>-0.99</c:v>
                </c:pt>
                <c:pt idx="1720">
                  <c:v>39.19</c:v>
                </c:pt>
                <c:pt idx="1721">
                  <c:v>19.34</c:v>
                </c:pt>
                <c:pt idx="1722">
                  <c:v>-4.55</c:v>
                </c:pt>
                <c:pt idx="1723">
                  <c:v>42.95</c:v>
                </c:pt>
                <c:pt idx="1724">
                  <c:v>74.319999999999993</c:v>
                </c:pt>
                <c:pt idx="1725">
                  <c:v>2.6</c:v>
                </c:pt>
                <c:pt idx="1726">
                  <c:v>253.22</c:v>
                </c:pt>
                <c:pt idx="1727">
                  <c:v>17.79</c:v>
                </c:pt>
                <c:pt idx="1728">
                  <c:v>266.45999999999998</c:v>
                </c:pt>
                <c:pt idx="1729">
                  <c:v>144.28</c:v>
                </c:pt>
                <c:pt idx="1730">
                  <c:v>239.82</c:v>
                </c:pt>
                <c:pt idx="1731">
                  <c:v>4.33</c:v>
                </c:pt>
                <c:pt idx="1732">
                  <c:v>14.46</c:v>
                </c:pt>
                <c:pt idx="1733">
                  <c:v>64.59</c:v>
                </c:pt>
                <c:pt idx="1734">
                  <c:v>133.30000000000001</c:v>
                </c:pt>
                <c:pt idx="1735">
                  <c:v>186.8</c:v>
                </c:pt>
                <c:pt idx="1736">
                  <c:v>97.21</c:v>
                </c:pt>
                <c:pt idx="1737">
                  <c:v>66.319999999999993</c:v>
                </c:pt>
                <c:pt idx="1738">
                  <c:v>91.69</c:v>
                </c:pt>
                <c:pt idx="1739">
                  <c:v>6</c:v>
                </c:pt>
                <c:pt idx="1740">
                  <c:v>144.65</c:v>
                </c:pt>
                <c:pt idx="1741">
                  <c:v>122.32</c:v>
                </c:pt>
                <c:pt idx="1742">
                  <c:v>18.739999999999998</c:v>
                </c:pt>
                <c:pt idx="1743">
                  <c:v>11.49</c:v>
                </c:pt>
                <c:pt idx="1744">
                  <c:v>29.91</c:v>
                </c:pt>
                <c:pt idx="1745">
                  <c:v>12.7</c:v>
                </c:pt>
                <c:pt idx="1746">
                  <c:v>16.79</c:v>
                </c:pt>
                <c:pt idx="1747">
                  <c:v>40.18</c:v>
                </c:pt>
                <c:pt idx="1748">
                  <c:v>207.76</c:v>
                </c:pt>
                <c:pt idx="1749">
                  <c:v>5.03</c:v>
                </c:pt>
                <c:pt idx="1750">
                  <c:v>-1.51</c:v>
                </c:pt>
                <c:pt idx="1751">
                  <c:v>110.71</c:v>
                </c:pt>
                <c:pt idx="1752">
                  <c:v>148.28</c:v>
                </c:pt>
                <c:pt idx="1753">
                  <c:v>25.7</c:v>
                </c:pt>
                <c:pt idx="1754">
                  <c:v>19.89</c:v>
                </c:pt>
                <c:pt idx="1755">
                  <c:v>5.35</c:v>
                </c:pt>
                <c:pt idx="1756">
                  <c:v>1.44</c:v>
                </c:pt>
                <c:pt idx="1757">
                  <c:v>612.71</c:v>
                </c:pt>
                <c:pt idx="1758">
                  <c:v>23.26</c:v>
                </c:pt>
                <c:pt idx="1759">
                  <c:v>146.54</c:v>
                </c:pt>
                <c:pt idx="1760">
                  <c:v>0.18</c:v>
                </c:pt>
                <c:pt idx="1761">
                  <c:v>7.35</c:v>
                </c:pt>
                <c:pt idx="1762">
                  <c:v>74.650000000000006</c:v>
                </c:pt>
                <c:pt idx="1763">
                  <c:v>-0.39</c:v>
                </c:pt>
                <c:pt idx="1764">
                  <c:v>14.51</c:v>
                </c:pt>
                <c:pt idx="1765">
                  <c:v>15.28</c:v>
                </c:pt>
                <c:pt idx="1766">
                  <c:v>52.64</c:v>
                </c:pt>
                <c:pt idx="1767">
                  <c:v>1.74</c:v>
                </c:pt>
                <c:pt idx="1768">
                  <c:v>1.1499999999999999</c:v>
                </c:pt>
                <c:pt idx="1769">
                  <c:v>243.46</c:v>
                </c:pt>
                <c:pt idx="1770">
                  <c:v>170.35</c:v>
                </c:pt>
                <c:pt idx="1771">
                  <c:v>31.27</c:v>
                </c:pt>
                <c:pt idx="1772">
                  <c:v>447.81</c:v>
                </c:pt>
                <c:pt idx="1773">
                  <c:v>5.24</c:v>
                </c:pt>
                <c:pt idx="1774">
                  <c:v>23.53</c:v>
                </c:pt>
                <c:pt idx="1775">
                  <c:v>153.78</c:v>
                </c:pt>
                <c:pt idx="1776">
                  <c:v>-4.53</c:v>
                </c:pt>
                <c:pt idx="1777">
                  <c:v>1.3</c:v>
                </c:pt>
                <c:pt idx="1778">
                  <c:v>-6.15</c:v>
                </c:pt>
                <c:pt idx="1779">
                  <c:v>11.55</c:v>
                </c:pt>
                <c:pt idx="1780">
                  <c:v>-3.73</c:v>
                </c:pt>
                <c:pt idx="1781">
                  <c:v>4.2300000000000004</c:v>
                </c:pt>
                <c:pt idx="1782">
                  <c:v>371.23</c:v>
                </c:pt>
                <c:pt idx="1783">
                  <c:v>15.42</c:v>
                </c:pt>
                <c:pt idx="1784">
                  <c:v>14.93</c:v>
                </c:pt>
                <c:pt idx="1785">
                  <c:v>233.58</c:v>
                </c:pt>
                <c:pt idx="1786">
                  <c:v>76.599999999999994</c:v>
                </c:pt>
                <c:pt idx="1787">
                  <c:v>94.84</c:v>
                </c:pt>
                <c:pt idx="1788">
                  <c:v>-2.5499999999999998</c:v>
                </c:pt>
                <c:pt idx="1789">
                  <c:v>36.85</c:v>
                </c:pt>
                <c:pt idx="1790">
                  <c:v>-4.3600000000000003</c:v>
                </c:pt>
                <c:pt idx="1791">
                  <c:v>4.29</c:v>
                </c:pt>
                <c:pt idx="1792">
                  <c:v>12.63</c:v>
                </c:pt>
                <c:pt idx="1793">
                  <c:v>225.31</c:v>
                </c:pt>
                <c:pt idx="1794">
                  <c:v>52.57</c:v>
                </c:pt>
                <c:pt idx="1795">
                  <c:v>135.52000000000001</c:v>
                </c:pt>
                <c:pt idx="1796">
                  <c:v>5.22</c:v>
                </c:pt>
                <c:pt idx="1797">
                  <c:v>12.8</c:v>
                </c:pt>
                <c:pt idx="1798">
                  <c:v>14.86</c:v>
                </c:pt>
                <c:pt idx="1799">
                  <c:v>35.54</c:v>
                </c:pt>
                <c:pt idx="1800">
                  <c:v>-2.44</c:v>
                </c:pt>
                <c:pt idx="1801">
                  <c:v>44.63</c:v>
                </c:pt>
                <c:pt idx="1802">
                  <c:v>3.38</c:v>
                </c:pt>
                <c:pt idx="1803">
                  <c:v>5.62</c:v>
                </c:pt>
                <c:pt idx="1804">
                  <c:v>-3.93</c:v>
                </c:pt>
                <c:pt idx="1805">
                  <c:v>678.15</c:v>
                </c:pt>
                <c:pt idx="1806">
                  <c:v>24.32</c:v>
                </c:pt>
                <c:pt idx="1807">
                  <c:v>37.92</c:v>
                </c:pt>
                <c:pt idx="1808">
                  <c:v>15.12</c:v>
                </c:pt>
                <c:pt idx="1809">
                  <c:v>49.84</c:v>
                </c:pt>
                <c:pt idx="1810">
                  <c:v>54.52</c:v>
                </c:pt>
                <c:pt idx="1811">
                  <c:v>3.33</c:v>
                </c:pt>
                <c:pt idx="1812">
                  <c:v>4.1100000000000003</c:v>
                </c:pt>
                <c:pt idx="1813">
                  <c:v>43.14</c:v>
                </c:pt>
                <c:pt idx="1814">
                  <c:v>179.38</c:v>
                </c:pt>
                <c:pt idx="1815">
                  <c:v>-4.17</c:v>
                </c:pt>
                <c:pt idx="1816">
                  <c:v>53.84</c:v>
                </c:pt>
                <c:pt idx="1817">
                  <c:v>2.81</c:v>
                </c:pt>
                <c:pt idx="1818">
                  <c:v>277.64999999999998</c:v>
                </c:pt>
                <c:pt idx="1819">
                  <c:v>111.02</c:v>
                </c:pt>
                <c:pt idx="1820">
                  <c:v>-3.11</c:v>
                </c:pt>
                <c:pt idx="1821">
                  <c:v>49.19</c:v>
                </c:pt>
                <c:pt idx="1822">
                  <c:v>7.42</c:v>
                </c:pt>
                <c:pt idx="1823">
                  <c:v>106.48</c:v>
                </c:pt>
                <c:pt idx="1824">
                  <c:v>12.36</c:v>
                </c:pt>
                <c:pt idx="1825">
                  <c:v>76.75</c:v>
                </c:pt>
                <c:pt idx="1826">
                  <c:v>10.81</c:v>
                </c:pt>
                <c:pt idx="1827">
                  <c:v>55.56</c:v>
                </c:pt>
                <c:pt idx="1828">
                  <c:v>808.35</c:v>
                </c:pt>
                <c:pt idx="1829">
                  <c:v>16.3</c:v>
                </c:pt>
                <c:pt idx="1830">
                  <c:v>-0.51</c:v>
                </c:pt>
                <c:pt idx="1831">
                  <c:v>-6.55</c:v>
                </c:pt>
                <c:pt idx="1832">
                  <c:v>-2.83</c:v>
                </c:pt>
                <c:pt idx="1833">
                  <c:v>21.78</c:v>
                </c:pt>
                <c:pt idx="1834">
                  <c:v>153.38</c:v>
                </c:pt>
                <c:pt idx="1835">
                  <c:v>33.01</c:v>
                </c:pt>
                <c:pt idx="1836">
                  <c:v>22.54</c:v>
                </c:pt>
                <c:pt idx="1837">
                  <c:v>99.26</c:v>
                </c:pt>
                <c:pt idx="1838">
                  <c:v>19.14</c:v>
                </c:pt>
                <c:pt idx="1839">
                  <c:v>-4.05</c:v>
                </c:pt>
                <c:pt idx="1840">
                  <c:v>1.99</c:v>
                </c:pt>
                <c:pt idx="1841">
                  <c:v>-2.71</c:v>
                </c:pt>
                <c:pt idx="1842">
                  <c:v>22.14</c:v>
                </c:pt>
                <c:pt idx="1843">
                  <c:v>80.06</c:v>
                </c:pt>
                <c:pt idx="1844">
                  <c:v>0.09</c:v>
                </c:pt>
                <c:pt idx="1845">
                  <c:v>104</c:v>
                </c:pt>
                <c:pt idx="1846">
                  <c:v>31.11</c:v>
                </c:pt>
                <c:pt idx="1847">
                  <c:v>39.75</c:v>
                </c:pt>
                <c:pt idx="1848">
                  <c:v>273.18</c:v>
                </c:pt>
                <c:pt idx="1849">
                  <c:v>429.59</c:v>
                </c:pt>
                <c:pt idx="1850">
                  <c:v>13.87</c:v>
                </c:pt>
                <c:pt idx="1851">
                  <c:v>22.73</c:v>
                </c:pt>
                <c:pt idx="1852">
                  <c:v>165.83</c:v>
                </c:pt>
                <c:pt idx="1853">
                  <c:v>6.82</c:v>
                </c:pt>
                <c:pt idx="1854">
                  <c:v>50.19</c:v>
                </c:pt>
                <c:pt idx="1855">
                  <c:v>1.04</c:v>
                </c:pt>
                <c:pt idx="1856">
                  <c:v>212.46</c:v>
                </c:pt>
                <c:pt idx="1857">
                  <c:v>-4.07</c:v>
                </c:pt>
                <c:pt idx="1858">
                  <c:v>17.059999999999999</c:v>
                </c:pt>
                <c:pt idx="1859">
                  <c:v>30.06</c:v>
                </c:pt>
                <c:pt idx="1860">
                  <c:v>55.97</c:v>
                </c:pt>
                <c:pt idx="1861">
                  <c:v>-0.04</c:v>
                </c:pt>
                <c:pt idx="1862">
                  <c:v>458.48</c:v>
                </c:pt>
                <c:pt idx="1863">
                  <c:v>0.03</c:v>
                </c:pt>
                <c:pt idx="1864">
                  <c:v>3.89</c:v>
                </c:pt>
                <c:pt idx="1865">
                  <c:v>-7.94</c:v>
                </c:pt>
                <c:pt idx="1866">
                  <c:v>11.77</c:v>
                </c:pt>
                <c:pt idx="1867">
                  <c:v>40.28</c:v>
                </c:pt>
                <c:pt idx="1868">
                  <c:v>236.87</c:v>
                </c:pt>
                <c:pt idx="1869">
                  <c:v>38.15</c:v>
                </c:pt>
                <c:pt idx="1870">
                  <c:v>33.450000000000003</c:v>
                </c:pt>
                <c:pt idx="1871">
                  <c:v>186.05</c:v>
                </c:pt>
                <c:pt idx="1872">
                  <c:v>-9.17</c:v>
                </c:pt>
                <c:pt idx="1873">
                  <c:v>67.47</c:v>
                </c:pt>
                <c:pt idx="1874">
                  <c:v>15.43</c:v>
                </c:pt>
                <c:pt idx="1875">
                  <c:v>40.479999999999997</c:v>
                </c:pt>
                <c:pt idx="1876">
                  <c:v>5.81</c:v>
                </c:pt>
                <c:pt idx="1877">
                  <c:v>52.84</c:v>
                </c:pt>
                <c:pt idx="1878">
                  <c:v>244.38</c:v>
                </c:pt>
                <c:pt idx="1879">
                  <c:v>4.7699999999999996</c:v>
                </c:pt>
                <c:pt idx="1880">
                  <c:v>150.47</c:v>
                </c:pt>
                <c:pt idx="1881">
                  <c:v>29.18</c:v>
                </c:pt>
                <c:pt idx="1882">
                  <c:v>196.06</c:v>
                </c:pt>
                <c:pt idx="1883">
                  <c:v>-2.4900000000000002</c:v>
                </c:pt>
                <c:pt idx="1884">
                  <c:v>4.17</c:v>
                </c:pt>
                <c:pt idx="1885">
                  <c:v>254.21</c:v>
                </c:pt>
                <c:pt idx="1886">
                  <c:v>-2.11</c:v>
                </c:pt>
                <c:pt idx="1887">
                  <c:v>69.84</c:v>
                </c:pt>
                <c:pt idx="1888">
                  <c:v>533.66</c:v>
                </c:pt>
                <c:pt idx="1889">
                  <c:v>143.04</c:v>
                </c:pt>
                <c:pt idx="1890">
                  <c:v>15.38</c:v>
                </c:pt>
                <c:pt idx="1891">
                  <c:v>41.86</c:v>
                </c:pt>
                <c:pt idx="1892">
                  <c:v>21.45</c:v>
                </c:pt>
                <c:pt idx="1893">
                  <c:v>152.09</c:v>
                </c:pt>
                <c:pt idx="1894">
                  <c:v>29.03</c:v>
                </c:pt>
                <c:pt idx="1895">
                  <c:v>-4.4000000000000004</c:v>
                </c:pt>
                <c:pt idx="1896">
                  <c:v>3.14</c:v>
                </c:pt>
                <c:pt idx="1897">
                  <c:v>-1.1000000000000001</c:v>
                </c:pt>
                <c:pt idx="1898">
                  <c:v>37.74</c:v>
                </c:pt>
                <c:pt idx="1899">
                  <c:v>14.73</c:v>
                </c:pt>
                <c:pt idx="1900">
                  <c:v>152.66</c:v>
                </c:pt>
                <c:pt idx="1901">
                  <c:v>9.82</c:v>
                </c:pt>
                <c:pt idx="1902">
                  <c:v>13.24</c:v>
                </c:pt>
                <c:pt idx="1903">
                  <c:v>33.799999999999997</c:v>
                </c:pt>
                <c:pt idx="1904">
                  <c:v>374.8</c:v>
                </c:pt>
                <c:pt idx="1905">
                  <c:v>1.62</c:v>
                </c:pt>
                <c:pt idx="1906">
                  <c:v>27.69</c:v>
                </c:pt>
                <c:pt idx="1907">
                  <c:v>10.220000000000001</c:v>
                </c:pt>
                <c:pt idx="1908">
                  <c:v>102.62</c:v>
                </c:pt>
                <c:pt idx="1909">
                  <c:v>209.43</c:v>
                </c:pt>
                <c:pt idx="1910">
                  <c:v>1.62</c:v>
                </c:pt>
                <c:pt idx="1911">
                  <c:v>12.3</c:v>
                </c:pt>
                <c:pt idx="1912">
                  <c:v>18.79</c:v>
                </c:pt>
                <c:pt idx="1913">
                  <c:v>230.55</c:v>
                </c:pt>
                <c:pt idx="1914">
                  <c:v>133.53</c:v>
                </c:pt>
                <c:pt idx="1915">
                  <c:v>12.53</c:v>
                </c:pt>
                <c:pt idx="1916">
                  <c:v>-0.3</c:v>
                </c:pt>
                <c:pt idx="1917">
                  <c:v>4.67</c:v>
                </c:pt>
                <c:pt idx="1918">
                  <c:v>-1.83</c:v>
                </c:pt>
                <c:pt idx="1919">
                  <c:v>0.85</c:v>
                </c:pt>
                <c:pt idx="1920">
                  <c:v>-8.7799999999999994</c:v>
                </c:pt>
                <c:pt idx="1921">
                  <c:v>90.39</c:v>
                </c:pt>
                <c:pt idx="1922">
                  <c:v>2.77</c:v>
                </c:pt>
                <c:pt idx="1923">
                  <c:v>58.65</c:v>
                </c:pt>
                <c:pt idx="1924">
                  <c:v>41.4</c:v>
                </c:pt>
                <c:pt idx="1925">
                  <c:v>72.680000000000007</c:v>
                </c:pt>
                <c:pt idx="1926">
                  <c:v>-0.55000000000000004</c:v>
                </c:pt>
                <c:pt idx="1927">
                  <c:v>226.57</c:v>
                </c:pt>
                <c:pt idx="1928">
                  <c:v>78.48</c:v>
                </c:pt>
                <c:pt idx="1929">
                  <c:v>-4.47</c:v>
                </c:pt>
                <c:pt idx="1930">
                  <c:v>20.21</c:v>
                </c:pt>
                <c:pt idx="1931">
                  <c:v>-5.55</c:v>
                </c:pt>
                <c:pt idx="1932">
                  <c:v>15.21</c:v>
                </c:pt>
                <c:pt idx="1933">
                  <c:v>-1.44</c:v>
                </c:pt>
                <c:pt idx="1934">
                  <c:v>48.57</c:v>
                </c:pt>
                <c:pt idx="1935">
                  <c:v>172.96</c:v>
                </c:pt>
                <c:pt idx="1936">
                  <c:v>746.09</c:v>
                </c:pt>
                <c:pt idx="1937">
                  <c:v>22.56</c:v>
                </c:pt>
                <c:pt idx="1938">
                  <c:v>27.3</c:v>
                </c:pt>
                <c:pt idx="1939">
                  <c:v>211.02</c:v>
                </c:pt>
                <c:pt idx="1940">
                  <c:v>12.56</c:v>
                </c:pt>
                <c:pt idx="1941">
                  <c:v>95.8</c:v>
                </c:pt>
                <c:pt idx="1942">
                  <c:v>125.84</c:v>
                </c:pt>
                <c:pt idx="1943">
                  <c:v>-2.59</c:v>
                </c:pt>
                <c:pt idx="1944">
                  <c:v>51.88</c:v>
                </c:pt>
                <c:pt idx="1945">
                  <c:v>1.0900000000000001</c:v>
                </c:pt>
                <c:pt idx="1946">
                  <c:v>46.72</c:v>
                </c:pt>
                <c:pt idx="1947">
                  <c:v>-4.33</c:v>
                </c:pt>
                <c:pt idx="1948">
                  <c:v>22.61</c:v>
                </c:pt>
                <c:pt idx="1949">
                  <c:v>9.9700000000000006</c:v>
                </c:pt>
                <c:pt idx="1950">
                  <c:v>22.29</c:v>
                </c:pt>
                <c:pt idx="1951">
                  <c:v>37.99</c:v>
                </c:pt>
                <c:pt idx="1952">
                  <c:v>-6.94</c:v>
                </c:pt>
                <c:pt idx="1953">
                  <c:v>0.75</c:v>
                </c:pt>
                <c:pt idx="1954">
                  <c:v>78.64</c:v>
                </c:pt>
                <c:pt idx="1955">
                  <c:v>237.16</c:v>
                </c:pt>
                <c:pt idx="1956">
                  <c:v>240.88</c:v>
                </c:pt>
                <c:pt idx="1957">
                  <c:v>35.380000000000003</c:v>
                </c:pt>
                <c:pt idx="1958">
                  <c:v>92.03</c:v>
                </c:pt>
                <c:pt idx="1959">
                  <c:v>58.42</c:v>
                </c:pt>
                <c:pt idx="1960">
                  <c:v>124.75</c:v>
                </c:pt>
                <c:pt idx="1961">
                  <c:v>-1.76</c:v>
                </c:pt>
                <c:pt idx="1962">
                  <c:v>24.01</c:v>
                </c:pt>
                <c:pt idx="1963">
                  <c:v>30.56</c:v>
                </c:pt>
                <c:pt idx="1964">
                  <c:v>105.76</c:v>
                </c:pt>
                <c:pt idx="1965">
                  <c:v>-2.54</c:v>
                </c:pt>
                <c:pt idx="1966">
                  <c:v>4.7</c:v>
                </c:pt>
                <c:pt idx="1967">
                  <c:v>147.97999999999999</c:v>
                </c:pt>
                <c:pt idx="1968">
                  <c:v>216.3</c:v>
                </c:pt>
                <c:pt idx="1969">
                  <c:v>2.12</c:v>
                </c:pt>
                <c:pt idx="1970">
                  <c:v>1.04</c:v>
                </c:pt>
                <c:pt idx="1971">
                  <c:v>114.96</c:v>
                </c:pt>
                <c:pt idx="1972">
                  <c:v>217.09</c:v>
                </c:pt>
                <c:pt idx="1973">
                  <c:v>24.61</c:v>
                </c:pt>
                <c:pt idx="1974">
                  <c:v>68.849999999999994</c:v>
                </c:pt>
                <c:pt idx="1975">
                  <c:v>6.37</c:v>
                </c:pt>
                <c:pt idx="1976">
                  <c:v>71.069999999999993</c:v>
                </c:pt>
                <c:pt idx="1977">
                  <c:v>4.12</c:v>
                </c:pt>
                <c:pt idx="1978">
                  <c:v>-6.7</c:v>
                </c:pt>
                <c:pt idx="1979">
                  <c:v>-6.54</c:v>
                </c:pt>
                <c:pt idx="1980">
                  <c:v>72.02</c:v>
                </c:pt>
                <c:pt idx="1981">
                  <c:v>10.5</c:v>
                </c:pt>
                <c:pt idx="1982">
                  <c:v>142.03</c:v>
                </c:pt>
                <c:pt idx="1983">
                  <c:v>73.66</c:v>
                </c:pt>
                <c:pt idx="1984">
                  <c:v>89.06</c:v>
                </c:pt>
                <c:pt idx="1985">
                  <c:v>11.78</c:v>
                </c:pt>
                <c:pt idx="1986">
                  <c:v>5.65</c:v>
                </c:pt>
                <c:pt idx="1987">
                  <c:v>47.64</c:v>
                </c:pt>
                <c:pt idx="1988">
                  <c:v>11.72</c:v>
                </c:pt>
                <c:pt idx="1989">
                  <c:v>-2.86</c:v>
                </c:pt>
                <c:pt idx="1990">
                  <c:v>42.69</c:v>
                </c:pt>
                <c:pt idx="1991">
                  <c:v>74.67</c:v>
                </c:pt>
                <c:pt idx="1992">
                  <c:v>220.95</c:v>
                </c:pt>
                <c:pt idx="1993">
                  <c:v>81.819999999999993</c:v>
                </c:pt>
                <c:pt idx="1994">
                  <c:v>-2.21</c:v>
                </c:pt>
                <c:pt idx="1995">
                  <c:v>5.27</c:v>
                </c:pt>
                <c:pt idx="1996">
                  <c:v>212.74</c:v>
                </c:pt>
                <c:pt idx="1997">
                  <c:v>-8.6</c:v>
                </c:pt>
                <c:pt idx="1998">
                  <c:v>15.58</c:v>
                </c:pt>
                <c:pt idx="1999">
                  <c:v>-5.48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E5-4456-9041-056697702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516527"/>
        <c:axId val="1396518191"/>
      </c:lineChart>
      <c:catAx>
        <c:axId val="139651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18191"/>
        <c:crosses val="autoZero"/>
        <c:auto val="1"/>
        <c:lblAlgn val="ctr"/>
        <c:lblOffset val="100"/>
        <c:noMultiLvlLbl val="0"/>
      </c:catAx>
      <c:valAx>
        <c:axId val="139651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1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4</xdr:row>
      <xdr:rowOff>177800</xdr:rowOff>
    </xdr:from>
    <xdr:to>
      <xdr:col>6</xdr:col>
      <xdr:colOff>469900</xdr:colOff>
      <xdr:row>20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565150</xdr:colOff>
      <xdr:row>4</xdr:row>
      <xdr:rowOff>171450</xdr:rowOff>
    </xdr:from>
    <xdr:to>
      <xdr:col>12</xdr:col>
      <xdr:colOff>444500</xdr:colOff>
      <xdr:row>19</xdr:row>
      <xdr:rowOff>177800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495610</xdr:colOff>
      <xdr:row>21</xdr:row>
      <xdr:rowOff>16433</xdr:rowOff>
    </xdr:from>
    <xdr:to>
      <xdr:col>6</xdr:col>
      <xdr:colOff>459472</xdr:colOff>
      <xdr:row>35</xdr:row>
      <xdr:rowOff>128233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554366</xdr:colOff>
      <xdr:row>21</xdr:row>
      <xdr:rowOff>20158</xdr:rowOff>
    </xdr:from>
    <xdr:to>
      <xdr:col>12</xdr:col>
      <xdr:colOff>454602</xdr:colOff>
      <xdr:row>35</xdr:row>
      <xdr:rowOff>129886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560444</xdr:colOff>
      <xdr:row>4</xdr:row>
      <xdr:rowOff>171517</xdr:rowOff>
    </xdr:from>
    <xdr:to>
      <xdr:col>20</xdr:col>
      <xdr:colOff>240988</xdr:colOff>
      <xdr:row>20</xdr:row>
      <xdr:rowOff>5380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549795</xdr:colOff>
      <xdr:row>21</xdr:row>
      <xdr:rowOff>26409</xdr:rowOff>
    </xdr:from>
    <xdr:to>
      <xdr:col>20</xdr:col>
      <xdr:colOff>252823</xdr:colOff>
      <xdr:row>35</xdr:row>
      <xdr:rowOff>129352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367632</xdr:colOff>
      <xdr:row>21</xdr:row>
      <xdr:rowOff>38991</xdr:rowOff>
    </xdr:from>
    <xdr:to>
      <xdr:col>27</xdr:col>
      <xdr:colOff>523597</xdr:colOff>
      <xdr:row>35</xdr:row>
      <xdr:rowOff>167486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373202</xdr:colOff>
      <xdr:row>4</xdr:row>
      <xdr:rowOff>172676</xdr:rowOff>
    </xdr:from>
    <xdr:to>
      <xdr:col>27</xdr:col>
      <xdr:colOff>516249</xdr:colOff>
      <xdr:row>19</xdr:row>
      <xdr:rowOff>173855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C" refreshedDate="46257.700094444444" createdVersion="6" refreshedVersion="6" minRefreshableVersion="3" recordCount="2000">
  <cacheSource type="worksheet">
    <worksheetSource name="Table1"/>
  </cacheSource>
  <cacheFields count="20">
    <cacheField name="Order_ID" numFmtId="0">
      <sharedItems count="2000">
        <s v="ORD-11121"/>
        <s v="ORD-11244"/>
        <s v="ORD-10325"/>
        <s v="ORD-10467"/>
        <s v="ORD-11454"/>
        <s v="ORD-11746"/>
        <s v="ORD-11162"/>
        <s v="ORD-11271"/>
        <s v="ORD-11702"/>
        <s v="ORD-10847"/>
        <s v="ORD-10446"/>
        <s v="ORD-11499"/>
        <s v="ORD-10271"/>
        <s v="ORD-11356"/>
        <s v="ORD-10793"/>
        <s v="ORD-11330"/>
        <s v="ORD-11886"/>
        <s v="ORD-10339"/>
        <s v="ORD-10402"/>
        <s v="ORD-10560"/>
        <s v="ORD-10686"/>
        <s v="ORD-11718"/>
        <s v="ORD-10736"/>
        <s v="ORD-10846"/>
        <s v="ORD-11128"/>
        <s v="ORD-10279"/>
        <s v="ORD-10344"/>
        <s v="ORD-10589"/>
        <s v="ORD-11029"/>
        <s v="ORD-11026"/>
        <s v="ORD-10968"/>
        <s v="ORD-11723"/>
        <s v="ORD-10408"/>
        <s v="ORD-11828"/>
        <s v="ORD-11035"/>
        <s v="ORD-10599"/>
        <s v="ORD-10780"/>
        <s v="ORD-10636"/>
        <s v="ORD-10694"/>
        <s v="ORD-10711"/>
        <s v="ORD-10383"/>
        <s v="ORD-10435"/>
        <s v="ORD-10017"/>
        <s v="ORD-11220"/>
        <s v="ORD-11237"/>
        <s v="ORD-11655"/>
        <s v="ORD-11858"/>
        <s v="ORD-10787"/>
        <s v="ORD-10950"/>
        <s v="ORD-10374"/>
        <s v="ORD-10745"/>
        <s v="ORD-11670"/>
        <s v="ORD-11158"/>
        <s v="ORD-11430"/>
        <s v="ORD-11760"/>
        <s v="ORD-10720"/>
        <s v="ORD-11218"/>
        <s v="ORD-10384"/>
        <s v="ORD-11503"/>
        <s v="ORD-11711"/>
        <s v="ORD-10098"/>
        <s v="ORD-10314"/>
        <s v="ORD-10322"/>
        <s v="ORD-11507"/>
        <s v="ORD-11683"/>
        <s v="ORD-10642"/>
        <s v="ORD-11011"/>
        <s v="ORD-11270"/>
        <s v="ORD-11659"/>
        <s v="ORD-10256"/>
        <s v="ORD-10527"/>
        <s v="ORD-11082"/>
        <s v="ORD-10473"/>
        <s v="ORD-11304"/>
        <s v="ORD-11560"/>
        <s v="ORD-11196"/>
        <s v="ORD-11355"/>
        <s v="ORD-11569"/>
        <s v="ORD-10916"/>
        <s v="ORD-10837"/>
        <s v="ORD-10855"/>
        <s v="ORD-11065"/>
        <s v="ORD-11922"/>
        <s v="ORD-10594"/>
        <s v="ORD-11419"/>
        <s v="ORD-11624"/>
        <s v="ORD-11855"/>
        <s v="ORD-10843"/>
        <s v="ORD-11306"/>
        <s v="ORD-10392"/>
        <s v="ORD-11302"/>
        <s v="ORD-11205"/>
        <s v="ORD-10892"/>
        <s v="ORD-11175"/>
        <s v="ORD-11598"/>
        <s v="ORD-10113"/>
        <s v="ORD-10646"/>
        <s v="ORD-11378"/>
        <s v="ORD-11900"/>
        <s v="ORD-11523"/>
        <s v="ORD-10233"/>
        <s v="ORD-10605"/>
        <s v="ORD-10907"/>
        <s v="ORD-11202"/>
        <s v="ORD-11294"/>
        <s v="ORD-11673"/>
        <s v="ORD-11217"/>
        <s v="ORD-10246"/>
        <s v="ORD-11135"/>
        <s v="ORD-10620"/>
        <s v="ORD-11279"/>
        <s v="ORD-10124"/>
        <s v="ORD-10242"/>
        <s v="ORD-10915"/>
        <s v="ORD-11632"/>
        <s v="ORD-11184"/>
        <s v="ORD-10874"/>
        <s v="ORD-11668"/>
        <s v="ORD-11260"/>
        <s v="ORD-10953"/>
        <s v="ORD-10521"/>
        <s v="ORD-11545"/>
        <s v="ORD-10070"/>
        <s v="ORD-11006"/>
        <s v="ORD-10744"/>
        <s v="ORD-10861"/>
        <s v="ORD-10676"/>
        <s v="ORD-11064"/>
        <s v="ORD-11786"/>
        <s v="ORD-10637"/>
        <s v="ORD-10863"/>
        <s v="ORD-11917"/>
        <s v="ORD-10020"/>
        <s v="ORD-11090"/>
        <s v="ORD-11712"/>
        <s v="ORD-10887"/>
        <s v="ORD-11156"/>
        <s v="ORD-11633"/>
        <s v="ORD-10103"/>
        <s v="ORD-10132"/>
        <s v="ORD-11007"/>
        <s v="ORD-10395"/>
        <s v="ORD-11318"/>
        <s v="ORD-10252"/>
        <s v="ORD-10450"/>
        <s v="ORD-11088"/>
        <s v="ORD-11452"/>
        <s v="ORD-11478"/>
        <s v="ORD-11231"/>
        <s v="ORD-11479"/>
        <s v="ORD-10821"/>
        <s v="ORD-11766"/>
        <s v="ORD-11000"/>
        <s v="ORD-11002"/>
        <s v="ORD-11631"/>
        <s v="ORD-11784"/>
        <s v="ORD-10578"/>
        <s v="ORD-10306"/>
        <s v="ORD-10532"/>
        <s v="ORD-10903"/>
        <s v="ORD-11253"/>
        <s v="ORD-11610"/>
        <s v="ORD-10071"/>
        <s v="ORD-10207"/>
        <s v="ORD-11995"/>
        <s v="ORD-10176"/>
        <s v="ORD-11066"/>
        <s v="ORD-11988"/>
        <s v="ORD-10274"/>
        <s v="ORD-10840"/>
        <s v="ORD-11333"/>
        <s v="ORD-11079"/>
        <s v="ORD-11868"/>
        <s v="ORD-11664"/>
        <s v="ORD-11912"/>
        <s v="ORD-11921"/>
        <s v="ORD-10551"/>
        <s v="ORD-10091"/>
        <s v="ORD-10434"/>
        <s v="ORD-11552"/>
        <s v="ORD-10330"/>
        <s v="ORD-10769"/>
        <s v="ORD-10427"/>
        <s v="ORD-11810"/>
        <s v="ORD-11212"/>
        <s v="ORD-10667"/>
        <s v="ORD-11292"/>
        <s v="ORD-11731"/>
        <s v="ORD-11224"/>
        <s v="ORD-10468"/>
        <s v="ORD-11700"/>
        <s v="ORD-10377"/>
        <s v="ORD-11553"/>
        <s v="ORD-11888"/>
        <s v="ORD-10102"/>
        <s v="ORD-11008"/>
        <s v="ORD-11204"/>
        <s v="ORD-10826"/>
        <s v="ORD-11363"/>
        <s v="ORD-10202"/>
        <s v="ORD-10462"/>
        <s v="ORD-11586"/>
        <s v="ORD-10703"/>
        <s v="ORD-10828"/>
        <s v="ORD-10652"/>
        <s v="ORD-11385"/>
        <s v="ORD-11895"/>
        <s v="ORD-10143"/>
        <s v="ORD-10853"/>
        <s v="ORD-10452"/>
        <s v="ORD-11484"/>
        <s v="ORD-10623"/>
        <s v="ORD-11458"/>
        <s v="ORD-10609"/>
        <s v="ORD-11288"/>
        <s v="ORD-10607"/>
        <s v="ORD-10105"/>
        <s v="ORD-11298"/>
        <s v="ORD-11682"/>
        <s v="ORD-10411"/>
        <s v="ORD-11776"/>
        <s v="ORD-11788"/>
        <s v="ORD-11227"/>
        <s v="ORD-10941"/>
        <s v="ORD-11045"/>
        <s v="ORD-11149"/>
        <s v="ORD-11329"/>
        <s v="ORD-11394"/>
        <s v="ORD-11435"/>
        <s v="ORD-10336"/>
        <s v="ORD-11513"/>
        <s v="ORD-11762"/>
        <s v="ORD-10562"/>
        <s v="ORD-10710"/>
        <s v="ORD-11740"/>
        <s v="ORD-10422"/>
        <s v="ORD-11834"/>
        <s v="ORD-10942"/>
        <s v="ORD-10129"/>
        <s v="ORD-10722"/>
        <s v="ORD-10845"/>
        <s v="ORD-10937"/>
        <s v="ORD-11401"/>
        <s v="ORD-10069"/>
        <s v="ORD-10025"/>
        <s v="ORD-11268"/>
        <s v="ORD-11962"/>
        <s v="ORD-10979"/>
        <s v="ORD-10816"/>
        <s v="ORD-11468"/>
        <s v="ORD-11539"/>
        <s v="ORD-11609"/>
        <s v="ORD-11707"/>
        <s v="ORD-10177"/>
        <s v="ORD-10817"/>
        <s v="ORD-11080"/>
        <s v="ORD-10376"/>
        <s v="ORD-10726"/>
        <s v="ORD-11103"/>
        <s v="ORD-10727"/>
        <s v="ORD-10772"/>
        <s v="ORD-11060"/>
        <s v="ORD-11322"/>
        <s v="ORD-10146"/>
        <s v="ORD-11048"/>
        <s v="ORD-11155"/>
        <s v="ORD-11376"/>
        <s v="ORD-11535"/>
        <s v="ORD-10114"/>
        <s v="ORD-11031"/>
        <s v="ORD-11133"/>
        <s v="ORD-10349"/>
        <s v="ORD-11733"/>
        <s v="ORD-10358"/>
        <s v="ORD-11932"/>
        <s v="ORD-10042"/>
        <s v="ORD-10569"/>
        <s v="ORD-11665"/>
        <s v="ORD-10876"/>
        <s v="ORD-11258"/>
        <s v="ORD-11375"/>
        <s v="ORD-10546"/>
        <s v="ORD-10860"/>
        <s v="ORD-11307"/>
        <s v="ORD-10182"/>
        <s v="ORD-10674"/>
        <s v="ORD-11336"/>
        <s v="ORD-10712"/>
        <s v="ORD-10788"/>
        <s v="ORD-10212"/>
        <s v="ORD-11068"/>
        <s v="ORD-11653"/>
        <s v="ORD-11771"/>
        <s v="ORD-10480"/>
        <s v="ORD-10700"/>
        <s v="ORD-10661"/>
        <s v="ORD-10747"/>
        <s v="ORD-10432"/>
        <s v="ORD-10483"/>
        <s v="ORD-10792"/>
        <s v="ORD-11387"/>
        <s v="ORD-11564"/>
        <s v="ORD-10381"/>
        <s v="ORD-11603"/>
        <s v="ORD-11019"/>
        <s v="ORD-10977"/>
        <s v="ORD-10008"/>
        <s v="ORD-11100"/>
        <s v="ORD-11464"/>
        <s v="ORD-11562"/>
        <s v="ORD-10083"/>
        <s v="ORD-10112"/>
        <s v="ORD-11077"/>
        <s v="ORD-10003"/>
        <s v="ORD-10024"/>
        <s v="ORD-10404"/>
        <s v="ORD-11154"/>
        <s v="ORD-11859"/>
        <s v="ORD-10107"/>
        <s v="ORD-11182"/>
        <s v="ORD-11380"/>
        <s v="ORD-10015"/>
        <s v="ORD-10545"/>
        <s v="ORD-10961"/>
        <s v="ORD-10511"/>
        <s v="ORD-11806"/>
        <s v="ORD-10283"/>
        <s v="ORD-10625"/>
        <s v="ORD-11098"/>
        <s v="ORD-11395"/>
        <s v="ORD-10090"/>
        <s v="ORD-10904"/>
        <s v="ORD-10266"/>
        <s v="ORD-10424"/>
        <s v="ORD-11061"/>
        <s v="ORD-11808"/>
        <s v="ORD-10326"/>
        <s v="ORD-11349"/>
        <s v="ORD-10681"/>
        <s v="ORD-10996"/>
        <s v="ORD-11167"/>
        <s v="ORD-11391"/>
        <s v="ORD-10949"/>
        <s v="ORD-11494"/>
        <s v="ORD-10240"/>
        <s v="ORD-10945"/>
        <s v="ORD-11589"/>
        <s v="ORD-11824"/>
        <s v="ORD-10045"/>
        <s v="ORD-11229"/>
        <s v="ORD-11934"/>
        <s v="ORD-10001"/>
        <s v="ORD-11199"/>
        <s v="ORD-11680"/>
        <s v="ORD-10755"/>
        <s v="ORD-11247"/>
        <s v="ORD-10225"/>
        <s v="ORD-10281"/>
        <s v="ORD-10980"/>
        <s v="ORD-11339"/>
        <s v="ORD-10459"/>
        <s v="ORD-10885"/>
        <s v="ORD-10680"/>
        <s v="ORD-11530"/>
        <s v="ORD-11642"/>
        <s v="ORD-10228"/>
        <s v="ORD-10254"/>
        <s v="ORD-10418"/>
        <s v="ORD-10842"/>
        <s v="ORD-11769"/>
        <s v="ORD-11929"/>
        <s v="ORD-11501"/>
        <s v="ORD-10363"/>
        <s v="ORD-10496"/>
        <s v="ORD-11960"/>
        <s v="ORD-10838"/>
        <s v="ORD-11909"/>
        <s v="ORD-10030"/>
        <s v="ORD-11169"/>
        <s v="ORD-11178"/>
        <s v="ORD-10651"/>
        <s v="ORD-10737"/>
        <s v="ORD-10952"/>
        <s v="ORD-11481"/>
        <s v="ORD-10852"/>
        <s v="ORD-11667"/>
        <s v="ORD-10277"/>
        <s v="ORD-10356"/>
        <s v="ORD-10367"/>
        <s v="ORD-10558"/>
        <s v="ORD-11332"/>
        <s v="ORD-11526"/>
        <s v="ORD-11846"/>
        <s v="ORD-10917"/>
        <s v="ORD-11070"/>
        <s v="ORD-11557"/>
        <s v="ORD-10783"/>
        <s v="ORD-10954"/>
        <s v="ORD-11085"/>
        <s v="ORD-11684"/>
        <s v="ORD-10820"/>
        <s v="ORD-11293"/>
        <s v="ORD-11529"/>
        <s v="ORD-10009"/>
        <s v="ORD-10301"/>
        <s v="ORD-10738"/>
        <s v="ORD-11681"/>
        <s v="ORD-11234"/>
        <s v="ORD-10023"/>
        <s v="ORD-11515"/>
        <s v="ORD-11537"/>
        <s v="ORD-10550"/>
        <s v="ORD-10927"/>
        <s v="ORD-11657"/>
        <s v="ORD-10201"/>
        <s v="ORD-10457"/>
        <s v="ORD-10219"/>
        <s v="ORD-10571"/>
        <s v="ORD-10688"/>
        <s v="ORD-11628"/>
        <s v="ORD-10153"/>
        <s v="ORD-10320"/>
        <s v="ORD-11328"/>
        <s v="ORD-11379"/>
        <s v="ORD-11780"/>
        <s v="ORD-11483"/>
        <s v="ORD-11717"/>
        <s v="ORD-11161"/>
        <s v="ORD-11422"/>
        <s v="ORD-11685"/>
        <s v="ORD-10341"/>
        <s v="ORD-10872"/>
        <s v="ORD-11441"/>
        <s v="ORD-11906"/>
        <s v="ORD-10447"/>
        <s v="ORD-11532"/>
        <s v="ORD-11533"/>
        <s v="ORD-11601"/>
        <s v="ORD-11867"/>
        <s v="ORD-11030"/>
        <s v="ORD-11191"/>
        <s v="ORD-11520"/>
        <s v="ORD-11840"/>
        <s v="ORD-10500"/>
        <s v="ORD-11461"/>
        <s v="ORD-10713"/>
        <s v="ORD-10908"/>
        <s v="ORD-11544"/>
        <s v="ORD-10399"/>
        <s v="ORD-10576"/>
        <s v="ORD-11991"/>
        <s v="ORD-11518"/>
        <s v="ORD-11795"/>
        <s v="ORD-11323"/>
        <s v="ORD-10752"/>
        <s v="ORD-11390"/>
        <s v="ORD-11884"/>
        <s v="ORD-11239"/>
        <s v="ORD-11890"/>
        <s v="ORD-11911"/>
        <s v="ORD-10321"/>
        <s v="ORD-10600"/>
        <s v="ORD-10955"/>
        <s v="ORD-10891"/>
        <s v="ORD-10920"/>
        <s v="ORD-10984"/>
        <s v="ORD-10128"/>
        <s v="ORD-10298"/>
        <s v="ORD-10442"/>
        <s v="ORD-10231"/>
        <s v="ORD-11813"/>
        <s v="ORD-10063"/>
        <s v="ORD-10343"/>
        <s v="ORD-10554"/>
        <s v="ORD-11643"/>
        <s v="ORD-10085"/>
        <s v="ORD-10210"/>
        <s v="ORD-11745"/>
        <s v="ORD-10574"/>
        <s v="ORD-10881"/>
        <s v="ORD-10926"/>
        <s v="ORD-11699"/>
        <s v="ORD-10635"/>
        <s v="ORD-10137"/>
        <s v="ORD-10196"/>
        <s v="ORD-11561"/>
        <s v="ORD-10421"/>
        <s v="ORD-11651"/>
        <s v="ORD-10380"/>
        <s v="ORD-11181"/>
        <s v="ORD-11321"/>
        <s v="ORD-11763"/>
        <s v="ORD-10203"/>
        <s v="ORD-10398"/>
        <s v="ORD-10997"/>
        <s v="ORD-11396"/>
        <s v="ORD-11837"/>
        <s v="ORD-10525"/>
        <s v="ORD-11453"/>
        <s v="ORD-10489"/>
        <s v="ORD-10750"/>
        <s v="ORD-10844"/>
        <s v="ORD-11226"/>
        <s v="ORD-11512"/>
        <s v="ORD-10606"/>
        <s v="ORD-11091"/>
        <s v="ORD-10561"/>
        <s v="ORD-11357"/>
        <s v="ORD-11358"/>
        <s v="ORD-11575"/>
        <s v="ORD-11946"/>
        <s v="ORD-10791"/>
        <s v="ORD-11272"/>
        <s v="ORD-11885"/>
        <s v="ORD-11093"/>
        <s v="ORD-10455"/>
        <s v="ORD-10568"/>
        <s v="ORD-11137"/>
        <s v="ORD-10417"/>
        <s v="ORD-11216"/>
        <s v="ORD-11974"/>
        <s v="ORD-11062"/>
        <s v="ORD-11417"/>
        <s v="ORD-11812"/>
        <s v="ORD-10007"/>
        <s v="ORD-10211"/>
        <s v="ORD-11210"/>
        <s v="ORD-11245"/>
        <s v="ORD-11460"/>
        <s v="ORD-11809"/>
        <s v="ORD-10499"/>
        <s v="ORD-10579"/>
        <s v="ORD-11652"/>
        <s v="ORD-11261"/>
        <s v="ORD-11550"/>
        <s v="ORD-11798"/>
        <s v="ORD-10347"/>
        <s v="ORD-10429"/>
        <s v="ORD-10461"/>
        <s v="ORD-11069"/>
        <s v="ORD-10382"/>
        <s v="ORD-10530"/>
        <s v="ORD-10316"/>
        <s v="ORD-10717"/>
        <s v="ORD-11406"/>
        <s v="ORD-10478"/>
        <s v="ORD-10696"/>
        <s v="ORD-11295"/>
        <s v="ORD-11300"/>
        <s v="ORD-10054"/>
        <s v="ORD-10528"/>
        <s v="ORD-11038"/>
        <s v="ORD-11728"/>
        <s v="ORD-11949"/>
        <s v="ORD-10811"/>
        <s v="ORD-11576"/>
        <s v="ORD-10514"/>
        <s v="ORD-10757"/>
        <s v="ORD-11470"/>
        <s v="ORD-10801"/>
        <s v="ORD-11903"/>
        <s v="ORD-10043"/>
        <s v="ORD-11109"/>
        <s v="ORD-10753"/>
        <s v="ORD-10180"/>
        <s v="ORD-11761"/>
        <s v="ORD-10375"/>
        <s v="ORD-10795"/>
        <s v="ORD-10362"/>
        <s v="ORD-10350"/>
        <s v="ORD-12000"/>
        <s v="ORD-10559"/>
        <s v="ORD-10725"/>
        <s v="ORD-11713"/>
        <s v="ORD-10932"/>
        <s v="ORD-11566"/>
        <s v="ORD-10360"/>
        <s v="ORD-11833"/>
        <s v="ORD-11177"/>
        <s v="ORD-10978"/>
        <s v="ORD-10041"/>
        <s v="ORD-10365"/>
        <s v="ORD-10524"/>
        <s v="ORD-11789"/>
        <s v="ORD-10992"/>
        <s v="ORD-11555"/>
        <s v="ORD-11793"/>
        <s v="ORD-11111"/>
        <s v="ORD-11488"/>
        <s v="ORD-11497"/>
        <s v="ORD-11687"/>
        <s v="ORD-11505"/>
        <s v="ORD-10487"/>
        <s v="ORD-10677"/>
        <s v="ORD-10044"/>
        <s v="ORD-11910"/>
        <s v="ORD-10288"/>
        <s v="ORD-11423"/>
        <s v="ORD-11442"/>
        <s v="ORD-11827"/>
        <s v="ORD-11863"/>
        <s v="ORD-11904"/>
        <s v="ORD-11346"/>
        <s v="ORD-11661"/>
        <s v="ORD-11944"/>
        <s v="ORD-10109"/>
        <s v="ORD-11117"/>
        <s v="ORD-11316"/>
        <s v="ORD-11770"/>
        <s v="ORD-10189"/>
        <s v="ORD-10779"/>
        <s v="ORD-11597"/>
        <s v="ORD-11641"/>
        <s v="ORD-11708"/>
        <s v="ORD-11825"/>
        <s v="ORD-11891"/>
        <s v="ORD-10220"/>
        <s v="ORD-11953"/>
        <s v="ORD-10183"/>
        <s v="ORD-10488"/>
        <s v="ORD-11110"/>
        <s v="ORD-11393"/>
        <s v="ORD-10632"/>
        <s v="ORD-11262"/>
        <s v="ORD-10199"/>
        <s v="ORD-10454"/>
        <s v="ORD-10658"/>
        <s v="ORD-11649"/>
        <s v="ORD-11811"/>
        <s v="ORD-11847"/>
        <s v="ORD-11936"/>
        <s v="ORD-11986"/>
        <s v="ORD-11964"/>
        <s v="ORD-11968"/>
        <s v="ORD-10508"/>
        <s v="ORD-11337"/>
        <s v="ORD-11463"/>
        <s v="ORD-11449"/>
        <s v="ORD-10474"/>
        <s v="ORD-10495"/>
        <s v="ORD-11233"/>
        <s v="ORD-11248"/>
        <s v="ORD-11998"/>
        <s v="ORD-10126"/>
        <s v="ORD-11345"/>
        <s v="ORD-11967"/>
        <s v="ORD-10197"/>
        <s v="ORD-11579"/>
        <s v="ORD-10237"/>
        <s v="ORD-10587"/>
        <s v="ORD-10724"/>
        <s v="ORD-10127"/>
        <s v="ORD-10230"/>
        <s v="ORD-10318"/>
        <s v="ORD-10827"/>
        <s v="ORD-11663"/>
        <s v="ORD-10149"/>
        <s v="ORD-11020"/>
        <s v="ORD-10218"/>
        <s v="ORD-10409"/>
        <s v="ORD-10439"/>
        <s v="ORD-10591"/>
        <s v="ORD-10825"/>
        <s v="ORD-11187"/>
        <s v="ORD-11830"/>
        <s v="ORD-11418"/>
        <s v="ORD-11457"/>
        <s v="ORD-11996"/>
        <s v="ORD-11147"/>
        <s v="ORD-11437"/>
        <s v="ORD-10010"/>
        <s v="ORD-11510"/>
        <s v="ORD-10052"/>
        <s v="ORD-10430"/>
        <s v="ORD-11467"/>
        <s v="ORD-11720"/>
        <s v="ORD-10673"/>
        <s v="ORD-10709"/>
        <s v="ORD-10323"/>
        <s v="ORD-10650"/>
        <s v="ORD-10718"/>
        <s v="ORD-10962"/>
        <s v="ORD-11993"/>
        <s v="ORD-10925"/>
        <s v="ORD-11362"/>
        <s v="ORD-11372"/>
        <s v="ORD-11551"/>
        <s v="ORD-10476"/>
        <s v="ORD-11431"/>
        <s v="ORD-11861"/>
        <s v="ORD-11992"/>
        <s v="ORD-10152"/>
        <s v="ORD-10672"/>
        <s v="ORD-10880"/>
        <s v="ORD-11107"/>
        <s v="ORD-11424"/>
        <s v="ORD-11592"/>
        <s v="ORD-10695"/>
        <s v="ORD-10116"/>
        <s v="ORD-10775"/>
        <s v="ORD-11033"/>
        <s v="ORD-10866"/>
        <s v="ORD-11159"/>
        <s v="ORD-10471"/>
        <s v="ORD-10549"/>
        <s v="ORD-11273"/>
        <s v="ORD-10067"/>
        <s v="ORD-10498"/>
        <s v="ORD-10265"/>
        <s v="ORD-10662"/>
        <s v="ORD-11015"/>
        <s v="ORD-11782"/>
        <s v="ORD-10032"/>
        <s v="ORD-10004"/>
        <s v="ORD-10051"/>
        <s v="ORD-10878"/>
        <s v="ORD-11208"/>
        <s v="ORD-11547"/>
        <s v="ORD-10100"/>
        <s v="ORD-10110"/>
        <s v="ORD-10928"/>
        <s v="ORD-11928"/>
        <s v="ORD-10440"/>
        <s v="ORD-11047"/>
        <s v="ORD-11456"/>
        <s v="ORD-10297"/>
        <s v="ORD-11139"/>
        <s v="ORD-11704"/>
        <s v="ORD-10031"/>
        <s v="ORD-10923"/>
        <s v="ORD-10958"/>
        <s v="ORD-11599"/>
        <s v="ORD-11625"/>
        <s v="ORD-11705"/>
        <s v="ORD-10346"/>
        <s v="ORD-10338"/>
        <s v="ORD-10935"/>
        <s v="ORD-11263"/>
        <s v="ORD-11724"/>
        <s v="ORD-11580"/>
        <s v="ORD-10292"/>
        <s v="ORD-11565"/>
        <s v="ORD-10413"/>
        <s v="ORD-10503"/>
        <s v="ORD-10510"/>
        <s v="ORD-10165"/>
        <s v="ORD-10529"/>
        <s v="ORD-10819"/>
        <s v="ORD-11638"/>
        <s v="ORD-11671"/>
        <s v="ORD-10156"/>
        <s v="ORD-10708"/>
        <s v="ORD-11059"/>
        <s v="ORD-11676"/>
        <s v="ORD-11280"/>
        <s v="ORD-10947"/>
        <s v="ORD-10869"/>
        <s v="ORD-10005"/>
        <s v="ORD-10951"/>
        <s v="ORD-11594"/>
        <s v="ORD-11835"/>
        <s v="ORD-10706"/>
        <s v="ORD-11277"/>
        <s v="ORD-10437"/>
        <s v="ORD-10841"/>
        <s v="ORD-10883"/>
        <s v="ORD-10273"/>
        <s v="ORD-10893"/>
        <s v="ORD-11361"/>
        <s v="ORD-10309"/>
        <s v="ORD-10531"/>
        <s v="ORD-10537"/>
        <s v="ORD-11284"/>
        <s v="ORD-11143"/>
        <s v="ORD-11742"/>
        <s v="ORD-11961"/>
        <s v="ORD-11956"/>
        <s v="ORD-10573"/>
        <s v="ORD-11179"/>
        <s v="ORD-11997"/>
        <s v="ORD-10084"/>
        <s v="ORD-11941"/>
        <s v="ORD-11174"/>
        <s v="ORD-11802"/>
        <s v="ORD-11979"/>
        <s v="ORD-10425"/>
        <s v="ORD-10040"/>
        <s v="ORD-10705"/>
        <s v="ORD-11101"/>
        <s v="ORD-11914"/>
        <s v="ORD-10154"/>
        <s v="ORD-11326"/>
        <s v="ORD-10379"/>
        <s v="ORD-10754"/>
        <s v="ORD-10394"/>
        <s v="ORD-10464"/>
        <s v="ORD-11428"/>
        <s v="ORD-11969"/>
        <s v="ORD-11981"/>
        <s v="ORD-10660"/>
        <s v="ORD-10768"/>
        <s v="ORD-11299"/>
        <s v="ORD-10295"/>
        <s v="ORD-10832"/>
        <s v="ORD-11250"/>
        <s v="ORD-11581"/>
        <s v="ORD-10064"/>
        <s v="ORD-10665"/>
        <s v="ORD-10687"/>
        <s v="ORD-10806"/>
        <s v="ORD-10813"/>
        <s v="ORD-10956"/>
        <s v="ORD-11558"/>
        <s v="ORD-10078"/>
        <s v="ORD-11634"/>
        <s v="ORD-10092"/>
        <s v="ORD-10964"/>
        <s v="ORD-11344"/>
        <s v="ORD-10991"/>
        <s v="ORD-11785"/>
        <s v="ORD-10250"/>
        <s v="ORD-11053"/>
        <s v="ORD-11489"/>
        <s v="ORD-11767"/>
        <s v="ORD-10305"/>
        <s v="ORD-11106"/>
        <s v="ORD-10006"/>
        <s v="ORD-11141"/>
        <s v="ORD-11434"/>
        <s v="ORD-10463"/>
        <s v="ORD-11290"/>
        <s v="ORD-10075"/>
        <s v="ORD-10460"/>
        <s v="ORD-11887"/>
        <s v="ORD-10171"/>
        <s v="ORD-10354"/>
        <s v="ORD-11171"/>
        <s v="ORD-10332"/>
        <s v="ORD-10420"/>
        <s v="ORD-11259"/>
        <s v="ORD-11678"/>
        <s v="ORD-10236"/>
        <s v="ORD-10407"/>
        <s v="ORD-10575"/>
        <s v="ORD-11315"/>
        <s v="ORD-11548"/>
        <s v="ORD-11607"/>
        <s v="ORD-11675"/>
        <s v="ORD-10057"/>
        <s v="ORD-10438"/>
        <s v="ORD-10616"/>
        <s v="ORD-11373"/>
        <s v="ORD-11546"/>
        <s v="ORD-11871"/>
        <s v="ORD-11999"/>
        <s v="ORD-10034"/>
        <s v="ORD-11583"/>
        <s v="ORD-11734"/>
        <s v="ORD-10082"/>
        <s v="ORD-10361"/>
        <s v="ORD-10515"/>
        <s v="ORD-10640"/>
        <s v="ORD-11108"/>
        <s v="ORD-11297"/>
        <s v="ORD-10804"/>
        <s v="ORD-10342"/>
        <s v="ORD-10366"/>
        <s v="ORD-10456"/>
        <s v="ORD-10732"/>
        <s v="ORD-11025"/>
        <s v="ORD-11198"/>
        <s v="ORD-10167"/>
        <s v="ORD-10355"/>
        <s v="ORD-11414"/>
        <s v="ORD-10056"/>
        <s v="ORD-10373"/>
        <s v="ORD-10728"/>
        <s v="ORD-10072"/>
        <s v="ORD-10049"/>
        <s v="ORD-11626"/>
        <s v="ORD-10147"/>
        <s v="ORD-10721"/>
        <s v="ORD-11448"/>
        <s v="ORD-11817"/>
        <s v="ORD-11735"/>
        <s v="ORD-10900"/>
        <s v="ORD-11104"/>
        <s v="ORD-11572"/>
        <s v="ORD-11924"/>
        <s v="ORD-10835"/>
        <s v="ORD-11432"/>
        <s v="ORD-11877"/>
        <s v="ORD-10224"/>
        <s v="ORD-11144"/>
        <s v="ORD-10169"/>
        <s v="ORD-10396"/>
        <s v="ORD-11152"/>
        <s v="ORD-11650"/>
        <s v="ORD-10582"/>
        <s v="ORD-11696"/>
        <s v="ORD-10796"/>
        <s v="ORD-11791"/>
        <s v="ORD-10104"/>
        <s v="ORD-10291"/>
        <s v="ORD-10016"/>
        <s v="ORD-10359"/>
        <s v="ORD-10989"/>
        <s v="ORD-11568"/>
        <s v="ORD-11021"/>
        <s v="ORD-11160"/>
        <s v="ORD-11462"/>
        <s v="ORD-10631"/>
        <s v="ORD-10936"/>
        <s v="ORD-11287"/>
        <s v="ORD-10059"/>
        <s v="ORD-10335"/>
        <s v="ORD-10595"/>
        <s v="ORD-10614"/>
        <s v="ORD-10790"/>
        <s v="ORD-11173"/>
        <s v="ORD-11324"/>
        <s v="ORD-10364"/>
        <s v="ORD-10445"/>
        <s v="ORD-10584"/>
        <s v="ORD-11658"/>
        <s v="ORD-11765"/>
        <s v="ORD-10441"/>
        <s v="ORD-10898"/>
        <s v="ORD-11164"/>
        <s v="ORD-11588"/>
        <s v="ORD-11686"/>
        <s v="ORD-10117"/>
        <s v="ORD-11074"/>
        <s v="ORD-10345"/>
        <s v="ORD-11815"/>
        <s v="ORD-10157"/>
        <s v="ORD-11803"/>
        <s v="ORD-10734"/>
        <s v="ORD-10302"/>
        <s v="ORD-11365"/>
        <s v="ORD-11759"/>
        <s v="ORD-11750"/>
        <s v="ORD-10557"/>
        <s v="ORD-10897"/>
        <s v="ORD-11738"/>
        <s v="ORD-11737"/>
        <s v="ORD-10547"/>
        <s v="ORD-10882"/>
        <s v="ORD-11303"/>
        <s v="ORD-11882"/>
        <s v="ORD-10227"/>
        <s v="ORD-10556"/>
        <s v="ORD-10884"/>
        <s v="ORD-11188"/>
        <s v="ORD-11340"/>
        <s v="ORD-11325"/>
        <s v="ORD-11447"/>
        <s v="ORD-10822"/>
        <s v="ORD-11747"/>
        <s v="ORD-11084"/>
        <s v="ORD-10983"/>
        <s v="ORD-11777"/>
        <s v="ORD-10278"/>
        <s v="ORD-11466"/>
        <s v="ORD-11816"/>
        <s v="ORD-10144"/>
        <s v="ORD-10012"/>
        <s v="ORD-11415"/>
        <s v="ORD-11265"/>
        <s v="ORD-11311"/>
        <s v="ORD-11688"/>
        <s v="ORD-10121"/>
        <s v="ORD-11099"/>
        <s v="ORD-11660"/>
        <s v="ORD-11768"/>
        <s v="ORD-10513"/>
        <s v="ORD-11850"/>
        <s v="ORD-11411"/>
        <s v="ORD-11498"/>
        <s v="ORD-11352"/>
        <s v="ORD-10257"/>
        <s v="ORD-10261"/>
        <s v="ORD-10581"/>
        <s v="ORD-10691"/>
        <s v="ORD-11189"/>
        <s v="ORD-10275"/>
        <s v="ORD-11450"/>
        <s v="ORD-11559"/>
        <s v="ORD-11225"/>
        <s v="ORD-11636"/>
        <s v="ORD-11706"/>
        <s v="ORD-10222"/>
        <s v="ORD-10385"/>
        <s v="ORD-11508"/>
        <s v="ORD-10641"/>
        <s v="ORD-11587"/>
        <s v="ORD-10095"/>
        <s v="ORD-11444"/>
        <s v="ORD-11549"/>
        <s v="ORD-10516"/>
        <s v="ORD-10586"/>
        <s v="ORD-10664"/>
        <s v="ORD-11142"/>
        <s v="ORD-10824"/>
        <s v="ORD-11343"/>
        <s v="ORD-11639"/>
        <s v="ORD-10131"/>
        <s v="ORD-10253"/>
        <s v="ORD-11402"/>
        <s v="ORD-11398"/>
        <s v="ORD-11857"/>
        <s v="ORD-11690"/>
        <s v="ORD-10909"/>
        <s v="ORD-10138"/>
        <s v="ORD-11165"/>
        <s v="ORD-10340"/>
        <s v="ORD-10388"/>
        <s v="ORD-10868"/>
        <s v="ORD-11918"/>
        <s v="ORD-10590"/>
        <s v="ORD-11153"/>
        <s v="ORD-11654"/>
        <s v="ORD-11982"/>
        <s v="ORD-10263"/>
        <s v="ORD-10066"/>
        <s v="ORD-10799"/>
        <s v="ORD-11203"/>
        <s v="ORD-11849"/>
        <s v="ORD-10867"/>
        <s v="ORD-11698"/>
        <s v="ORD-10213"/>
        <s v="ORD-10311"/>
        <s v="ORD-11049"/>
        <s v="ORD-10018"/>
        <s v="ORD-10475"/>
        <s v="ORD-11726"/>
        <s v="ORD-11892"/>
        <s v="ORD-10294"/>
        <s v="ORD-10910"/>
        <s v="ORD-10714"/>
        <s v="ORD-10716"/>
        <s v="ORD-10810"/>
        <s v="ORD-10786"/>
        <s v="ORD-10919"/>
        <s v="ORD-11751"/>
        <s v="ORD-10058"/>
        <s v="ORD-11383"/>
        <s v="ORD-11622"/>
        <s v="ORD-11976"/>
        <s v="ORD-11301"/>
        <s v="ORD-11719"/>
        <s v="ORD-10448"/>
        <s v="ORD-10748"/>
        <s v="ORD-11186"/>
        <s v="ORD-11446"/>
        <s v="ORD-11697"/>
        <s v="ORD-10315"/>
        <s v="ORD-11942"/>
        <s v="ORD-11094"/>
        <s v="ORD-10248"/>
        <s v="ORD-11240"/>
        <s v="ORD-10818"/>
        <s v="ORD-11132"/>
        <s v="ORD-10608"/>
        <s v="ORD-10629"/>
        <s v="ORD-11246"/>
        <s v="ORD-10245"/>
        <s v="ORD-10613"/>
        <s v="ORD-11635"/>
        <s v="ORD-10108"/>
        <s v="ORD-10563"/>
        <s v="ORD-11347"/>
        <s v="ORD-11480"/>
        <s v="ORD-11823"/>
        <s v="ORD-11613"/>
        <s v="ORD-10055"/>
        <s v="ORD-11966"/>
        <s v="ORD-10403"/>
        <s v="ORD-10140"/>
        <s v="ORD-11959"/>
        <s v="ORD-10929"/>
        <s v="ORD-11370"/>
        <s v="ORD-11534"/>
        <s v="ORD-10174"/>
        <s v="ORD-10848"/>
        <s v="ORD-11023"/>
        <s v="ORD-11314"/>
        <s v="ORD-11582"/>
        <s v="ORD-10544"/>
        <s v="ORD-11124"/>
        <s v="ORD-10493"/>
        <s v="ORD-10208"/>
        <s v="ORD-10484"/>
        <s v="ORD-10857"/>
        <s v="ORD-10901"/>
        <s v="ORD-11644"/>
        <s v="ORD-11672"/>
        <s v="ORD-11073"/>
        <s v="ORD-11058"/>
        <s v="ORD-10370"/>
        <s v="ORD-11781"/>
        <s v="ORD-11939"/>
        <s v="ORD-10184"/>
        <s v="ORD-10229"/>
        <s v="ORD-10286"/>
        <s v="ORD-10426"/>
        <s v="ORD-11799"/>
        <s v="ORD-11951"/>
        <s v="ORD-10466"/>
        <s v="ORD-11433"/>
        <s v="ORD-11473"/>
        <s v="ORD-11491"/>
        <s v="ORD-11504"/>
        <s v="ORD-11938"/>
        <s v="ORD-10262"/>
        <s v="ORD-10998"/>
        <s v="ORD-10050"/>
        <s v="ORD-10697"/>
        <s v="ORD-10329"/>
        <s v="ORD-10011"/>
        <s v="ORD-10931"/>
        <s v="ORD-10141"/>
        <s v="ORD-10648"/>
        <s v="ORD-11925"/>
        <s v="ORD-10076"/>
        <s v="ORD-11440"/>
        <s v="ORD-11573"/>
        <s v="ORD-11870"/>
        <s v="ORD-11920"/>
        <s v="ORD-10106"/>
        <s v="ORD-11522"/>
        <s v="ORD-10223"/>
        <s v="ORD-11955"/>
        <s v="ORD-10258"/>
        <s v="ORD-10879"/>
        <s v="ORD-11947"/>
        <s v="ORD-11826"/>
        <s v="ORD-10296"/>
        <s v="ORD-11399"/>
        <s v="ORD-10312"/>
        <s v="ORD-10512"/>
        <s v="ORD-10767"/>
        <s v="ORD-11092"/>
        <s v="ORD-11797"/>
        <s v="ORD-10517"/>
        <s v="ORD-10999"/>
        <s v="ORD-11749"/>
        <s v="ORD-11228"/>
        <s v="ORD-10412"/>
        <s v="ORD-10504"/>
        <s v="ORD-10988"/>
        <s v="ORD-11136"/>
        <s v="ORD-11883"/>
        <s v="ORD-10119"/>
        <s v="ORD-10021"/>
        <s v="ORD-10663"/>
        <s v="ORD-11018"/>
        <s v="ORD-11739"/>
        <s v="ORD-11774"/>
        <s v="ORD-11881"/>
        <s v="ORD-11965"/>
        <s v="ORD-10520"/>
        <s v="ORD-10877"/>
        <s v="ORD-11475"/>
        <s v="ORD-10523"/>
        <s v="ORD-10833"/>
        <s v="ORD-10871"/>
        <s v="ORD-11209"/>
        <s v="ORD-11542"/>
        <s v="ORD-11783"/>
        <s v="ORD-11994"/>
        <s v="ORD-10391"/>
        <s v="ORD-11714"/>
        <s v="ORD-11851"/>
        <s v="ORD-10162"/>
        <s v="ORD-10416"/>
        <s v="ORD-10038"/>
        <s v="ORD-10168"/>
        <s v="ORD-10580"/>
        <s v="ORD-11269"/>
        <s v="ORD-11341"/>
        <s v="ORD-10939"/>
        <s v="ORD-11623"/>
        <s v="ORD-11874"/>
        <s v="ORD-11864"/>
        <s v="ORD-10540"/>
        <s v="ORD-11054"/>
        <s v="ORD-10443"/>
        <s v="ORD-10449"/>
        <s v="ORD-11822"/>
        <s v="ORD-11836"/>
        <s v="ORD-10453"/>
        <s v="ORD-10707"/>
        <s v="ORD-11037"/>
        <s v="ORD-11807"/>
        <s v="ORD-10088"/>
        <s v="ORD-10693"/>
        <s v="ORD-10912"/>
        <s v="ORD-11170"/>
        <s v="ORD-11627"/>
        <s v="ORD-11615"/>
        <s v="ORD-11267"/>
        <s v="ORD-11455"/>
        <s v="ORD-10659"/>
        <s v="ORD-10944"/>
        <s v="ORD-11319"/>
        <s v="ORD-10217"/>
        <s v="ORD-10621"/>
        <s v="ORD-10765"/>
        <s v="ORD-11451"/>
        <s v="ORD-11502"/>
        <s v="ORD-11716"/>
        <s v="ORD-11618"/>
        <s v="ORD-11146"/>
        <s v="ORD-11252"/>
        <s v="ORD-10389"/>
        <s v="ORD-10405"/>
        <s v="ORD-10539"/>
        <s v="ORD-10924"/>
        <s v="ORD-11853"/>
        <s v="ORD-10061"/>
        <s v="ORD-10014"/>
        <s v="ORD-10865"/>
        <s v="ORD-11296"/>
        <s v="ORD-10193"/>
        <s v="ORD-10433"/>
        <s v="ORD-10638"/>
        <s v="ORD-10785"/>
        <s v="ORD-10794"/>
        <s v="ORD-11629"/>
        <s v="ORD-11790"/>
        <s v="ORD-10120"/>
        <s v="ORD-10415"/>
        <s v="ORD-10633"/>
        <s v="ORD-10715"/>
        <s v="ORD-11371"/>
        <s v="ORD-11223"/>
        <s v="ORD-11617"/>
        <s v="ORD-10150"/>
        <s v="ORD-10151"/>
        <s v="ORD-10400"/>
        <s v="ORD-10830"/>
        <s v="ORD-11902"/>
        <s v="ORD-10243"/>
        <s v="ORD-10048"/>
        <s v="ORD-10401"/>
        <s v="ORD-11327"/>
        <s v="ORD-11039"/>
        <s v="ORD-11369"/>
        <s v="ORD-11506"/>
        <s v="ORD-11590"/>
        <s v="ORD-11943"/>
        <s v="ORD-11207"/>
        <s v="ORD-11758"/>
        <s v="ORD-10469"/>
        <s v="ORD-10669"/>
        <s v="ORD-11335"/>
        <s v="ORD-10533"/>
        <s v="ORD-10567"/>
        <s v="ORD-10093"/>
        <s v="ORD-11257"/>
        <s v="ORD-11445"/>
        <s v="ORD-10239"/>
        <s v="ORD-11043"/>
        <s v="ORD-11113"/>
        <s v="ORD-10046"/>
        <s v="ORD-10543"/>
        <s v="ORD-10602"/>
        <s v="ORD-10969"/>
        <s v="ORD-11869"/>
        <s v="ORD-10491"/>
        <s v="ORD-11211"/>
        <s v="ORD-10436"/>
        <s v="ORD-10701"/>
        <s v="ORD-11338"/>
        <s v="ORD-11778"/>
        <s v="ORD-11973"/>
        <s v="ORD-11980"/>
        <s v="ORD-10073"/>
        <s v="ORD-10134"/>
        <s v="ORD-11792"/>
        <s v="ORD-10160"/>
        <s v="ORD-10178"/>
        <s v="ORD-10690"/>
        <s v="ORD-10812"/>
        <s v="ORD-11514"/>
        <s v="ORD-11709"/>
        <s v="ORD-10624"/>
        <s v="ORD-10742"/>
        <s v="ORD-11067"/>
        <s v="ORD-10494"/>
        <s v="ORD-11384"/>
        <s v="ORD-10645"/>
        <s v="ORD-10666"/>
        <s v="ORD-10759"/>
        <s v="ORD-11276"/>
        <s v="ORD-11950"/>
        <s v="ORD-10994"/>
        <s v="ORD-11908"/>
        <s v="ORD-10741"/>
        <s v="ORD-11476"/>
        <s v="ORD-10260"/>
        <s v="ORD-10967"/>
        <s v="ORD-11242"/>
        <s v="ORD-10029"/>
        <s v="ORD-10815"/>
        <s v="ORD-11948"/>
        <s v="ORD-10588"/>
        <s v="ORD-10761"/>
        <s v="ORD-11477"/>
        <s v="ORD-11880"/>
        <s v="ORD-11764"/>
        <s v="ORD-11426"/>
        <s v="ORD-11195"/>
        <s v="ORD-11309"/>
        <s v="ORD-10654"/>
        <s v="ORD-11517"/>
        <s v="ORD-10241"/>
        <s v="ORD-10808"/>
        <s v="ORD-10899"/>
        <s v="ORD-11129"/>
        <s v="ORD-10026"/>
        <s v="ORD-11083"/>
        <s v="ORD-10948"/>
        <s v="ORD-11036"/>
        <s v="ORD-11331"/>
        <s v="ORD-10975"/>
        <s v="ORD-10074"/>
        <s v="ORD-11866"/>
        <s v="ORD-10807"/>
        <s v="ORD-11852"/>
        <s v="ORD-10259"/>
        <s v="ORD-10973"/>
        <s v="ORD-10497"/>
        <s v="ORD-11804"/>
        <s v="ORD-11381"/>
        <s v="ORD-10668"/>
        <s v="ORD-10970"/>
        <s v="ORD-11364"/>
        <s v="ORD-10699"/>
        <s v="ORD-11901"/>
        <s v="ORD-11236"/>
        <s v="ORD-10215"/>
        <s v="ORD-10702"/>
        <s v="ORD-11730"/>
        <s v="ORD-11359"/>
        <s v="ORD-11600"/>
        <s v="ORD-11282"/>
        <s v="ORD-11421"/>
        <s v="ORD-10655"/>
        <s v="ORD-11194"/>
        <s v="ORD-11403"/>
        <s v="ORD-11606"/>
        <s v="ORD-10601"/>
        <s v="ORD-10022"/>
        <s v="ORD-10249"/>
        <s v="ORD-11042"/>
        <s v="ORD-11893"/>
        <s v="ORD-11930"/>
        <s v="ORD-11957"/>
        <s v="ORD-11351"/>
        <s v="ORD-11115"/>
        <s v="ORD-11122"/>
        <s v="ORD-11138"/>
        <s v="ORD-10308"/>
        <s v="ORD-10644"/>
        <s v="ORD-10805"/>
        <s v="ORD-10993"/>
        <s v="ORD-11056"/>
        <s v="ORD-11509"/>
        <s v="ORD-11689"/>
        <s v="ORD-11732"/>
        <s v="ORD-10604"/>
        <s v="ORD-11436"/>
        <s v="ORD-10802"/>
        <s v="ORD-11496"/>
        <s v="ORD-10611"/>
        <s v="ORD-11694"/>
        <s v="ORD-10506"/>
        <s v="ORD-10509"/>
        <s v="ORD-11744"/>
        <s v="ORD-11876"/>
        <s v="ORD-10814"/>
        <s v="ORD-11350"/>
        <s v="ORD-11408"/>
        <s v="ORD-11839"/>
        <s v="ORD-10079"/>
        <s v="ORD-11001"/>
        <s v="ORD-11801"/>
        <s v="ORD-11897"/>
        <s v="ORD-11919"/>
        <s v="ORD-10730"/>
        <s v="ORD-11412"/>
        <s v="ORD-10873"/>
        <s v="ORD-11472"/>
        <s v="ORD-11818"/>
        <s v="ORD-10035"/>
        <s v="ORD-11120"/>
        <s v="ORD-10647"/>
        <s v="ORD-11796"/>
        <s v="ORD-10657"/>
        <s v="ORD-11443"/>
        <s v="ORD-10481"/>
        <s v="ORD-11017"/>
        <s v="ORD-11755"/>
        <s v="ORD-10317"/>
        <s v="ORD-11275"/>
        <s v="ORD-11471"/>
        <s v="ORD-11595"/>
        <s v="ORD-11821"/>
        <s v="ORD-10905"/>
        <s v="ORD-11427"/>
        <s v="ORD-11511"/>
        <s v="ORD-11727"/>
        <s v="ORD-10519"/>
        <s v="ORD-11845"/>
        <s v="ORD-11166"/>
        <s v="ORD-10619"/>
        <s v="ORD-11249"/>
        <s v="ORD-11308"/>
        <s v="ORD-10159"/>
        <s v="ORD-10247"/>
        <s v="ORD-10444"/>
        <s v="ORD-10136"/>
        <s v="ORD-10387"/>
        <s v="ORD-10751"/>
        <s v="ORD-11820"/>
        <s v="ORD-10538"/>
        <s v="ORD-11584"/>
        <s v="ORD-11281"/>
        <s v="ORD-10348"/>
        <s v="ORD-10585"/>
        <s v="ORD-10889"/>
        <s v="ORD-10987"/>
        <s v="ORD-11487"/>
        <s v="ORD-11238"/>
        <s v="ORD-10894"/>
        <s v="ORD-11005"/>
        <s v="ORD-11310"/>
        <s v="ORD-11862"/>
        <s v="ORD-11221"/>
        <s v="ORD-11757"/>
        <s v="ORD-11860"/>
        <s v="ORD-10337"/>
        <s v="ORD-11695"/>
        <s v="ORD-10774"/>
        <s v="ORD-11193"/>
        <s v="ORD-10331"/>
        <s v="ORD-10704"/>
        <s v="ORD-11754"/>
        <s v="ORD-10976"/>
        <s v="ORD-10087"/>
        <s v="ORD-11637"/>
        <s v="ORD-11935"/>
        <s v="ORD-10541"/>
        <s v="ORD-11429"/>
        <s v="ORD-11614"/>
        <s v="ORD-11856"/>
        <s v="ORD-10255"/>
        <s v="ORD-10906"/>
        <s v="ORD-11368"/>
        <s v="ORD-10300"/>
        <s v="ORD-10803"/>
        <s v="ORD-10264"/>
        <s v="ORD-10615"/>
        <s v="ORD-11666"/>
        <s v="ORD-10778"/>
        <s v="ORD-11647"/>
        <s v="ORD-11591"/>
        <s v="ORD-11057"/>
        <s v="ORD-11127"/>
        <s v="ORD-11410"/>
        <s v="ORD-10123"/>
        <s v="ORD-11126"/>
        <s v="ORD-11157"/>
        <s v="ORD-11219"/>
        <s v="ORD-11438"/>
        <s v="ORD-11493"/>
        <s v="ORD-10684"/>
        <s v="ORD-11089"/>
        <s v="ORD-11190"/>
        <s v="ORD-11312"/>
        <s v="ORD-11485"/>
        <s v="ORD-10148"/>
        <s v="ORD-10679"/>
        <s v="ORD-11027"/>
        <s v="ORD-10990"/>
        <s v="ORD-11848"/>
        <s v="ORD-10080"/>
        <s v="ORD-10187"/>
        <s v="ORD-10198"/>
        <s v="ORD-11003"/>
        <s v="ORD-11524"/>
        <s v="ORD-11540"/>
        <s v="ORD-11554"/>
        <s v="ORD-11278"/>
        <s v="ORD-11829"/>
        <s v="ORD-10966"/>
        <s v="ORD-11078"/>
        <s v="ORD-11656"/>
        <s v="ORD-10634"/>
        <s v="ORD-11841"/>
        <s v="ORD-10172"/>
        <s v="ORD-10626"/>
        <s v="ORD-11577"/>
        <s v="ORD-10027"/>
        <s v="ORD-11416"/>
        <s v="ORD-11879"/>
        <s v="ORD-10854"/>
        <s v="ORD-10244"/>
        <s v="ORD-10756"/>
        <s v="ORD-10289"/>
        <s v="ORD-10982"/>
        <s v="ORD-11772"/>
        <s v="ORD-10371"/>
        <s v="ORD-10856"/>
        <s v="ORD-10191"/>
        <s v="ORD-11469"/>
        <s v="ORD-11952"/>
        <s v="ORD-11041"/>
        <s v="ORD-11317"/>
        <s v="ORD-11405"/>
        <s v="ORD-11819"/>
        <s v="ORD-10293"/>
        <s v="ORD-10485"/>
        <s v="ORD-10490"/>
        <s v="ORD-11756"/>
        <s v="ORD-10135"/>
        <s v="ORD-10698"/>
        <s v="ORD-10911"/>
        <s v="ORD-11206"/>
        <s v="ORD-11578"/>
        <s v="ORD-11677"/>
        <s v="ORD-10081"/>
        <s v="ORD-10618"/>
        <s v="ORD-11389"/>
        <s v="ORD-11495"/>
        <s v="ORD-11913"/>
        <s v="ORD-10002"/>
        <s v="ORD-10324"/>
        <s v="ORD-10849"/>
        <s v="ORD-10039"/>
        <s v="ORD-10158"/>
        <s v="ORD-10267"/>
        <s v="ORD-11873"/>
        <s v="ORD-10692"/>
        <s v="ORD-11014"/>
        <s v="ORD-11563"/>
        <s v="ORD-10764"/>
        <s v="ORD-11386"/>
        <s v="ORD-11397"/>
        <s v="ORD-11538"/>
        <s v="ORD-11978"/>
        <s v="ORD-11989"/>
        <s v="ORD-11459"/>
        <s v="ORD-10789"/>
        <s v="ORD-11076"/>
        <s v="ORD-11611"/>
        <s v="ORD-10470"/>
        <s v="ORD-11729"/>
        <s v="ORD-11916"/>
        <s v="ORD-10328"/>
        <s v="ORD-10583"/>
        <s v="ORD-10482"/>
        <s v="ORD-10685"/>
        <s v="ORD-10946"/>
        <s v="ORD-11954"/>
        <s v="ORD-10492"/>
        <s v="ORD-10851"/>
        <s v="ORD-11521"/>
        <s v="ORD-11571"/>
        <s v="ORD-11528"/>
        <s v="ORD-10122"/>
        <s v="ORD-10612"/>
        <s v="ORD-10163"/>
        <s v="ORD-10406"/>
        <s v="ORD-10507"/>
        <s v="ORD-11235"/>
        <s v="ORD-10194"/>
        <s v="ORD-10206"/>
        <s v="ORD-10209"/>
        <s v="ORD-10762"/>
        <s v="ORD-10390"/>
        <s v="ORD-10534"/>
        <s v="ORD-11645"/>
        <s v="ORD-11536"/>
        <s v="ORD-11725"/>
        <s v="ORD-10181"/>
        <s v="ORD-10423"/>
        <s v="ORD-10784"/>
        <s v="ORD-11616"/>
        <s v="ORD-10597"/>
        <s v="ORD-10974"/>
        <s v="ORD-11013"/>
        <s v="ORD-11486"/>
        <s v="ORD-10622"/>
        <s v="ORD-11736"/>
        <s v="ORD-11844"/>
        <s v="ORD-11985"/>
        <s v="ORD-10777"/>
        <s v="ORD-11116"/>
        <s v="ORD-10270"/>
        <s v="ORD-11392"/>
        <s v="ORD-11662"/>
        <s v="ORD-11722"/>
        <s v="ORD-11050"/>
        <s v="ORD-11800"/>
        <s v="ORD-10304"/>
        <s v="ORD-10428"/>
        <s v="ORD-11134"/>
        <s v="ORD-11313"/>
        <s v="ORD-11243"/>
        <s v="ORD-11097"/>
        <s v="ORD-11105"/>
        <s v="ORD-11878"/>
        <s v="ORD-10357"/>
        <s v="ORD-11377"/>
        <s v="ORD-10617"/>
        <s v="ORD-10797"/>
        <s v="ORD-10886"/>
        <s v="ORD-11185"/>
        <s v="ORD-11382"/>
        <s v="ORD-10870"/>
        <s v="ORD-10535"/>
        <s v="ORD-10570"/>
        <s v="ORD-11320"/>
        <s v="ORD-10735"/>
        <s v="ORD-10200"/>
        <s v="ORD-10776"/>
        <s v="ORD-11022"/>
        <s v="ORD-10033"/>
        <s v="ORD-11875"/>
        <s v="ORD-11958"/>
        <s v="ORD-10564"/>
        <s v="ORD-10630"/>
        <s v="ORD-10639"/>
        <s v="ORD-11585"/>
        <s v="ORD-11963"/>
        <s v="ORD-10522"/>
        <s v="ORD-11032"/>
        <s v="ORD-11425"/>
        <s v="ORD-11602"/>
        <s v="ORD-11865"/>
        <s v="ORD-11907"/>
        <s v="ORD-10232"/>
        <s v="ORD-10829"/>
        <s v="ORD-10914"/>
        <s v="ORD-10656"/>
        <s v="ORD-11872"/>
        <s v="ORD-10834"/>
        <s v="ORD-11775"/>
        <s v="ORD-10479"/>
        <s v="ORD-10161"/>
        <s v="ORD-10596"/>
        <s v="ORD-11574"/>
        <s v="ORD-10859"/>
        <s v="ORD-10285"/>
        <s v="ORD-10995"/>
        <s v="ORD-11291"/>
        <s v="ORD-11983"/>
        <s v="ORD-10553"/>
        <s v="ORD-11640"/>
        <s v="ORD-10101"/>
        <s v="ORD-11004"/>
        <s v="ORD-11114"/>
        <s v="ORD-11388"/>
        <s v="ORD-10526"/>
        <s v="ORD-10740"/>
        <s v="ORD-11305"/>
        <s v="ORD-11937"/>
        <s v="ORD-10959"/>
        <s v="ORD-11527"/>
        <s v="ORD-10192"/>
        <s v="ORD-10465"/>
        <s v="ORD-10782"/>
        <s v="ORD-11016"/>
        <s v="ORD-11150"/>
        <s v="ORD-11213"/>
        <s v="ORD-11630"/>
        <s v="ORD-10089"/>
        <s v="ORD-10598"/>
        <s v="ORD-10094"/>
        <s v="ORD-11072"/>
        <s v="ORD-10603"/>
        <s v="ORD-10875"/>
        <s v="ORD-11516"/>
        <s v="ORD-11854"/>
        <s v="ORD-10205"/>
        <s v="ORD-10334"/>
        <s v="ORD-10895"/>
        <s v="ORD-11012"/>
        <s v="ORD-11063"/>
        <s v="ORD-10036"/>
        <s v="ORD-10280"/>
        <s v="ORD-11214"/>
        <s v="ORD-10065"/>
        <s v="ORD-10934"/>
        <s v="ORD-11400"/>
        <s v="ORD-10115"/>
        <s v="ORD-11977"/>
        <s v="ORD-10683"/>
        <s v="ORD-10913"/>
        <s v="ORD-11241"/>
        <s v="ORD-11525"/>
        <s v="ORD-11923"/>
        <s v="ORD-10226"/>
        <s v="ORD-10477"/>
        <s v="ORD-10746"/>
        <s v="ORD-11095"/>
        <s v="ORD-11838"/>
        <s v="ORD-11118"/>
        <s v="ORD-11439"/>
        <s v="ORD-10770"/>
        <s v="ORD-11176"/>
        <s v="ORD-10310"/>
        <s v="ORD-10397"/>
        <s v="ORD-11289"/>
        <s v="ORD-10627"/>
        <s v="ORD-10410"/>
        <s v="ORD-11465"/>
        <s v="ORD-11264"/>
        <s v="ORD-11619"/>
        <s v="ORD-10670"/>
        <s v="ORD-10118"/>
        <s v="ORD-11621"/>
        <s v="ORD-10985"/>
        <s v="ORD-11180"/>
        <s v="ORD-10763"/>
        <s v="ORD-11112"/>
        <s v="ORD-10369"/>
        <s v="ORD-10800"/>
        <s v="ORD-11420"/>
        <s v="ORD-11366"/>
        <s v="ORD-10393"/>
        <s v="ORD-11899"/>
        <s v="ORD-10028"/>
        <s v="ORD-11669"/>
        <s v="ORD-10451"/>
        <s v="ORD-10221"/>
        <s v="ORD-11905"/>
        <s v="ORD-10781"/>
        <s v="ORD-11354"/>
        <s v="ORD-10287"/>
        <s v="ORD-10164"/>
        <s v="ORD-10739"/>
        <s v="ORD-10307"/>
        <s v="ORD-10610"/>
        <s v="ORD-11971"/>
        <s v="ORD-10458"/>
        <s v="ORD-11140"/>
        <s v="ORD-10037"/>
        <s v="ORD-11894"/>
        <s v="ORD-10486"/>
        <s v="ORD-10351"/>
        <s v="ORD-10798"/>
        <s v="ORD-10965"/>
        <s v="ORD-11990"/>
        <s v="ORD-10986"/>
        <s v="ORD-11620"/>
        <s v="ORD-10771"/>
        <s v="ORD-11087"/>
        <s v="ORD-11075"/>
        <s v="ORD-10053"/>
        <s v="ORD-11086"/>
        <s v="ORD-10166"/>
        <s v="ORD-10185"/>
        <s v="ORD-10234"/>
        <s v="ORD-10145"/>
        <s v="ORD-10671"/>
        <s v="ORD-11794"/>
        <s v="ORD-10111"/>
        <s v="ORD-10643"/>
        <s v="ORD-11831"/>
        <s v="ORD-10555"/>
        <s v="ORD-11046"/>
        <s v="ORD-11931"/>
        <s v="ORD-10133"/>
        <s v="ORD-10282"/>
        <s v="ORD-10290"/>
        <s v="ORD-10862"/>
        <s v="ORD-11715"/>
        <s v="ORD-11753"/>
        <s v="ORD-10047"/>
        <s v="ORD-10235"/>
        <s v="ORD-10386"/>
        <s v="ORD-10501"/>
        <s v="ORD-10628"/>
        <s v="ORD-11748"/>
        <s v="ORD-10536"/>
        <s v="ORD-10653"/>
        <s v="ORD-11721"/>
        <s v="ORD-10548"/>
        <s v="ORD-10940"/>
        <s v="ORD-11541"/>
        <s v="ORD-10313"/>
        <s v="ORD-10319"/>
        <s v="ORD-10269"/>
        <s v="ORD-10505"/>
        <s v="ORD-10960"/>
        <s v="ORD-11040"/>
        <s v="ORD-10552"/>
        <s v="ORD-10689"/>
        <s v="ORD-10972"/>
        <s v="ORD-10170"/>
        <s v="ORD-11044"/>
        <s v="ORD-10850"/>
        <s v="ORD-11071"/>
        <s v="ORD-10195"/>
        <s v="ORD-10204"/>
        <s v="ORD-10542"/>
        <s v="ORD-10368"/>
        <s v="ORD-11945"/>
        <s v="ORD-10179"/>
        <s v="ORD-10299"/>
        <s v="ORD-11130"/>
        <s v="ORD-11984"/>
        <s v="ORD-11703"/>
        <s v="ORD-10918"/>
        <s v="ORD-11055"/>
        <s v="ORD-11567"/>
        <s v="ORD-10649"/>
        <s v="ORD-10238"/>
        <s v="ORD-10719"/>
        <s v="ORD-10890"/>
        <s v="ORD-11052"/>
        <s v="ORD-11200"/>
        <s v="ORD-11081"/>
        <s v="ORD-11832"/>
        <s v="ORD-10836"/>
        <s v="ORD-10981"/>
        <s v="ORD-11230"/>
        <s v="ORD-11975"/>
        <s v="ORD-10214"/>
        <s v="ORD-11024"/>
        <s v="ORD-11096"/>
        <s v="ORD-11285"/>
        <s v="ORD-10068"/>
        <s v="ORD-10099"/>
        <s v="ORD-10284"/>
        <s v="ORD-10930"/>
        <s v="ORD-11283"/>
        <s v="ORD-11051"/>
        <s v="ORD-11201"/>
        <s v="ORD-11266"/>
        <s v="ORD-11360"/>
        <s v="ORD-11842"/>
        <s v="ORD-10097"/>
        <s v="ORD-11482"/>
        <s v="ORD-11752"/>
        <s v="ORD-10502"/>
        <s v="ORD-11192"/>
        <s v="ORD-11691"/>
        <s v="ORD-10733"/>
        <s v="ORD-10809"/>
        <s v="ORD-10125"/>
        <s v="ORD-10743"/>
        <s v="ORD-10175"/>
        <s v="ORD-11232"/>
        <s v="ORD-10431"/>
        <s v="ORD-10729"/>
        <s v="ORD-11215"/>
        <s v="ORD-11197"/>
        <s v="ORD-10216"/>
        <s v="ORD-10731"/>
        <s v="ORD-10251"/>
        <s v="ORD-11679"/>
        <s v="ORD-10019"/>
        <s v="ORD-11773"/>
        <s v="ORD-11593"/>
        <s v="ORD-11605"/>
        <s v="ORD-11010"/>
        <s v="ORD-11334"/>
        <s v="ORD-11646"/>
        <s v="ORD-11500"/>
        <s v="ORD-11531"/>
        <s v="ORD-11972"/>
        <s v="ORD-10566"/>
        <s v="ORD-11915"/>
        <s v="ORD-11125"/>
        <s v="ORD-11490"/>
        <s v="ORD-11608"/>
        <s v="ORD-11119"/>
        <s v="ORD-11743"/>
        <s v="ORD-10858"/>
        <s v="ORD-11256"/>
        <s v="ORD-11940"/>
        <s v="ORD-11987"/>
        <s v="ORD-11474"/>
        <s v="ORD-10971"/>
        <s v="ORD-11413"/>
        <s v="ORD-11492"/>
        <s v="ORD-11741"/>
        <s v="ORD-10139"/>
        <s v="ORD-11028"/>
        <s v="ORD-11543"/>
        <s v="ORD-11674"/>
        <s v="ORD-11926"/>
        <s v="ORD-10839"/>
        <s v="ORD-11556"/>
        <s v="ORD-11145"/>
        <s v="ORD-11348"/>
        <s v="ORD-11970"/>
        <s v="ORD-10831"/>
        <s v="ORD-10565"/>
        <s v="ORD-10678"/>
        <s v="ORD-10758"/>
        <s v="ORD-11787"/>
        <s v="ORD-10086"/>
        <s v="ORD-10682"/>
        <s v="ORD-11102"/>
        <s v="ORD-11407"/>
        <s v="ORD-10303"/>
        <s v="ORD-10773"/>
        <s v="ORD-10902"/>
        <s v="ORD-11222"/>
        <s v="ORD-10062"/>
        <s v="ORD-11274"/>
        <s v="ORD-11131"/>
        <s v="ORD-11367"/>
        <s v="ORD-11896"/>
        <s v="ORD-10749"/>
        <s v="ORD-10414"/>
        <s v="ORD-10921"/>
        <s v="ORD-11805"/>
        <s v="ORD-10013"/>
        <s v="ORD-10333"/>
        <s v="ORD-11183"/>
        <s v="ORD-11710"/>
        <s v="ORD-10130"/>
        <s v="ORD-10593"/>
        <s v="ORD-10060"/>
        <s v="ORD-10190"/>
        <s v="ORD-11163"/>
        <s v="ORD-10933"/>
        <s v="ORD-11172"/>
        <s v="ORD-10957"/>
        <s v="ORD-11123"/>
        <s v="ORD-11889"/>
        <s v="ORD-10472"/>
        <s v="ORD-11151"/>
        <s v="ORD-11843"/>
        <s v="ORD-11927"/>
        <s v="ORD-11648"/>
        <s v="ORD-10518"/>
        <s v="ORD-11251"/>
        <s v="ORD-10327"/>
        <s v="ORD-10572"/>
        <s v="ORD-10864"/>
        <s v="ORD-11604"/>
        <s v="ORD-11933"/>
        <s v="ORD-10276"/>
        <s v="ORD-10353"/>
        <s v="ORD-11374"/>
        <s v="ORD-11779"/>
        <s v="ORD-10352"/>
        <s v="ORD-11596"/>
        <s v="ORD-10173"/>
        <s v="ORD-10272"/>
        <s v="ORD-10888"/>
        <s v="ORD-11404"/>
        <s v="ORD-11693"/>
        <s v="ORD-10922"/>
        <s v="ORD-10963"/>
        <s v="ORD-10155"/>
        <s v="ORD-11255"/>
        <s v="ORD-10096"/>
        <s v="ORD-10760"/>
        <s v="ORD-11898"/>
        <s v="ORD-10723"/>
        <s v="ORD-10943"/>
        <s v="ORD-11342"/>
        <s v="ORD-10142"/>
        <s v="ORD-10186"/>
        <s v="ORD-11009"/>
        <s v="ORD-11254"/>
        <s v="ORD-11692"/>
        <s v="ORD-10268"/>
        <s v="ORD-11168"/>
        <s v="ORD-10378"/>
        <s v="ORD-11034"/>
        <s v="ORD-10077"/>
        <s v="ORD-10938"/>
        <s v="ORD-11286"/>
        <s v="ORD-11409"/>
        <s v="ORD-11612"/>
        <s v="ORD-10577"/>
        <s v="ORD-11570"/>
        <s v="ORD-10592"/>
        <s v="ORD-10419"/>
        <s v="ORD-10766"/>
        <s v="ORD-10372"/>
        <s v="ORD-10675"/>
        <s v="ORD-10188"/>
        <s v="ORD-11353"/>
        <s v="ORD-11814"/>
        <s v="ORD-10823"/>
        <s v="ORD-10896"/>
        <s v="ORD-11148"/>
        <s v="ORD-11519"/>
        <s v="ORD-11701"/>
      </sharedItems>
    </cacheField>
    <cacheField name="Order_Date" numFmtId="14">
      <sharedItems containsSemiMixedTypes="0" containsNonDate="0" containsDate="1" containsString="0" minDate="2023-01-02T00:00:00" maxDate="2026-01-01T00:00:00" count="907">
        <d v="2023-01-02T00:00:00"/>
        <d v="2023-01-03T00:00:00"/>
        <d v="2023-01-05T00:00:00"/>
        <d v="2023-01-06T00:00:00"/>
        <d v="2023-01-07T00:00:00"/>
        <d v="2023-01-08T00:00:00"/>
        <d v="2023-01-09T00:00:00"/>
        <d v="2023-01-12T00:00:00"/>
        <d v="2023-01-13T00:00:00"/>
        <d v="2023-01-14T00:00:00"/>
        <d v="2023-01-15T00:00:00"/>
        <d v="2023-01-17T00:00:00"/>
        <d v="2023-01-18T00:00:00"/>
        <d v="2023-01-20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7T00:00:00"/>
        <d v="2023-02-08T00:00:00"/>
        <d v="2023-02-09T00:00:00"/>
        <d v="2023-02-10T00:00:00"/>
        <d v="2023-02-11T00:00:00"/>
        <d v="2023-02-12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3-01T00:00:00"/>
        <d v="2023-03-02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9T00:00:00"/>
        <d v="2023-04-10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8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2T00:00:00"/>
        <d v="2023-05-23T00:00:00"/>
        <d v="2023-05-25T00:00:00"/>
        <d v="2023-05-26T00:00:00"/>
        <d v="2023-05-29T00:00:00"/>
        <d v="2023-05-30T00:00:00"/>
        <d v="2023-06-01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6T00:00:00"/>
        <d v="2023-06-27T00:00:00"/>
        <d v="2023-06-28T00:00:00"/>
        <d v="2023-06-29T00:00:00"/>
        <d v="2023-07-01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2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2T00:00:00"/>
        <d v="2023-08-23T00:00:00"/>
        <d v="2023-08-24T00:00:00"/>
        <d v="2023-08-25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3T00:00:00"/>
        <d v="2023-10-14T00:00:00"/>
        <d v="2023-10-15T00:00:00"/>
        <d v="2023-10-17T00:00:00"/>
        <d v="2023-10-18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1-01T00:00:00"/>
        <d v="2023-11-02T00:00:00"/>
        <d v="2023-11-03T00:00:00"/>
        <d v="2023-11-05T00:00:00"/>
        <d v="2023-11-06T00:00:00"/>
        <d v="2023-11-07T00:00:00"/>
        <d v="2023-11-09T00:00:00"/>
        <d v="2023-11-10T00:00:00"/>
        <d v="2023-11-12T00:00:00"/>
        <d v="2023-11-13T00:00:00"/>
        <d v="2023-11-14T00:00:00"/>
        <d v="2023-11-15T00:00:00"/>
        <d v="2023-11-18T00:00:00"/>
        <d v="2023-11-19T00:00:00"/>
        <d v="2023-11-20T00:00:00"/>
        <d v="2023-11-21T00:00:00"/>
        <d v="2023-11-22T00:00:00"/>
        <d v="2023-11-23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3T00:00:00"/>
        <d v="2023-12-14T00:00:00"/>
        <d v="2023-12-16T00:00:00"/>
        <d v="2023-12-17T00:00:00"/>
        <d v="2023-12-18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31T00:00:00"/>
        <d v="2024-01-01T00:00:00"/>
        <d v="2024-01-03T00:00:00"/>
        <d v="2024-01-04T00:00:00"/>
        <d v="2024-01-06T00:00:00"/>
        <d v="2024-01-07T00:00:00"/>
        <d v="2024-01-08T00:00:00"/>
        <d v="2024-01-09T00:00:00"/>
        <d v="2024-01-10T00:00:00"/>
        <d v="2024-01-11T00:00:00"/>
        <d v="2024-01-13T00:00:00"/>
        <d v="2024-01-14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4T00:00:00"/>
        <d v="2024-01-27T00:00:00"/>
        <d v="2024-01-28T00:00:00"/>
        <d v="2024-01-29T00:00:00"/>
        <d v="2024-01-30T00:00:00"/>
        <d v="2024-01-31T00:00:00"/>
        <d v="2024-02-02T00:00:00"/>
        <d v="2024-02-03T00:00:00"/>
        <d v="2024-02-04T00:00:00"/>
        <d v="2024-02-07T00:00:00"/>
        <d v="2024-02-08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21T00:00:00"/>
        <d v="2024-02-23T00:00:00"/>
        <d v="2024-02-25T00:00:00"/>
        <d v="2024-02-27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3T00:00:00"/>
        <d v="2024-03-16T00:00:00"/>
        <d v="2024-03-17T00:00:00"/>
        <d v="2024-03-18T00:00:00"/>
        <d v="2024-03-19T00:00:00"/>
        <d v="2024-03-21T00:00:00"/>
        <d v="2024-03-27T00:00:00"/>
        <d v="2024-03-28T00:00:00"/>
        <d v="2024-03-30T00:00:00"/>
        <d v="2024-03-31T00:00:00"/>
        <d v="2024-04-01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3T00:00:00"/>
        <d v="2024-04-14T00:00:00"/>
        <d v="2024-04-15T00:00:00"/>
        <d v="2024-04-16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8T00:00:00"/>
        <d v="2024-04-29T00:00:00"/>
        <d v="2024-04-30T00:00:00"/>
        <d v="2024-05-04T00:00:00"/>
        <d v="2024-05-05T00:00:00"/>
        <d v="2024-05-06T00:00:00"/>
        <d v="2024-05-07T00:00:00"/>
        <d v="2024-05-08T00:00:00"/>
        <d v="2024-05-09T00:00:00"/>
        <d v="2024-05-11T00:00:00"/>
        <d v="2024-05-12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7T00:00:00"/>
        <d v="2024-06-08T00:00:00"/>
        <d v="2024-06-09T00:00:00"/>
        <d v="2024-06-10T00:00:00"/>
        <d v="2024-06-12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9T00:00:00"/>
        <d v="2024-07-21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2T00:00:00"/>
        <d v="2024-08-13T00:00:00"/>
        <d v="2024-08-14T00:00:00"/>
        <d v="2024-08-15T00:00:00"/>
        <d v="2024-08-16T00:00:00"/>
        <d v="2024-08-18T00:00:00"/>
        <d v="2024-08-19T00:00:00"/>
        <d v="2024-08-20T00:00:00"/>
        <d v="2024-08-22T00:00:00"/>
        <d v="2024-08-24T00:00:00"/>
        <d v="2024-08-25T00:00:00"/>
        <d v="2024-08-26T00:00:00"/>
        <d v="2024-08-28T00:00:00"/>
        <d v="2024-08-29T00:00:00"/>
        <d v="2024-08-30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8T00:00:00"/>
        <d v="2024-10-09T00:00:00"/>
        <d v="2024-10-10T00:00:00"/>
        <d v="2024-10-11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1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5T00:00:00"/>
        <d v="2024-11-06T00:00:00"/>
        <d v="2024-11-07T00:00:00"/>
        <d v="2024-11-08T00:00:00"/>
        <d v="2024-11-09T00:00:00"/>
        <d v="2024-11-10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5T00:00:00"/>
        <d v="2024-12-06T00:00:00"/>
        <d v="2024-12-08T00:00:00"/>
        <d v="2024-12-09T00:00:00"/>
        <d v="2024-12-10T00:00:00"/>
        <d v="2024-12-11T00:00:00"/>
        <d v="2024-12-13T00:00:00"/>
        <d v="2024-12-14T00:00:00"/>
        <d v="2024-12-15T00:00:00"/>
        <d v="2024-12-16T00:00:00"/>
        <d v="2024-12-17T00:00:00"/>
        <d v="2024-12-18T00:00:00"/>
        <d v="2024-12-20T00:00:00"/>
        <d v="2024-12-21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8T00:00:00"/>
        <d v="2025-01-09T00:00:00"/>
        <d v="2025-01-10T00:00:00"/>
        <d v="2025-01-11T00:00:00"/>
        <d v="2025-01-12T00:00:00"/>
        <d v="2025-01-14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4T00:00:00"/>
        <d v="2025-01-25T00:00:00"/>
        <d v="2025-01-26T00:00:00"/>
        <d v="2025-01-29T00:00:00"/>
        <d v="2025-01-30T00:00:00"/>
        <d v="2025-02-01T00:00:00"/>
        <d v="2025-02-02T00:00:00"/>
        <d v="2025-02-03T00:00:00"/>
        <d v="2025-02-05T00:00:00"/>
        <d v="2025-02-07T00:00:00"/>
        <d v="2025-02-08T00:00:00"/>
        <d v="2025-02-10T00:00:00"/>
        <d v="2025-02-11T00:00:00"/>
        <d v="2025-02-12T00:00:00"/>
        <d v="2025-02-14T00:00:00"/>
        <d v="2025-02-15T00:00:00"/>
        <d v="2025-02-17T00:00:00"/>
        <d v="2025-02-18T00:00:00"/>
        <d v="2025-02-19T00:00:00"/>
        <d v="2025-02-20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3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4T00:00:00"/>
        <d v="2025-04-25T00:00:00"/>
        <d v="2025-04-26T00:00:00"/>
        <d v="2025-04-27T00:00:00"/>
        <d v="2025-04-28T00:00:00"/>
        <d v="2025-04-30T00:00:00"/>
        <d v="2025-05-01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20T00:00:00"/>
        <d v="2025-05-21T00:00:00"/>
        <d v="2025-05-22T00:00:00"/>
        <d v="2025-05-24T00:00:00"/>
        <d v="2025-05-26T00:00:00"/>
        <d v="2025-05-27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10T00:00:00"/>
        <d v="2025-06-11T00:00:00"/>
        <d v="2025-06-12T00:00:00"/>
        <d v="2025-06-14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7T00:00:00"/>
        <d v="2025-06-28T00:00:00"/>
        <d v="2025-06-30T00:00:00"/>
        <d v="2025-07-02T00:00:00"/>
        <d v="2025-07-03T00:00:00"/>
        <d v="2025-07-04T00:00:00"/>
        <d v="2025-07-06T00:00:00"/>
        <d v="2025-07-07T00:00:00"/>
        <d v="2025-07-08T00:00:00"/>
        <d v="2025-07-10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9T00:00:00"/>
        <d v="2025-08-10T00:00:00"/>
        <d v="2025-08-11T00:00:00"/>
        <d v="2025-08-13T00:00:00"/>
        <d v="2025-08-16T00:00:00"/>
        <d v="2025-08-17T00:00:00"/>
        <d v="2025-08-18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5T00:00:00"/>
        <d v="2025-09-06T00:00:00"/>
        <d v="2025-09-07T00:00:00"/>
        <d v="2025-09-08T00:00:00"/>
        <d v="2025-09-09T00:00:00"/>
        <d v="2025-09-11T00:00:00"/>
        <d v="2025-09-14T00:00:00"/>
        <d v="2025-09-15T00:00:00"/>
        <d v="2025-09-16T00:00:00"/>
        <d v="2025-09-17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7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0T00:00:00"/>
        <d v="2025-11-21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4T00:00:00"/>
        <d v="2025-12-15T00:00:00"/>
        <d v="2025-12-16T00:00:00"/>
        <d v="2025-12-17T00:00:00"/>
        <d v="2025-12-18T00:00:00"/>
        <d v="2025-12-19T00:00:00"/>
        <d v="2025-12-21T00:00:00"/>
        <d v="2025-12-22T00:00:00"/>
        <d v="2025-12-23T00:00:00"/>
        <d v="2025-12-24T00:00:00"/>
        <d v="2025-12-25T00:00:00"/>
        <d v="2025-12-27T00:00:00"/>
        <d v="2025-12-28T00:00:00"/>
        <d v="2025-12-29T00:00:00"/>
        <d v="2025-12-30T00:00:00"/>
        <d v="2025-12-31T00:00:00"/>
      </sharedItems>
      <fieldGroup par="19" base="1">
        <rangePr groupBy="months" startDate="2023-01-02T00:00:00" endDate="2026-01-01T00:00:00"/>
        <groupItems count="14">
          <s v="&lt;02-01-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6"/>
        </groupItems>
      </fieldGroup>
    </cacheField>
    <cacheField name="Customer_Name" numFmtId="0">
      <sharedItems/>
    </cacheField>
    <cacheField name="Customer_Segment" numFmtId="0">
      <sharedItems count="3">
        <s v="Corporate"/>
        <s v="Consumer"/>
        <s v="Home Office"/>
      </sharedItems>
    </cacheField>
    <cacheField name="Country" numFmtId="0">
      <sharedItems/>
    </cacheField>
    <cacheField name="Region" numFmtId="0">
      <sharedItems count="5">
        <s v="North America"/>
        <s v="Europe"/>
        <s v="Middle East &amp; Africa"/>
        <s v="Asia Pacific"/>
        <s v="South America"/>
      </sharedItems>
    </cacheField>
    <cacheField name="Product_Category" numFmtId="0">
      <sharedItems count="4">
        <s v="Technology"/>
        <s v="Office Supplies"/>
        <s v="Furniture"/>
        <s v="Clothing &amp; Accessories"/>
      </sharedItems>
    </cacheField>
    <cacheField name="Product_Name" numFmtId="0">
      <sharedItems count="40">
        <s v="Wireless Bluetooth Headphones"/>
        <s v="Mechanical Gaming Keyboard"/>
        <s v="Binder Clips Assorted 48pc"/>
        <s v="Webcam HD 1080p"/>
        <s v="Standing Desk Converter"/>
        <s v="Bookshelf 5-Tier"/>
        <s v="Premium Notebook Set A5"/>
        <s v="Laptop Stand Adjustable"/>
        <s v="Folding Table Portable"/>
        <s v="Leather Wallet Minimalist"/>
        <s v="Paper Clips Box 500pc"/>
        <s v="Travel Backpack 30L"/>
        <s v="Tape Dispenser Heavy Duty"/>
        <s v="Business Casual Blazer"/>
        <s v="Corner L-Shaped Desk"/>
        <s v="Ergonomic Office Chair"/>
        <s v="Wool Blend Scarf"/>
        <s v="Whiteboard Markers Set 8"/>
        <s v="Smart LED Desk Lamp"/>
        <s v="Sticky Notes Multicolor 6-Pack"/>
        <s v="Desk Calendar 2025"/>
        <s v="Floating Wall Shelves Set"/>
        <s v="Portable External SSD 1TB"/>
        <s v="Stapler Full-Size"/>
        <s v="Canvas Messenger Bag"/>
        <s v="Ballpoint Pen Pack 12"/>
        <s v="Silk Tie Collection"/>
        <s v="Cotton Formal Shirt"/>
        <s v="USB-C Hub Multiport Adapter"/>
        <s v="Tablet Stand Holder"/>
        <s v="Sports Water Bottle 750ml"/>
        <s v="Noise Cancelling Earbuds"/>
        <s v="Monitor Riser Wood"/>
        <s v="Leather Belt Classic"/>
        <s v="Desk Organizer Set"/>
        <s v="Wireless Ergonomic Mouse"/>
        <s v="Mesh Back Task Chair"/>
        <s v="Polarized Sunglasses"/>
        <s v="Highlighters Neon Pack 6"/>
        <s v="Filing Cabinet 3-Drawer"/>
      </sharedItems>
    </cacheField>
    <cacheField name="Quantity" numFmtId="0">
      <sharedItems containsSemiMixedTypes="0" containsString="0" containsNumber="1" containsInteger="1" minValue="1" maxValue="15"/>
    </cacheField>
    <cacheField name="Unit_Price" numFmtId="0">
      <sharedItems containsSemiMixedTypes="0" containsString="0" containsNumber="1" minValue="3.03" maxValue="472.56"/>
    </cacheField>
    <cacheField name="Discount_Percent" numFmtId="0">
      <sharedItems containsSemiMixedTypes="0" containsString="0" containsNumber="1" containsInteger="1" minValue="0" maxValue="30"/>
    </cacheField>
    <cacheField name="Total_Sales" numFmtId="0">
      <sharedItems containsSemiMixedTypes="0" containsString="0" containsNumber="1" minValue="2.42" maxValue="3813.98"/>
    </cacheField>
    <cacheField name="Shipping_Cost" numFmtId="0">
      <sharedItems containsSemiMixedTypes="0" containsString="0" containsNumber="1" minValue="5.52" maxValue="40.44"/>
    </cacheField>
    <cacheField name="Profit" numFmtId="0">
      <sharedItems containsSemiMixedTypes="0" containsString="0" containsNumber="1" minValue="-11.28" maxValue="1373.63"/>
    </cacheField>
    <cacheField name="Payment_Method" numFmtId="0">
      <sharedItems count="4">
        <s v="Cash on Delivery"/>
        <s v="Credit Card"/>
        <s v="PayPal"/>
        <s v="Bank Transfer"/>
      </sharedItems>
    </cacheField>
    <cacheField name="Sales Before Discount" numFmtId="0">
      <sharedItems containsSemiMixedTypes="0" containsString="0" containsNumber="1" minValue="3.03" maxValue="4014.7200000000003"/>
    </cacheField>
    <cacheField name="Profit Margin %" numFmtId="0">
      <sharedItems containsSemiMixedTypes="0" containsString="0" containsNumber="1" minValue="-4.1735537190082646" maxValue="0.48359062321326468"/>
    </cacheField>
    <cacheField name="Orders Values" numFmtId="0">
      <sharedItems containsSemiMixedTypes="0" containsString="0" containsNumber="1" minValue="9.27" maxValue="3849.05"/>
    </cacheField>
    <cacheField name="Quarters" numFmtId="0" databaseField="0">
      <fieldGroup base="1">
        <rangePr groupBy="quarters" startDate="2023-01-02T00:00:00" endDate="2026-01-01T00:00:00"/>
        <groupItems count="6">
          <s v="&lt;02-01-23"/>
          <s v="Qtr1"/>
          <s v="Qtr2"/>
          <s v="Qtr3"/>
          <s v="Qtr4"/>
          <s v="&gt;01-01-26"/>
        </groupItems>
      </fieldGroup>
    </cacheField>
    <cacheField name="Years" numFmtId="0" databaseField="0">
      <fieldGroup base="1">
        <rangePr groupBy="years" startDate="2023-01-02T00:00:00" endDate="2026-01-01T00:00:00"/>
        <groupItems count="6">
          <s v="&lt;02-01-23"/>
          <s v="2023"/>
          <s v="2024"/>
          <s v="2025"/>
          <s v="2026"/>
          <s v="&gt;01-01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x v="0"/>
    <x v="0"/>
    <s v="Karen Suzuki"/>
    <x v="0"/>
    <s v="United States"/>
    <x v="0"/>
    <x v="0"/>
    <x v="0"/>
    <n v="3"/>
    <n v="99.43"/>
    <n v="0"/>
    <n v="298.29000000000002"/>
    <n v="9.31"/>
    <n v="124.92"/>
    <x v="0"/>
    <n v="298.29000000000002"/>
    <n v="0.41878708639243689"/>
    <n v="307.60000000000002"/>
  </r>
  <r>
    <x v="1"/>
    <x v="0"/>
    <s v="John Johansson"/>
    <x v="0"/>
    <s v="Spain"/>
    <x v="1"/>
    <x v="0"/>
    <x v="1"/>
    <n v="4"/>
    <n v="97.93"/>
    <n v="20"/>
    <n v="313.38"/>
    <n v="14.31"/>
    <n v="83.62"/>
    <x v="0"/>
    <n v="391.72"/>
    <n v="0.26683259940008935"/>
    <n v="327.69"/>
  </r>
  <r>
    <x v="2"/>
    <x v="1"/>
    <s v="Jessica Garcia"/>
    <x v="1"/>
    <s v="Mexico"/>
    <x v="0"/>
    <x v="1"/>
    <x v="2"/>
    <n v="2"/>
    <n v="10.74"/>
    <n v="0"/>
    <n v="21.48"/>
    <n v="8.1199999999999992"/>
    <n v="3.69"/>
    <x v="1"/>
    <n v="21.48"/>
    <n v="0.1717877094972067"/>
    <n v="29.6"/>
  </r>
  <r>
    <x v="3"/>
    <x v="1"/>
    <s v="Clara Taylor"/>
    <x v="0"/>
    <s v="Italy"/>
    <x v="1"/>
    <x v="0"/>
    <x v="3"/>
    <n v="2"/>
    <n v="61.86"/>
    <n v="15"/>
    <n v="105.16"/>
    <n v="10.79"/>
    <n v="26.32"/>
    <x v="2"/>
    <n v="123.72"/>
    <n v="0.2502852795739825"/>
    <n v="115.94999999999999"/>
  </r>
  <r>
    <x v="4"/>
    <x v="2"/>
    <s v="Felix Thomas"/>
    <x v="1"/>
    <s v="Italy"/>
    <x v="1"/>
    <x v="2"/>
    <x v="4"/>
    <n v="4"/>
    <n v="330.67"/>
    <n v="20"/>
    <n v="1058.1400000000001"/>
    <n v="11.09"/>
    <n v="253.44"/>
    <x v="1"/>
    <n v="1322.68"/>
    <n v="0.2395146199935736"/>
    <n v="1069.23"/>
  </r>
  <r>
    <x v="5"/>
    <x v="2"/>
    <s v="Fatima Suzuki"/>
    <x v="1"/>
    <s v="Mexico"/>
    <x v="0"/>
    <x v="2"/>
    <x v="5"/>
    <n v="1"/>
    <n v="61.93"/>
    <n v="10"/>
    <n v="55.74"/>
    <n v="5.88"/>
    <n v="12.7"/>
    <x v="2"/>
    <n v="61.93"/>
    <n v="0.22784355938284892"/>
    <n v="61.620000000000005"/>
  </r>
  <r>
    <x v="6"/>
    <x v="3"/>
    <s v="Felix Rodriguez"/>
    <x v="2"/>
    <s v="United States"/>
    <x v="0"/>
    <x v="1"/>
    <x v="6"/>
    <n v="2"/>
    <n v="15.03"/>
    <n v="5"/>
    <n v="28.56"/>
    <n v="6.59"/>
    <n v="8.44"/>
    <x v="2"/>
    <n v="30.06"/>
    <n v="0.29551820728291317"/>
    <n v="35.15"/>
  </r>
  <r>
    <x v="7"/>
    <x v="3"/>
    <s v="Ayumi Ferrari"/>
    <x v="2"/>
    <s v="Nigeria"/>
    <x v="2"/>
    <x v="0"/>
    <x v="7"/>
    <n v="2"/>
    <n v="33.909999999999997"/>
    <n v="10"/>
    <n v="61.04"/>
    <n v="14.38"/>
    <n v="9.36"/>
    <x v="3"/>
    <n v="67.819999999999993"/>
    <n v="0.15334207077326342"/>
    <n v="75.42"/>
  </r>
  <r>
    <x v="8"/>
    <x v="3"/>
    <s v="Thomas Smith"/>
    <x v="1"/>
    <s v="China"/>
    <x v="3"/>
    <x v="2"/>
    <x v="4"/>
    <n v="2"/>
    <n v="334.11"/>
    <n v="5"/>
    <n v="634.80999999999995"/>
    <n v="11.92"/>
    <n v="221.96"/>
    <x v="3"/>
    <n v="668.22"/>
    <n v="0.34964792615113188"/>
    <n v="646.7299999999999"/>
  </r>
  <r>
    <x v="9"/>
    <x v="4"/>
    <s v="Ali Rodriguez"/>
    <x v="1"/>
    <s v="Saudi Arabia"/>
    <x v="2"/>
    <x v="2"/>
    <x v="8"/>
    <n v="1"/>
    <n v="58.77"/>
    <n v="5"/>
    <n v="55.83"/>
    <n v="12.03"/>
    <n v="8.5399999999999991"/>
    <x v="1"/>
    <n v="58.77"/>
    <n v="0.15296435608096004"/>
    <n v="67.86"/>
  </r>
  <r>
    <x v="10"/>
    <x v="5"/>
    <s v="Raj Martinez"/>
    <x v="0"/>
    <s v="Colombia"/>
    <x v="4"/>
    <x v="3"/>
    <x v="9"/>
    <n v="2"/>
    <n v="38.909999999999997"/>
    <n v="15"/>
    <n v="66.150000000000006"/>
    <n v="14.25"/>
    <n v="12.99"/>
    <x v="1"/>
    <n v="77.819999999999993"/>
    <n v="0.19637188208616779"/>
    <n v="80.400000000000006"/>
  </r>
  <r>
    <x v="11"/>
    <x v="5"/>
    <s v="Kenji Rossi"/>
    <x v="0"/>
    <s v="Spain"/>
    <x v="1"/>
    <x v="1"/>
    <x v="10"/>
    <n v="3"/>
    <n v="7.8"/>
    <n v="10"/>
    <n v="21.06"/>
    <n v="12.61"/>
    <n v="-2.08"/>
    <x v="0"/>
    <n v="23.4"/>
    <n v="-9.876543209876544E-2"/>
    <n v="33.67"/>
  </r>
  <r>
    <x v="12"/>
    <x v="6"/>
    <s v="Mary Khan"/>
    <x v="0"/>
    <s v="United Kingdom"/>
    <x v="1"/>
    <x v="0"/>
    <x v="3"/>
    <n v="1"/>
    <n v="48.73"/>
    <n v="10"/>
    <n v="43.86"/>
    <n v="8.11"/>
    <n v="8.9499999999999993"/>
    <x v="1"/>
    <n v="48.73"/>
    <n v="0.20405836753305973"/>
    <n v="51.97"/>
  </r>
  <r>
    <x v="13"/>
    <x v="7"/>
    <s v="Maria Tanaka"/>
    <x v="1"/>
    <s v="Colombia"/>
    <x v="4"/>
    <x v="3"/>
    <x v="11"/>
    <n v="1"/>
    <n v="59.48"/>
    <n v="0"/>
    <n v="59.48"/>
    <n v="11.42"/>
    <n v="18.32"/>
    <x v="1"/>
    <n v="59.48"/>
    <n v="0.30800268997982516"/>
    <n v="70.899999999999991"/>
  </r>
  <r>
    <x v="14"/>
    <x v="8"/>
    <s v="Zara Brown"/>
    <x v="0"/>
    <s v="Italy"/>
    <x v="1"/>
    <x v="1"/>
    <x v="12"/>
    <n v="1"/>
    <n v="15.82"/>
    <n v="0"/>
    <n v="15.82"/>
    <n v="9.16"/>
    <n v="-0.46"/>
    <x v="2"/>
    <n v="15.82"/>
    <n v="-2.9077117572692796E-2"/>
    <n v="24.98"/>
  </r>
  <r>
    <x v="15"/>
    <x v="8"/>
    <s v="Marco Moreau"/>
    <x v="0"/>
    <s v="Japan"/>
    <x v="3"/>
    <x v="3"/>
    <x v="13"/>
    <n v="3"/>
    <n v="51.92"/>
    <n v="30"/>
    <n v="109.03"/>
    <n v="13.39"/>
    <n v="17.760000000000002"/>
    <x v="2"/>
    <n v="155.76"/>
    <n v="0.16289094744565716"/>
    <n v="122.42"/>
  </r>
  <r>
    <x v="16"/>
    <x v="8"/>
    <s v="Christopher Johansson"/>
    <x v="1"/>
    <s v="Nigeria"/>
    <x v="2"/>
    <x v="2"/>
    <x v="14"/>
    <n v="3"/>
    <n v="358.6"/>
    <n v="15"/>
    <n v="914.43"/>
    <n v="14.74"/>
    <n v="254.21"/>
    <x v="0"/>
    <n v="1075.8000000000002"/>
    <n v="0.27799831589077351"/>
    <n v="929.17"/>
  </r>
  <r>
    <x v="17"/>
    <x v="9"/>
    <s v="Susan Davis"/>
    <x v="2"/>
    <s v="Australia"/>
    <x v="3"/>
    <x v="2"/>
    <x v="15"/>
    <n v="2"/>
    <n v="446.8"/>
    <n v="5"/>
    <n v="848.92"/>
    <n v="13.59"/>
    <n v="299.17"/>
    <x v="0"/>
    <n v="893.6"/>
    <n v="0.35241247702963768"/>
    <n v="862.51"/>
  </r>
  <r>
    <x v="18"/>
    <x v="9"/>
    <s v="Jamal Schmidt"/>
    <x v="1"/>
    <s v="Mexico"/>
    <x v="0"/>
    <x v="2"/>
    <x v="8"/>
    <n v="6"/>
    <n v="96.58"/>
    <n v="0"/>
    <n v="579.48"/>
    <n v="10.220000000000001"/>
    <n v="221.57"/>
    <x v="1"/>
    <n v="579.48"/>
    <n v="0.38236004693863462"/>
    <n v="589.70000000000005"/>
  </r>
  <r>
    <x v="19"/>
    <x v="9"/>
    <s v="Sarah Davis"/>
    <x v="2"/>
    <s v="Italy"/>
    <x v="1"/>
    <x v="3"/>
    <x v="16"/>
    <n v="1"/>
    <n v="27.9"/>
    <n v="5"/>
    <n v="26.5"/>
    <n v="8.93"/>
    <n v="3.62"/>
    <x v="2"/>
    <n v="27.9"/>
    <n v="0.13660377358490566"/>
    <n v="35.43"/>
  </r>
  <r>
    <x v="20"/>
    <x v="10"/>
    <s v="Clara Smith"/>
    <x v="0"/>
    <s v="Colombia"/>
    <x v="4"/>
    <x v="1"/>
    <x v="17"/>
    <n v="5"/>
    <n v="9.91"/>
    <n v="25"/>
    <n v="37.159999999999997"/>
    <n v="20.73"/>
    <n v="-5.87"/>
    <x v="0"/>
    <n v="49.55"/>
    <n v="-0.15796555435952639"/>
    <n v="57.89"/>
  </r>
  <r>
    <x v="21"/>
    <x v="10"/>
    <s v="Robert Khan"/>
    <x v="1"/>
    <s v="Colombia"/>
    <x v="4"/>
    <x v="3"/>
    <x v="16"/>
    <n v="2"/>
    <n v="47"/>
    <n v="10"/>
    <n v="84.6"/>
    <n v="14.83"/>
    <n v="22.77"/>
    <x v="1"/>
    <n v="94"/>
    <n v="0.26914893617021279"/>
    <n v="99.429999999999993"/>
  </r>
  <r>
    <x v="22"/>
    <x v="11"/>
    <s v="Jennifer Russo"/>
    <x v="2"/>
    <s v="United States"/>
    <x v="0"/>
    <x v="0"/>
    <x v="18"/>
    <n v="2"/>
    <n v="32.909999999999997"/>
    <n v="0"/>
    <n v="65.819999999999993"/>
    <n v="7.55"/>
    <n v="22.07"/>
    <x v="2"/>
    <n v="65.819999999999993"/>
    <n v="0.33530841689456098"/>
    <n v="73.36999999999999"/>
  </r>
  <r>
    <x v="23"/>
    <x v="11"/>
    <s v="Yuki Costa"/>
    <x v="0"/>
    <s v="UAE"/>
    <x v="2"/>
    <x v="1"/>
    <x v="19"/>
    <n v="2"/>
    <n v="11.41"/>
    <n v="5"/>
    <n v="21.68"/>
    <n v="15.26"/>
    <n v="-3.85"/>
    <x v="3"/>
    <n v="22.82"/>
    <n v="-0.17758302583025831"/>
    <n v="36.94"/>
  </r>
  <r>
    <x v="24"/>
    <x v="12"/>
    <s v="Amir Oliveira"/>
    <x v="1"/>
    <s v="Mexico"/>
    <x v="0"/>
    <x v="2"/>
    <x v="4"/>
    <n v="5"/>
    <n v="333.59"/>
    <n v="10"/>
    <n v="1501.15"/>
    <n v="9.02"/>
    <n v="491.36"/>
    <x v="1"/>
    <n v="1667.9499999999998"/>
    <n v="0.32732238617060255"/>
    <n v="1510.17"/>
  </r>
  <r>
    <x v="25"/>
    <x v="13"/>
    <s v="Ivan Zhang"/>
    <x v="1"/>
    <s v="UAE"/>
    <x v="2"/>
    <x v="1"/>
    <x v="20"/>
    <n v="7"/>
    <n v="10.6"/>
    <n v="20"/>
    <n v="59.36"/>
    <n v="18.260000000000002"/>
    <n v="7.71"/>
    <x v="3"/>
    <n v="74.2"/>
    <n v="0.12988544474393532"/>
    <n v="77.62"/>
  </r>
  <r>
    <x v="26"/>
    <x v="13"/>
    <s v="Sakura Martinez"/>
    <x v="2"/>
    <s v="Australia"/>
    <x v="3"/>
    <x v="2"/>
    <x v="21"/>
    <n v="2"/>
    <n v="67.38"/>
    <n v="5"/>
    <n v="128.02000000000001"/>
    <n v="11"/>
    <n v="36.159999999999997"/>
    <x v="0"/>
    <n v="134.76"/>
    <n v="0.28245586627089514"/>
    <n v="139.02000000000001"/>
  </r>
  <r>
    <x v="27"/>
    <x v="13"/>
    <s v="Mary Davis"/>
    <x v="1"/>
    <s v="Argentina"/>
    <x v="4"/>
    <x v="0"/>
    <x v="22"/>
    <n v="4"/>
    <n v="121.25"/>
    <n v="0"/>
    <n v="485"/>
    <n v="18.53"/>
    <n v="199.72"/>
    <x v="2"/>
    <n v="485"/>
    <n v="0.41179381443298968"/>
    <n v="503.53"/>
  </r>
  <r>
    <x v="28"/>
    <x v="13"/>
    <s v="Karen Rossi"/>
    <x v="2"/>
    <s v="Japan"/>
    <x v="3"/>
    <x v="1"/>
    <x v="17"/>
    <n v="4"/>
    <n v="19.920000000000002"/>
    <n v="0"/>
    <n v="79.680000000000007"/>
    <n v="16.010000000000002"/>
    <n v="27.81"/>
    <x v="0"/>
    <n v="79.680000000000007"/>
    <n v="0.34902108433734935"/>
    <n v="95.690000000000012"/>
  </r>
  <r>
    <x v="29"/>
    <x v="14"/>
    <s v="Chen Singh"/>
    <x v="1"/>
    <s v="China"/>
    <x v="3"/>
    <x v="0"/>
    <x v="18"/>
    <n v="3"/>
    <n v="34.979999999999997"/>
    <n v="5"/>
    <n v="99.69"/>
    <n v="14.67"/>
    <n v="27.3"/>
    <x v="1"/>
    <n v="104.94"/>
    <n v="0.27384893168823354"/>
    <n v="114.36"/>
  </r>
  <r>
    <x v="30"/>
    <x v="15"/>
    <s v="Wei MÃ¼ller"/>
    <x v="1"/>
    <s v="Canada"/>
    <x v="0"/>
    <x v="2"/>
    <x v="21"/>
    <n v="4"/>
    <n v="37.18"/>
    <n v="5"/>
    <n v="141.28"/>
    <n v="12.28"/>
    <n v="39.770000000000003"/>
    <x v="1"/>
    <n v="148.72"/>
    <n v="0.2814977349943375"/>
    <n v="153.56"/>
  </r>
  <r>
    <x v="31"/>
    <x v="15"/>
    <s v="Raj Costa"/>
    <x v="1"/>
    <s v="United Kingdom"/>
    <x v="1"/>
    <x v="1"/>
    <x v="23"/>
    <n v="1"/>
    <n v="8.5399999999999991"/>
    <n v="15"/>
    <n v="7.26"/>
    <n v="7.97"/>
    <n v="-4.55"/>
    <x v="1"/>
    <n v="8.5399999999999991"/>
    <n v="-0.6267217630853994"/>
    <n v="15.23"/>
  </r>
  <r>
    <x v="32"/>
    <x v="16"/>
    <s v="Hanna Sato"/>
    <x v="1"/>
    <s v="Germany"/>
    <x v="1"/>
    <x v="1"/>
    <x v="10"/>
    <n v="2"/>
    <n v="8.5299999999999994"/>
    <n v="5"/>
    <n v="16.21"/>
    <n v="9.3000000000000007"/>
    <n v="-0.77"/>
    <x v="1"/>
    <n v="17.059999999999999"/>
    <n v="-4.7501542257865514E-2"/>
    <n v="25.51"/>
  </r>
  <r>
    <x v="33"/>
    <x v="16"/>
    <s v="Sarah Zhang"/>
    <x v="2"/>
    <s v="South Africa"/>
    <x v="2"/>
    <x v="3"/>
    <x v="24"/>
    <n v="4"/>
    <n v="57.87"/>
    <n v="20"/>
    <n v="185.18"/>
    <n v="13.88"/>
    <n v="55.56"/>
    <x v="2"/>
    <n v="231.48"/>
    <n v="0.30003240090722538"/>
    <n v="199.06"/>
  </r>
  <r>
    <x v="34"/>
    <x v="17"/>
    <s v="Linda Russo"/>
    <x v="0"/>
    <s v="Italy"/>
    <x v="1"/>
    <x v="1"/>
    <x v="17"/>
    <n v="8"/>
    <n v="15.41"/>
    <n v="10"/>
    <n v="110.95"/>
    <n v="21.9"/>
    <n v="33.57"/>
    <x v="2"/>
    <n v="123.28"/>
    <n v="0.30256872465074358"/>
    <n v="132.85"/>
  </r>
  <r>
    <x v="35"/>
    <x v="18"/>
    <s v="Chen Laurent"/>
    <x v="1"/>
    <s v="United States"/>
    <x v="0"/>
    <x v="0"/>
    <x v="1"/>
    <n v="1"/>
    <n v="167.57"/>
    <n v="5"/>
    <n v="159.19"/>
    <n v="6.21"/>
    <n v="60.82"/>
    <x v="2"/>
    <n v="167.57"/>
    <n v="0.38205917457126704"/>
    <n v="165.4"/>
  </r>
  <r>
    <x v="36"/>
    <x v="19"/>
    <s v="David Anderson"/>
    <x v="1"/>
    <s v="Saudi Arabia"/>
    <x v="2"/>
    <x v="2"/>
    <x v="15"/>
    <n v="2"/>
    <n v="212.13"/>
    <n v="0"/>
    <n v="424.26"/>
    <n v="14.72"/>
    <n v="154.97999999999999"/>
    <x v="0"/>
    <n v="424.26"/>
    <n v="0.36529486635553671"/>
    <n v="438.98"/>
  </r>
  <r>
    <x v="37"/>
    <x v="20"/>
    <s v="Ayumi Tanaka"/>
    <x v="0"/>
    <s v="South Korea"/>
    <x v="3"/>
    <x v="1"/>
    <x v="25"/>
    <n v="5"/>
    <n v="9.02"/>
    <n v="15"/>
    <n v="38.33"/>
    <n v="17.7"/>
    <n v="0.34"/>
    <x v="1"/>
    <n v="45.099999999999994"/>
    <n v="8.870336551004436E-3"/>
    <n v="56.03"/>
  </r>
  <r>
    <x v="38"/>
    <x v="20"/>
    <s v="Susan Johansson"/>
    <x v="1"/>
    <s v="Mexico"/>
    <x v="0"/>
    <x v="0"/>
    <x v="3"/>
    <n v="3"/>
    <n v="55.78"/>
    <n v="0"/>
    <n v="167.34"/>
    <n v="9.3800000000000008"/>
    <n v="65.92"/>
    <x v="1"/>
    <n v="167.34"/>
    <n v="0.39392852874387474"/>
    <n v="176.72"/>
  </r>
  <r>
    <x v="39"/>
    <x v="20"/>
    <s v="Mary Ferrari"/>
    <x v="1"/>
    <s v="United Kingdom"/>
    <x v="1"/>
    <x v="1"/>
    <x v="6"/>
    <n v="5"/>
    <n v="10.25"/>
    <n v="0"/>
    <n v="51.25"/>
    <n v="18.89"/>
    <n v="9.3000000000000007"/>
    <x v="2"/>
    <n v="51.25"/>
    <n v="0.18146341463414636"/>
    <n v="70.14"/>
  </r>
  <r>
    <x v="40"/>
    <x v="21"/>
    <s v="Michael Harris"/>
    <x v="2"/>
    <s v="Argentina"/>
    <x v="4"/>
    <x v="3"/>
    <x v="24"/>
    <n v="1"/>
    <n v="54.25"/>
    <n v="0"/>
    <n v="54.25"/>
    <n v="11.58"/>
    <n v="15.54"/>
    <x v="1"/>
    <n v="54.25"/>
    <n v="0.28645161290322579"/>
    <n v="65.83"/>
  </r>
  <r>
    <x v="41"/>
    <x v="22"/>
    <s v="Priya Martin"/>
    <x v="1"/>
    <s v="Canada"/>
    <x v="0"/>
    <x v="1"/>
    <x v="23"/>
    <n v="4"/>
    <n v="16.61"/>
    <n v="5"/>
    <n v="63.12"/>
    <n v="8.4"/>
    <n v="24.82"/>
    <x v="3"/>
    <n v="66.44"/>
    <n v="0.39321926489226872"/>
    <n v="71.52"/>
  </r>
  <r>
    <x v="42"/>
    <x v="23"/>
    <s v="Kenji Nilsson"/>
    <x v="2"/>
    <s v="Japan"/>
    <x v="3"/>
    <x v="3"/>
    <x v="26"/>
    <n v="3"/>
    <n v="18.32"/>
    <n v="0"/>
    <n v="54.96"/>
    <n v="12.91"/>
    <n v="14.57"/>
    <x v="1"/>
    <n v="54.96"/>
    <n v="0.2651018922852984"/>
    <n v="67.87"/>
  </r>
  <r>
    <x v="43"/>
    <x v="23"/>
    <s v="Amir Hassan"/>
    <x v="1"/>
    <s v="United States"/>
    <x v="0"/>
    <x v="3"/>
    <x v="27"/>
    <n v="4"/>
    <n v="53.6"/>
    <n v="0"/>
    <n v="214.4"/>
    <n v="8.52"/>
    <n v="98.68"/>
    <x v="2"/>
    <n v="214.4"/>
    <n v="0.46026119402985077"/>
    <n v="222.92000000000002"/>
  </r>
  <r>
    <x v="44"/>
    <x v="23"/>
    <s v="Ahmed Garcia"/>
    <x v="2"/>
    <s v="India"/>
    <x v="3"/>
    <x v="2"/>
    <x v="14"/>
    <n v="4"/>
    <n v="429.23"/>
    <n v="5"/>
    <n v="1631.07"/>
    <n v="12.2"/>
    <n v="588.72"/>
    <x v="1"/>
    <n v="1716.92"/>
    <n v="0.36094097739520686"/>
    <n v="1643.27"/>
  </r>
  <r>
    <x v="45"/>
    <x v="23"/>
    <s v="Li Wang"/>
    <x v="0"/>
    <s v="Brazil"/>
    <x v="4"/>
    <x v="0"/>
    <x v="28"/>
    <n v="2"/>
    <n v="28.99"/>
    <n v="10"/>
    <n v="52.18"/>
    <n v="12.7"/>
    <n v="7.59"/>
    <x v="1"/>
    <n v="57.98"/>
    <n v="0.14545802989651208"/>
    <n v="64.88"/>
  </r>
  <r>
    <x v="46"/>
    <x v="23"/>
    <s v="Ava Martinez"/>
    <x v="0"/>
    <s v="Nigeria"/>
    <x v="2"/>
    <x v="1"/>
    <x v="2"/>
    <n v="3"/>
    <n v="8.65"/>
    <n v="5"/>
    <n v="24.65"/>
    <n v="17.04"/>
    <n v="-4.07"/>
    <x v="1"/>
    <n v="25.950000000000003"/>
    <n v="-0.16511156186612577"/>
    <n v="41.69"/>
  </r>
  <r>
    <x v="47"/>
    <x v="24"/>
    <s v="Ahmed Clark"/>
    <x v="1"/>
    <s v="Canada"/>
    <x v="0"/>
    <x v="0"/>
    <x v="29"/>
    <n v="3"/>
    <n v="19.940000000000001"/>
    <n v="0"/>
    <n v="59.82"/>
    <n v="8.61"/>
    <n v="18.309999999999999"/>
    <x v="3"/>
    <n v="59.820000000000007"/>
    <n v="0.3060849214309595"/>
    <n v="68.430000000000007"/>
  </r>
  <r>
    <x v="48"/>
    <x v="25"/>
    <s v="William Sharma"/>
    <x v="0"/>
    <s v="Italy"/>
    <x v="1"/>
    <x v="0"/>
    <x v="3"/>
    <n v="6"/>
    <n v="32.72"/>
    <n v="5"/>
    <n v="186.5"/>
    <n v="10.11"/>
    <n v="68.41"/>
    <x v="2"/>
    <n v="196.32"/>
    <n v="0.36680965147453082"/>
    <n v="196.61"/>
  </r>
  <r>
    <x v="49"/>
    <x v="26"/>
    <s v="Felix Smith"/>
    <x v="0"/>
    <s v="Colombia"/>
    <x v="4"/>
    <x v="3"/>
    <x v="24"/>
    <n v="12"/>
    <n v="25.43"/>
    <n v="5"/>
    <n v="289.89999999999998"/>
    <n v="23.56"/>
    <n v="113.76"/>
    <x v="3"/>
    <n v="305.15999999999997"/>
    <n v="0.39241117626767857"/>
    <n v="313.45999999999998"/>
  </r>
  <r>
    <x v="50"/>
    <x v="26"/>
    <s v="Yuki Kumar"/>
    <x v="0"/>
    <s v="Canada"/>
    <x v="0"/>
    <x v="2"/>
    <x v="4"/>
    <n v="4"/>
    <n v="274.83"/>
    <n v="10"/>
    <n v="989.39"/>
    <n v="10.28"/>
    <n v="319.52"/>
    <x v="1"/>
    <n v="1099.32"/>
    <n v="0.32294646196141052"/>
    <n v="999.67"/>
  </r>
  <r>
    <x v="51"/>
    <x v="26"/>
    <s v="Jamal Rossi"/>
    <x v="0"/>
    <s v="South Korea"/>
    <x v="3"/>
    <x v="2"/>
    <x v="21"/>
    <n v="1"/>
    <n v="60.16"/>
    <n v="15"/>
    <n v="51.14"/>
    <n v="10.85"/>
    <n v="4.1900000000000004"/>
    <x v="3"/>
    <n v="60.16"/>
    <n v="8.1931951505670716E-2"/>
    <n v="61.99"/>
  </r>
  <r>
    <x v="52"/>
    <x v="27"/>
    <s v="Maria Sharma"/>
    <x v="2"/>
    <s v="Japan"/>
    <x v="3"/>
    <x v="1"/>
    <x v="20"/>
    <n v="10"/>
    <n v="8.3699999999999992"/>
    <n v="15"/>
    <n v="71.14"/>
    <n v="24.19"/>
    <n v="9.2899999999999991"/>
    <x v="0"/>
    <n v="83.699999999999989"/>
    <n v="0.13058757379814448"/>
    <n v="95.33"/>
  </r>
  <r>
    <x v="53"/>
    <x v="27"/>
    <s v="Karen Martinez"/>
    <x v="2"/>
    <s v="Colombia"/>
    <x v="4"/>
    <x v="1"/>
    <x v="10"/>
    <n v="1"/>
    <n v="4.78"/>
    <n v="10"/>
    <n v="4.3"/>
    <n v="11.84"/>
    <n v="-9.69"/>
    <x v="3"/>
    <n v="4.78"/>
    <n v="-2.2534883720930234"/>
    <n v="16.14"/>
  </r>
  <r>
    <x v="54"/>
    <x v="27"/>
    <s v="Sakura Thomas"/>
    <x v="0"/>
    <s v="Argentina"/>
    <x v="4"/>
    <x v="0"/>
    <x v="3"/>
    <n v="7"/>
    <n v="79.23"/>
    <n v="15"/>
    <n v="471.42"/>
    <n v="19.84"/>
    <n v="146.54"/>
    <x v="0"/>
    <n v="554.61"/>
    <n v="0.3108480760256247"/>
    <n v="491.26"/>
  </r>
  <r>
    <x v="55"/>
    <x v="28"/>
    <s v="Hans Chen"/>
    <x v="1"/>
    <s v="Germany"/>
    <x v="1"/>
    <x v="2"/>
    <x v="5"/>
    <n v="1"/>
    <n v="188.93"/>
    <n v="5"/>
    <n v="179.48"/>
    <n v="9.1999999999999993"/>
    <n v="56.92"/>
    <x v="0"/>
    <n v="188.93"/>
    <n v="0.31713839982170716"/>
    <n v="188.67999999999998"/>
  </r>
  <r>
    <x v="56"/>
    <x v="28"/>
    <s v="Lucas Sharma"/>
    <x v="1"/>
    <s v="Brazil"/>
    <x v="4"/>
    <x v="3"/>
    <x v="13"/>
    <n v="10"/>
    <n v="138.69999999999999"/>
    <n v="15"/>
    <n v="1178.95"/>
    <n v="17.36"/>
    <n v="468.09"/>
    <x v="1"/>
    <n v="1387"/>
    <n v="0.39703973875058313"/>
    <n v="1196.31"/>
  </r>
  <r>
    <x v="57"/>
    <x v="29"/>
    <s v="Giulia Leroy"/>
    <x v="1"/>
    <s v="China"/>
    <x v="3"/>
    <x v="3"/>
    <x v="30"/>
    <n v="1"/>
    <n v="8.9600000000000009"/>
    <n v="0"/>
    <n v="8.9600000000000009"/>
    <n v="11.08"/>
    <n v="-6.6"/>
    <x v="2"/>
    <n v="8.9600000000000009"/>
    <n v="-0.73660714285714279"/>
    <n v="20.04"/>
  </r>
  <r>
    <x v="58"/>
    <x v="29"/>
    <s v="Felix Yamamoto"/>
    <x v="1"/>
    <s v="Japan"/>
    <x v="3"/>
    <x v="0"/>
    <x v="31"/>
    <n v="2"/>
    <n v="173.37"/>
    <n v="0"/>
    <n v="346.74"/>
    <n v="10.89"/>
    <n v="145.13999999999999"/>
    <x v="2"/>
    <n v="346.74"/>
    <n v="0.41858453019553549"/>
    <n v="357.63"/>
  </r>
  <r>
    <x v="59"/>
    <x v="29"/>
    <s v="Layla Khan"/>
    <x v="2"/>
    <s v="Canada"/>
    <x v="0"/>
    <x v="0"/>
    <x v="31"/>
    <n v="1"/>
    <n v="63.94"/>
    <n v="10"/>
    <n v="57.55"/>
    <n v="6.86"/>
    <n v="15.52"/>
    <x v="2"/>
    <n v="63.94"/>
    <n v="0.2696785403996525"/>
    <n v="64.41"/>
  </r>
  <r>
    <x v="60"/>
    <x v="30"/>
    <s v="Ava Jones"/>
    <x v="1"/>
    <s v="Australia"/>
    <x v="3"/>
    <x v="0"/>
    <x v="3"/>
    <n v="3"/>
    <n v="64.55"/>
    <n v="10"/>
    <n v="174.28"/>
    <n v="13.01"/>
    <n v="54.76"/>
    <x v="1"/>
    <n v="193.64999999999998"/>
    <n v="0.3142070231810879"/>
    <n v="187.29"/>
  </r>
  <r>
    <x v="61"/>
    <x v="30"/>
    <s v="Sakura Martin"/>
    <x v="0"/>
    <s v="Japan"/>
    <x v="3"/>
    <x v="1"/>
    <x v="23"/>
    <n v="5"/>
    <n v="14.53"/>
    <n v="5"/>
    <n v="69.02"/>
    <n v="11.87"/>
    <n v="24.46"/>
    <x v="1"/>
    <n v="72.649999999999991"/>
    <n v="0.35439003187481893"/>
    <n v="80.89"/>
  </r>
  <r>
    <x v="62"/>
    <x v="30"/>
    <s v="Maria Laurent"/>
    <x v="2"/>
    <s v="South Korea"/>
    <x v="3"/>
    <x v="1"/>
    <x v="10"/>
    <n v="1"/>
    <n v="9.6300000000000008"/>
    <n v="10"/>
    <n v="8.67"/>
    <n v="10.44"/>
    <n v="-6.1"/>
    <x v="2"/>
    <n v="9.6300000000000008"/>
    <n v="-0.70357554786620524"/>
    <n v="19.11"/>
  </r>
  <r>
    <x v="63"/>
    <x v="31"/>
    <s v="Zara Suzuki"/>
    <x v="1"/>
    <s v="Canada"/>
    <x v="0"/>
    <x v="2"/>
    <x v="5"/>
    <n v="4"/>
    <n v="118.02"/>
    <n v="0"/>
    <n v="472.08"/>
    <n v="7.9"/>
    <n v="180.93"/>
    <x v="3"/>
    <n v="472.08"/>
    <n v="0.38326131164209459"/>
    <n v="479.97999999999996"/>
  </r>
  <r>
    <x v="64"/>
    <x v="31"/>
    <s v="Zara Costa"/>
    <x v="1"/>
    <s v="United Kingdom"/>
    <x v="1"/>
    <x v="2"/>
    <x v="8"/>
    <n v="9"/>
    <n v="126.93"/>
    <n v="0"/>
    <n v="1142.3699999999999"/>
    <n v="23.14"/>
    <n v="433.81"/>
    <x v="2"/>
    <n v="1142.3700000000001"/>
    <n v="0.37974561656906258"/>
    <n v="1165.51"/>
  </r>
  <r>
    <x v="65"/>
    <x v="32"/>
    <s v="Olga Kim"/>
    <x v="1"/>
    <s v="Argentina"/>
    <x v="4"/>
    <x v="2"/>
    <x v="4"/>
    <n v="8"/>
    <n v="289.70999999999998"/>
    <n v="10"/>
    <n v="2085.91"/>
    <n v="16.440000000000001"/>
    <n v="678.86"/>
    <x v="3"/>
    <n v="2317.6799999999998"/>
    <n v="0.32545028308987445"/>
    <n v="2102.35"/>
  </r>
  <r>
    <x v="66"/>
    <x v="32"/>
    <s v="Hans Kim"/>
    <x v="0"/>
    <s v="Japan"/>
    <x v="3"/>
    <x v="3"/>
    <x v="11"/>
    <n v="2"/>
    <n v="81.58"/>
    <n v="15"/>
    <n v="138.69"/>
    <n v="11.8"/>
    <n v="45.31"/>
    <x v="3"/>
    <n v="163.16"/>
    <n v="0.32669983416252074"/>
    <n v="150.49"/>
  </r>
  <r>
    <x v="67"/>
    <x v="32"/>
    <s v="Isabella White"/>
    <x v="1"/>
    <s v="Germany"/>
    <x v="1"/>
    <x v="0"/>
    <x v="22"/>
    <n v="9"/>
    <n v="111.98"/>
    <n v="5"/>
    <n v="957.43"/>
    <n v="24.38"/>
    <n v="378.75"/>
    <x v="1"/>
    <n v="1007.82"/>
    <n v="0.39559027814043851"/>
    <n v="981.81"/>
  </r>
  <r>
    <x v="68"/>
    <x v="32"/>
    <s v="Emma Oliveira"/>
    <x v="1"/>
    <s v="Italy"/>
    <x v="1"/>
    <x v="3"/>
    <x v="9"/>
    <n v="3"/>
    <n v="45.99"/>
    <n v="0"/>
    <n v="137.97"/>
    <n v="12.68"/>
    <n v="56.3"/>
    <x v="1"/>
    <n v="137.97"/>
    <n v="0.40805972312821626"/>
    <n v="150.65"/>
  </r>
  <r>
    <x v="69"/>
    <x v="33"/>
    <s v="Michael Zhang"/>
    <x v="1"/>
    <s v="Canada"/>
    <x v="0"/>
    <x v="1"/>
    <x v="10"/>
    <n v="3"/>
    <n v="4.96"/>
    <n v="10"/>
    <n v="13.39"/>
    <n v="7.09"/>
    <n v="-0.4"/>
    <x v="0"/>
    <n v="14.879999999999999"/>
    <n v="-2.9873039581777446E-2"/>
    <n v="20.48"/>
  </r>
  <r>
    <x v="70"/>
    <x v="34"/>
    <s v="Hanna Ahmed"/>
    <x v="1"/>
    <s v="Saudi Arabia"/>
    <x v="2"/>
    <x v="3"/>
    <x v="11"/>
    <n v="8"/>
    <n v="80.13"/>
    <n v="25"/>
    <n v="480.78"/>
    <n v="18.170000000000002"/>
    <n v="142.09"/>
    <x v="3"/>
    <n v="641.04"/>
    <n v="0.29554057989101046"/>
    <n v="498.95"/>
  </r>
  <r>
    <x v="71"/>
    <x v="34"/>
    <s v="Patricia MÃ¼ller"/>
    <x v="1"/>
    <s v="Australia"/>
    <x v="3"/>
    <x v="3"/>
    <x v="16"/>
    <n v="1"/>
    <n v="43.57"/>
    <n v="5"/>
    <n v="41.39"/>
    <n v="10.06"/>
    <n v="9.5399999999999991"/>
    <x v="2"/>
    <n v="43.57"/>
    <n v="0.23049045663203671"/>
    <n v="51.45"/>
  </r>
  <r>
    <x v="72"/>
    <x v="35"/>
    <s v="Kenji Zhang"/>
    <x v="0"/>
    <s v="United States"/>
    <x v="0"/>
    <x v="0"/>
    <x v="31"/>
    <n v="2"/>
    <n v="143.15"/>
    <n v="5"/>
    <n v="271.99"/>
    <n v="8.58"/>
    <n v="105.94"/>
    <x v="1"/>
    <n v="286.3"/>
    <n v="0.38949961395639543"/>
    <n v="280.57"/>
  </r>
  <r>
    <x v="73"/>
    <x v="35"/>
    <s v="Ayumi Martinez"/>
    <x v="2"/>
    <s v="Canada"/>
    <x v="0"/>
    <x v="2"/>
    <x v="8"/>
    <n v="8"/>
    <n v="126.81"/>
    <n v="10"/>
    <n v="913.03"/>
    <n v="22.05"/>
    <n v="282.29000000000002"/>
    <x v="0"/>
    <n v="1014.48"/>
    <n v="0.30917932598052639"/>
    <n v="935.07999999999993"/>
  </r>
  <r>
    <x v="74"/>
    <x v="36"/>
    <s v="Ayumi Nilsson"/>
    <x v="2"/>
    <s v="Nigeria"/>
    <x v="2"/>
    <x v="0"/>
    <x v="3"/>
    <n v="1"/>
    <n v="48.95"/>
    <n v="0"/>
    <n v="48.95"/>
    <n v="12.32"/>
    <n v="9.7100000000000009"/>
    <x v="2"/>
    <n v="48.95"/>
    <n v="0.19836567926455567"/>
    <n v="61.27"/>
  </r>
  <r>
    <x v="75"/>
    <x v="37"/>
    <s v="Mia Ali"/>
    <x v="0"/>
    <s v="United States"/>
    <x v="0"/>
    <x v="2"/>
    <x v="32"/>
    <n v="2"/>
    <n v="47.62"/>
    <n v="5"/>
    <n v="90.48"/>
    <n v="8.3000000000000007"/>
    <n v="25.04"/>
    <x v="3"/>
    <n v="95.24"/>
    <n v="0.2767462422634836"/>
    <n v="98.78"/>
  </r>
  <r>
    <x v="76"/>
    <x v="37"/>
    <s v="Lucas Schmidt"/>
    <x v="2"/>
    <s v="Australia"/>
    <x v="3"/>
    <x v="0"/>
    <x v="0"/>
    <n v="1"/>
    <n v="238.37"/>
    <n v="15"/>
    <n v="202.61"/>
    <n v="11.03"/>
    <n v="60.48"/>
    <x v="1"/>
    <n v="238.37"/>
    <n v="0.29850451606534717"/>
    <n v="213.64000000000001"/>
  </r>
  <r>
    <x v="77"/>
    <x v="37"/>
    <s v="Barbara Davis"/>
    <x v="1"/>
    <s v="United Kingdom"/>
    <x v="1"/>
    <x v="3"/>
    <x v="27"/>
    <n v="5"/>
    <n v="39.22"/>
    <n v="10"/>
    <n v="176.49"/>
    <n v="17.7"/>
    <n v="60.74"/>
    <x v="1"/>
    <n v="196.1"/>
    <n v="0.34415547623094794"/>
    <n v="194.19"/>
  </r>
  <r>
    <x v="78"/>
    <x v="38"/>
    <s v="Jessica Wang"/>
    <x v="0"/>
    <s v="South Korea"/>
    <x v="3"/>
    <x v="3"/>
    <x v="13"/>
    <n v="2"/>
    <n v="72.23"/>
    <n v="20"/>
    <n v="115.57"/>
    <n v="13.08"/>
    <n v="30.26"/>
    <x v="1"/>
    <n v="144.46"/>
    <n v="0.26183265553344298"/>
    <n v="128.65"/>
  </r>
  <r>
    <x v="79"/>
    <x v="39"/>
    <s v="Jamal Zhang"/>
    <x v="1"/>
    <s v="Nigeria"/>
    <x v="2"/>
    <x v="3"/>
    <x v="33"/>
    <n v="3"/>
    <n v="35.6"/>
    <n v="5"/>
    <n v="101.46"/>
    <n v="15.03"/>
    <n v="33.03"/>
    <x v="1"/>
    <n v="106.80000000000001"/>
    <n v="0.3255470136014193"/>
    <n v="116.49"/>
  </r>
  <r>
    <x v="80"/>
    <x v="39"/>
    <s v="Felix Johansson"/>
    <x v="1"/>
    <s v="Canada"/>
    <x v="0"/>
    <x v="1"/>
    <x v="19"/>
    <n v="5"/>
    <n v="4.37"/>
    <n v="15"/>
    <n v="18.57"/>
    <n v="11.28"/>
    <n v="-2.54"/>
    <x v="2"/>
    <n v="21.85"/>
    <n v="-0.13677975228863759"/>
    <n v="29.85"/>
  </r>
  <r>
    <x v="81"/>
    <x v="39"/>
    <s v="Priya Wang"/>
    <x v="1"/>
    <s v="France"/>
    <x v="1"/>
    <x v="3"/>
    <x v="26"/>
    <n v="2"/>
    <n v="20.92"/>
    <n v="0"/>
    <n v="41.84"/>
    <n v="10.6"/>
    <n v="10.32"/>
    <x v="0"/>
    <n v="41.84"/>
    <n v="0.24665391969407263"/>
    <n v="52.440000000000005"/>
  </r>
  <r>
    <x v="82"/>
    <x v="40"/>
    <s v="Sophie Park"/>
    <x v="1"/>
    <s v="Mexico"/>
    <x v="0"/>
    <x v="3"/>
    <x v="33"/>
    <n v="4"/>
    <n v="54.4"/>
    <n v="5"/>
    <n v="206.72"/>
    <n v="7.53"/>
    <n v="90.39"/>
    <x v="0"/>
    <n v="217.6"/>
    <n v="0.4372581269349845"/>
    <n v="214.25"/>
  </r>
  <r>
    <x v="83"/>
    <x v="41"/>
    <s v="Ayumi Khan"/>
    <x v="1"/>
    <s v="United States"/>
    <x v="0"/>
    <x v="0"/>
    <x v="18"/>
    <n v="8"/>
    <n v="72.89"/>
    <n v="0"/>
    <n v="583.12"/>
    <n v="14.27"/>
    <n v="248.13"/>
    <x v="1"/>
    <n v="583.12"/>
    <n v="0.42552133351625737"/>
    <n v="597.39"/>
  </r>
  <r>
    <x v="84"/>
    <x v="41"/>
    <s v="Michael Davis"/>
    <x v="1"/>
    <s v="China"/>
    <x v="3"/>
    <x v="2"/>
    <x v="34"/>
    <n v="6"/>
    <n v="54.39"/>
    <n v="0"/>
    <n v="326.33999999999997"/>
    <n v="17.34"/>
    <n v="113.2"/>
    <x v="2"/>
    <n v="326.34000000000003"/>
    <n v="0.34687748973463262"/>
    <n v="343.67999999999995"/>
  </r>
  <r>
    <x v="85"/>
    <x v="41"/>
    <s v="Felix Thompson"/>
    <x v="1"/>
    <s v="Canada"/>
    <x v="0"/>
    <x v="2"/>
    <x v="15"/>
    <n v="6"/>
    <n v="472.56"/>
    <n v="0"/>
    <n v="2835.36"/>
    <n v="19.09"/>
    <n v="1115.05"/>
    <x v="2"/>
    <n v="2835.36"/>
    <n v="0.39326575814005976"/>
    <n v="2854.4500000000003"/>
  </r>
  <r>
    <x v="86"/>
    <x v="41"/>
    <s v="Hans Johnson"/>
    <x v="1"/>
    <s v="Australia"/>
    <x v="3"/>
    <x v="0"/>
    <x v="31"/>
    <n v="1"/>
    <n v="133.63"/>
    <n v="0"/>
    <n v="133.63"/>
    <n v="9.94"/>
    <n v="50.19"/>
    <x v="2"/>
    <n v="133.63"/>
    <n v="0.37558931377684651"/>
    <n v="143.57"/>
  </r>
  <r>
    <x v="87"/>
    <x v="42"/>
    <s v="Jennifer Moreau"/>
    <x v="0"/>
    <s v="Canada"/>
    <x v="0"/>
    <x v="0"/>
    <x v="29"/>
    <n v="2"/>
    <n v="32.06"/>
    <n v="0"/>
    <n v="64.12"/>
    <n v="7.82"/>
    <n v="21.03"/>
    <x v="0"/>
    <n v="64.12"/>
    <n v="0.32797878976918277"/>
    <n v="71.94"/>
  </r>
  <r>
    <x v="88"/>
    <x v="42"/>
    <s v="Mia MÃ¼ller"/>
    <x v="2"/>
    <s v="United Kingdom"/>
    <x v="1"/>
    <x v="0"/>
    <x v="35"/>
    <n v="4"/>
    <n v="36.01"/>
    <n v="15"/>
    <n v="122.43"/>
    <n v="10.44"/>
    <n v="32.770000000000003"/>
    <x v="1"/>
    <n v="144.04"/>
    <n v="0.26766315445560729"/>
    <n v="132.87"/>
  </r>
  <r>
    <x v="89"/>
    <x v="43"/>
    <s v="Priya Martinez"/>
    <x v="0"/>
    <s v="United States"/>
    <x v="0"/>
    <x v="1"/>
    <x v="10"/>
    <n v="4"/>
    <n v="7.24"/>
    <n v="10"/>
    <n v="26.06"/>
    <n v="8.85"/>
    <n v="4.18"/>
    <x v="1"/>
    <n v="28.96"/>
    <n v="0.16039907904834996"/>
    <n v="34.909999999999997"/>
  </r>
  <r>
    <x v="90"/>
    <x v="43"/>
    <s v="Fatima Suzuki"/>
    <x v="2"/>
    <s v="Brazil"/>
    <x v="4"/>
    <x v="0"/>
    <x v="35"/>
    <n v="3"/>
    <n v="60.99"/>
    <n v="0"/>
    <n v="182.97"/>
    <n v="12.03"/>
    <n v="70.31"/>
    <x v="1"/>
    <n v="182.97"/>
    <n v="0.38427064546100453"/>
    <n v="195"/>
  </r>
  <r>
    <x v="91"/>
    <x v="44"/>
    <s v="Zara White"/>
    <x v="1"/>
    <s v="France"/>
    <x v="1"/>
    <x v="1"/>
    <x v="2"/>
    <n v="6"/>
    <n v="7.14"/>
    <n v="0"/>
    <n v="42.84"/>
    <n v="12.59"/>
    <n v="10.97"/>
    <x v="2"/>
    <n v="42.839999999999996"/>
    <n v="0.2560690943043884"/>
    <n v="55.430000000000007"/>
  </r>
  <r>
    <x v="92"/>
    <x v="45"/>
    <s v="Felix Moreau"/>
    <x v="1"/>
    <s v="Spain"/>
    <x v="1"/>
    <x v="1"/>
    <x v="19"/>
    <n v="2"/>
    <n v="8.06"/>
    <n v="15"/>
    <n v="13.7"/>
    <n v="10.44"/>
    <n v="-3.99"/>
    <x v="3"/>
    <n v="16.12"/>
    <n v="-0.29124087591240877"/>
    <n v="24.14"/>
  </r>
  <r>
    <x v="93"/>
    <x v="45"/>
    <s v="Ethan Hassan"/>
    <x v="0"/>
    <s v="China"/>
    <x v="3"/>
    <x v="3"/>
    <x v="11"/>
    <n v="2"/>
    <n v="31.71"/>
    <n v="5"/>
    <n v="60.25"/>
    <n v="10.63"/>
    <n v="17.91"/>
    <x v="3"/>
    <n v="63.42"/>
    <n v="0.29726141078838175"/>
    <n v="70.88"/>
  </r>
  <r>
    <x v="94"/>
    <x v="46"/>
    <s v="Ingrid Schmidt"/>
    <x v="1"/>
    <s v="Italy"/>
    <x v="1"/>
    <x v="2"/>
    <x v="8"/>
    <n v="6"/>
    <n v="82.3"/>
    <n v="0"/>
    <n v="493.8"/>
    <n v="12.43"/>
    <n v="185.09"/>
    <x v="2"/>
    <n v="493.79999999999995"/>
    <n v="0.37482786553260428"/>
    <n v="506.23"/>
  </r>
  <r>
    <x v="95"/>
    <x v="47"/>
    <s v="Mia Harris"/>
    <x v="1"/>
    <s v="United States"/>
    <x v="0"/>
    <x v="0"/>
    <x v="3"/>
    <n v="1"/>
    <n v="77.48"/>
    <n v="0"/>
    <n v="77.48"/>
    <n v="7.16"/>
    <n v="27.71"/>
    <x v="2"/>
    <n v="77.48"/>
    <n v="0.35764068146618483"/>
    <n v="84.64"/>
  </r>
  <r>
    <x v="96"/>
    <x v="47"/>
    <s v="Sophie Harris"/>
    <x v="1"/>
    <s v="Argentina"/>
    <x v="4"/>
    <x v="1"/>
    <x v="10"/>
    <n v="9"/>
    <n v="7.24"/>
    <n v="0"/>
    <n v="65.16"/>
    <n v="18.95"/>
    <n v="16.89"/>
    <x v="2"/>
    <n v="65.16"/>
    <n v="0.2592081031307551"/>
    <n v="84.11"/>
  </r>
  <r>
    <x v="97"/>
    <x v="47"/>
    <s v="Michael Hassan"/>
    <x v="0"/>
    <s v="India"/>
    <x v="3"/>
    <x v="1"/>
    <x v="25"/>
    <n v="12"/>
    <n v="5.63"/>
    <n v="5"/>
    <n v="64.180000000000007"/>
    <n v="31.26"/>
    <n v="2.52"/>
    <x v="1"/>
    <n v="67.56"/>
    <n v="3.9264568401371137E-2"/>
    <n v="95.440000000000012"/>
  </r>
  <r>
    <x v="98"/>
    <x v="47"/>
    <s v="Oscar Jones"/>
    <x v="1"/>
    <s v="Canada"/>
    <x v="0"/>
    <x v="3"/>
    <x v="26"/>
    <n v="2"/>
    <n v="26.25"/>
    <n v="10"/>
    <n v="47.25"/>
    <n v="6.27"/>
    <n v="14.73"/>
    <x v="1"/>
    <n v="52.5"/>
    <n v="0.31174603174603177"/>
    <n v="53.519999999999996"/>
  </r>
  <r>
    <x v="99"/>
    <x v="48"/>
    <s v="Giulia Ali"/>
    <x v="1"/>
    <s v="South Korea"/>
    <x v="3"/>
    <x v="0"/>
    <x v="31"/>
    <n v="2"/>
    <n v="135.29"/>
    <n v="0"/>
    <n v="270.58"/>
    <n v="10.07"/>
    <n v="111.69"/>
    <x v="0"/>
    <n v="270.58"/>
    <n v="0.41277995417251834"/>
    <n v="280.64999999999998"/>
  </r>
  <r>
    <x v="100"/>
    <x v="49"/>
    <s v="Fatima Rossi"/>
    <x v="1"/>
    <s v="Australia"/>
    <x v="3"/>
    <x v="2"/>
    <x v="34"/>
    <n v="1"/>
    <n v="24.66"/>
    <n v="0"/>
    <n v="24.66"/>
    <n v="11.27"/>
    <n v="-1.41"/>
    <x v="1"/>
    <n v="24.66"/>
    <n v="-5.7177615571776155E-2"/>
    <n v="35.93"/>
  </r>
  <r>
    <x v="101"/>
    <x v="49"/>
    <s v="Yuki Patel"/>
    <x v="0"/>
    <s v="Japan"/>
    <x v="3"/>
    <x v="0"/>
    <x v="1"/>
    <n v="4"/>
    <n v="165.1"/>
    <n v="5"/>
    <n v="627.38"/>
    <n v="15.44"/>
    <n v="248.72"/>
    <x v="1"/>
    <n v="660.4"/>
    <n v="0.39644234754056551"/>
    <n v="642.82000000000005"/>
  </r>
  <r>
    <x v="102"/>
    <x v="49"/>
    <s v="Mia Clark"/>
    <x v="1"/>
    <s v="Italy"/>
    <x v="1"/>
    <x v="1"/>
    <x v="23"/>
    <n v="2"/>
    <n v="11.57"/>
    <n v="25"/>
    <n v="17.36"/>
    <n v="8.09"/>
    <n v="-1.1399999999999999"/>
    <x v="0"/>
    <n v="23.14"/>
    <n v="-6.5668202764976952E-2"/>
    <n v="25.45"/>
  </r>
  <r>
    <x v="103"/>
    <x v="49"/>
    <s v="Mary Smith"/>
    <x v="2"/>
    <s v="United States"/>
    <x v="0"/>
    <x v="2"/>
    <x v="36"/>
    <n v="1"/>
    <n v="113.52"/>
    <n v="10"/>
    <n v="102.17"/>
    <n v="7.35"/>
    <n v="26.71"/>
    <x v="1"/>
    <n v="113.52"/>
    <n v="0.2614270333757463"/>
    <n v="109.52"/>
  </r>
  <r>
    <x v="104"/>
    <x v="49"/>
    <s v="Ayumi Suzuki"/>
    <x v="0"/>
    <s v="Australia"/>
    <x v="3"/>
    <x v="1"/>
    <x v="17"/>
    <n v="4"/>
    <n v="9.18"/>
    <n v="20"/>
    <n v="29.38"/>
    <n v="12.6"/>
    <n v="0.26"/>
    <x v="2"/>
    <n v="36.72"/>
    <n v="8.8495575221238937E-3"/>
    <n v="41.98"/>
  </r>
  <r>
    <x v="105"/>
    <x v="49"/>
    <s v="Elizabeth Moreau"/>
    <x v="2"/>
    <s v="Australia"/>
    <x v="3"/>
    <x v="0"/>
    <x v="0"/>
    <n v="2"/>
    <n v="201.32"/>
    <n v="0"/>
    <n v="402.64"/>
    <n v="13.72"/>
    <n v="167.47"/>
    <x v="2"/>
    <n v="402.64"/>
    <n v="0.41592986290482814"/>
    <n v="416.36"/>
  </r>
  <r>
    <x v="106"/>
    <x v="50"/>
    <s v="Jamal Martinez"/>
    <x v="1"/>
    <s v="Canada"/>
    <x v="0"/>
    <x v="0"/>
    <x v="1"/>
    <n v="9"/>
    <n v="90.24"/>
    <n v="10"/>
    <n v="730.94"/>
    <n v="18.86"/>
    <n v="265.39"/>
    <x v="1"/>
    <n v="812.16"/>
    <n v="0.3630804169972911"/>
    <n v="749.80000000000007"/>
  </r>
  <r>
    <x v="107"/>
    <x v="51"/>
    <s v="Barbara Ali"/>
    <x v="0"/>
    <s v="Australia"/>
    <x v="3"/>
    <x v="1"/>
    <x v="23"/>
    <n v="1"/>
    <n v="18.57"/>
    <n v="0"/>
    <n v="18.57"/>
    <n v="9.91"/>
    <n v="0.3"/>
    <x v="1"/>
    <n v="18.57"/>
    <n v="1.6155088852988692E-2"/>
    <n v="28.48"/>
  </r>
  <r>
    <x v="108"/>
    <x v="52"/>
    <s v="Lucas Anderson"/>
    <x v="1"/>
    <s v="United Kingdom"/>
    <x v="1"/>
    <x v="3"/>
    <x v="37"/>
    <n v="3"/>
    <n v="29.57"/>
    <n v="10"/>
    <n v="79.84"/>
    <n v="10.88"/>
    <n v="24.6"/>
    <x v="3"/>
    <n v="88.710000000000008"/>
    <n v="0.30811623246492986"/>
    <n v="90.72"/>
  </r>
  <r>
    <x v="109"/>
    <x v="53"/>
    <s v="Omar Garcia"/>
    <x v="1"/>
    <s v="China"/>
    <x v="3"/>
    <x v="1"/>
    <x v="6"/>
    <n v="1"/>
    <n v="11.17"/>
    <n v="20"/>
    <n v="8.94"/>
    <n v="10.07"/>
    <n v="-6.16"/>
    <x v="1"/>
    <n v="11.17"/>
    <n v="-0.68903803131991059"/>
    <n v="19.009999999999998"/>
  </r>
  <r>
    <x v="110"/>
    <x v="53"/>
    <s v="Clara Miller"/>
    <x v="1"/>
    <s v="United States"/>
    <x v="0"/>
    <x v="1"/>
    <x v="12"/>
    <n v="8"/>
    <n v="20.92"/>
    <n v="0"/>
    <n v="167.36"/>
    <n v="18.97"/>
    <n v="73.08"/>
    <x v="3"/>
    <n v="167.36"/>
    <n v="0.43666347992351812"/>
    <n v="186.33"/>
  </r>
  <r>
    <x v="111"/>
    <x v="54"/>
    <s v="David Harris"/>
    <x v="0"/>
    <s v="Italy"/>
    <x v="1"/>
    <x v="1"/>
    <x v="17"/>
    <n v="5"/>
    <n v="11.95"/>
    <n v="10"/>
    <n v="53.77"/>
    <n v="14.79"/>
    <n v="12.09"/>
    <x v="1"/>
    <n v="59.75"/>
    <n v="0.2248465687186163"/>
    <n v="68.56"/>
  </r>
  <r>
    <x v="112"/>
    <x v="54"/>
    <s v="James Chen"/>
    <x v="2"/>
    <s v="Spain"/>
    <x v="1"/>
    <x v="2"/>
    <x v="8"/>
    <n v="3"/>
    <n v="59.88"/>
    <n v="20"/>
    <n v="143.71"/>
    <n v="9.34"/>
    <n v="26.59"/>
    <x v="3"/>
    <n v="179.64000000000001"/>
    <n v="0.18502539837172083"/>
    <n v="153.05000000000001"/>
  </r>
  <r>
    <x v="113"/>
    <x v="54"/>
    <s v="Ahmed Harris"/>
    <x v="1"/>
    <s v="Brazil"/>
    <x v="4"/>
    <x v="2"/>
    <x v="21"/>
    <n v="6"/>
    <n v="99.69"/>
    <n v="0"/>
    <n v="598.14"/>
    <n v="18.010000000000002"/>
    <n v="221.25"/>
    <x v="1"/>
    <n v="598.14"/>
    <n v="0.369896679707092"/>
    <n v="616.15"/>
  </r>
  <r>
    <x v="114"/>
    <x v="54"/>
    <s v="Elizabeth Ahmed"/>
    <x v="0"/>
    <s v="Brazil"/>
    <x v="4"/>
    <x v="2"/>
    <x v="15"/>
    <n v="1"/>
    <n v="354.67"/>
    <n v="5"/>
    <n v="336.94"/>
    <n v="12.41"/>
    <n v="111.73"/>
    <x v="1"/>
    <n v="354.67"/>
    <n v="0.3316020656496706"/>
    <n v="349.35"/>
  </r>
  <r>
    <x v="115"/>
    <x v="55"/>
    <s v="Fatima Kumar"/>
    <x v="1"/>
    <s v="UAE"/>
    <x v="2"/>
    <x v="1"/>
    <x v="6"/>
    <n v="4"/>
    <n v="22.67"/>
    <n v="0"/>
    <n v="90.68"/>
    <n v="14.32"/>
    <n v="35.549999999999997"/>
    <x v="3"/>
    <n v="90.68"/>
    <n v="0.39203793559770617"/>
    <n v="105"/>
  </r>
  <r>
    <x v="116"/>
    <x v="56"/>
    <s v="Mia Martin"/>
    <x v="0"/>
    <s v="Canada"/>
    <x v="0"/>
    <x v="1"/>
    <x v="2"/>
    <n v="4"/>
    <n v="5.48"/>
    <n v="5"/>
    <n v="20.82"/>
    <n v="12"/>
    <n v="-1.04"/>
    <x v="0"/>
    <n v="21.92"/>
    <n v="-4.9951969260326613E-2"/>
    <n v="32.82"/>
  </r>
  <r>
    <x v="117"/>
    <x v="56"/>
    <s v="Robert Robinson"/>
    <x v="2"/>
    <s v="Italy"/>
    <x v="1"/>
    <x v="0"/>
    <x v="1"/>
    <n v="8"/>
    <n v="107.75"/>
    <n v="10"/>
    <n v="775.8"/>
    <n v="14.93"/>
    <n v="286.77"/>
    <x v="1"/>
    <n v="862"/>
    <n v="0.36964423820572312"/>
    <n v="790.7299999999999"/>
  </r>
  <r>
    <x v="118"/>
    <x v="57"/>
    <s v="Liam Jones"/>
    <x v="1"/>
    <s v="Italy"/>
    <x v="1"/>
    <x v="1"/>
    <x v="2"/>
    <n v="1"/>
    <n v="11.11"/>
    <n v="0"/>
    <n v="11.11"/>
    <n v="8.11"/>
    <n v="-2"/>
    <x v="0"/>
    <n v="11.11"/>
    <n v="-0.18001800180018002"/>
    <n v="19.22"/>
  </r>
  <r>
    <x v="119"/>
    <x v="58"/>
    <s v="Emma Johnson"/>
    <x v="0"/>
    <s v="Italy"/>
    <x v="1"/>
    <x v="0"/>
    <x v="18"/>
    <n v="2"/>
    <n v="27.32"/>
    <n v="10"/>
    <n v="49.18"/>
    <n v="10.1"/>
    <n v="9.0299999999999994"/>
    <x v="1"/>
    <n v="54.64"/>
    <n v="0.18361122407482716"/>
    <n v="59.28"/>
  </r>
  <r>
    <x v="120"/>
    <x v="59"/>
    <s v="Mia Santos"/>
    <x v="1"/>
    <s v="South Korea"/>
    <x v="3"/>
    <x v="1"/>
    <x v="6"/>
    <n v="5"/>
    <n v="19.739999999999998"/>
    <n v="0"/>
    <n v="98.7"/>
    <n v="17.03"/>
    <n v="37.26"/>
    <x v="1"/>
    <n v="98.699999999999989"/>
    <n v="0.37750759878419449"/>
    <n v="115.73"/>
  </r>
  <r>
    <x v="121"/>
    <x v="59"/>
    <s v="Susan Kim"/>
    <x v="1"/>
    <s v="South Africa"/>
    <x v="2"/>
    <x v="3"/>
    <x v="11"/>
    <n v="3"/>
    <n v="70.31"/>
    <n v="0"/>
    <n v="210.93"/>
    <n v="15.46"/>
    <n v="90"/>
    <x v="2"/>
    <n v="210.93"/>
    <n v="0.42668183757644718"/>
    <n v="226.39000000000001"/>
  </r>
  <r>
    <x v="122"/>
    <x v="60"/>
    <s v="Amir Khan"/>
    <x v="0"/>
    <s v="Nigeria"/>
    <x v="2"/>
    <x v="0"/>
    <x v="22"/>
    <n v="5"/>
    <n v="149.77000000000001"/>
    <n v="10"/>
    <n v="673.97"/>
    <n v="14.48"/>
    <n v="247.62"/>
    <x v="2"/>
    <n v="748.85"/>
    <n v="0.3674050773773313"/>
    <n v="688.45"/>
  </r>
  <r>
    <x v="123"/>
    <x v="60"/>
    <s v="Barbara Leroy"/>
    <x v="2"/>
    <s v="Mexico"/>
    <x v="0"/>
    <x v="0"/>
    <x v="1"/>
    <n v="2"/>
    <n v="54.94"/>
    <n v="0"/>
    <n v="109.88"/>
    <n v="8.77"/>
    <n v="40.68"/>
    <x v="1"/>
    <n v="109.88"/>
    <n v="0.37022206042955952"/>
    <n v="118.64999999999999"/>
  </r>
  <r>
    <x v="124"/>
    <x v="61"/>
    <s v="Thomas Patel"/>
    <x v="1"/>
    <s v="Brazil"/>
    <x v="4"/>
    <x v="3"/>
    <x v="37"/>
    <n v="5"/>
    <n v="61.18"/>
    <n v="10"/>
    <n v="275.31"/>
    <n v="14.66"/>
    <n v="107.7"/>
    <x v="1"/>
    <n v="305.89999999999998"/>
    <n v="0.39119537975373214"/>
    <n v="289.97000000000003"/>
  </r>
  <r>
    <x v="125"/>
    <x v="61"/>
    <s v="Isabella Martin"/>
    <x v="1"/>
    <s v="China"/>
    <x v="3"/>
    <x v="1"/>
    <x v="2"/>
    <n v="2"/>
    <n v="14.59"/>
    <n v="0"/>
    <n v="29.18"/>
    <n v="12.25"/>
    <n v="3.8"/>
    <x v="2"/>
    <n v="29.18"/>
    <n v="0.13022618231665523"/>
    <n v="41.43"/>
  </r>
  <r>
    <x v="126"/>
    <x v="62"/>
    <s v="Wei Chen"/>
    <x v="1"/>
    <s v="Saudi Arabia"/>
    <x v="2"/>
    <x v="0"/>
    <x v="1"/>
    <n v="3"/>
    <n v="174.46"/>
    <n v="0"/>
    <n v="523.38"/>
    <n v="14.65"/>
    <n v="220.87"/>
    <x v="1"/>
    <n v="523.38"/>
    <n v="0.42200695479384004"/>
    <n v="538.03"/>
  </r>
  <r>
    <x v="127"/>
    <x v="63"/>
    <s v="Karen Jackson"/>
    <x v="1"/>
    <s v="Japan"/>
    <x v="3"/>
    <x v="3"/>
    <x v="37"/>
    <n v="1"/>
    <n v="28.85"/>
    <n v="15"/>
    <n v="24.52"/>
    <n v="10.81"/>
    <n v="-0.72"/>
    <x v="0"/>
    <n v="28.85"/>
    <n v="-2.936378466557912E-2"/>
    <n v="35.33"/>
  </r>
  <r>
    <x v="128"/>
    <x v="63"/>
    <s v="Felix Santos"/>
    <x v="2"/>
    <s v="United Kingdom"/>
    <x v="1"/>
    <x v="2"/>
    <x v="14"/>
    <n v="3"/>
    <n v="323.91000000000003"/>
    <n v="15"/>
    <n v="825.97"/>
    <n v="9.35"/>
    <n v="233.58"/>
    <x v="2"/>
    <n v="971.73"/>
    <n v="0.28279477462861846"/>
    <n v="835.32"/>
  </r>
  <r>
    <x v="129"/>
    <x v="64"/>
    <s v="Mia Weber"/>
    <x v="1"/>
    <s v="United States"/>
    <x v="0"/>
    <x v="1"/>
    <x v="38"/>
    <n v="2"/>
    <n v="11.39"/>
    <n v="0"/>
    <n v="22.78"/>
    <n v="8.57"/>
    <n v="3.96"/>
    <x v="3"/>
    <n v="22.78"/>
    <n v="0.17383669885864791"/>
    <n v="31.35"/>
  </r>
  <r>
    <x v="130"/>
    <x v="65"/>
    <s v="Jessica Anderson"/>
    <x v="1"/>
    <s v="UAE"/>
    <x v="2"/>
    <x v="2"/>
    <x v="21"/>
    <n v="5"/>
    <n v="64.099999999999994"/>
    <n v="5"/>
    <n v="304.47000000000003"/>
    <n v="17.489999999999998"/>
    <n v="94.68"/>
    <x v="1"/>
    <n v="320.5"/>
    <n v="0.31096659769435414"/>
    <n v="321.96000000000004"/>
  </r>
  <r>
    <x v="131"/>
    <x v="66"/>
    <s v="Fatima Li"/>
    <x v="1"/>
    <s v="United States"/>
    <x v="0"/>
    <x v="1"/>
    <x v="20"/>
    <n v="2"/>
    <n v="6.29"/>
    <n v="0"/>
    <n v="12.58"/>
    <n v="7.22"/>
    <n v="-0.3"/>
    <x v="3"/>
    <n v="12.58"/>
    <n v="-2.3847376788553257E-2"/>
    <n v="19.8"/>
  </r>
  <r>
    <x v="132"/>
    <x v="67"/>
    <s v="Pierre Yamamoto"/>
    <x v="1"/>
    <s v="Saudi Arabia"/>
    <x v="2"/>
    <x v="2"/>
    <x v="8"/>
    <n v="2"/>
    <n v="90.87"/>
    <n v="0"/>
    <n v="181.74"/>
    <n v="14.68"/>
    <n v="58.02"/>
    <x v="1"/>
    <n v="181.74"/>
    <n v="0.31924727632882138"/>
    <n v="196.42000000000002"/>
  </r>
  <r>
    <x v="133"/>
    <x v="67"/>
    <s v="Hanna Jones"/>
    <x v="0"/>
    <s v="China"/>
    <x v="3"/>
    <x v="2"/>
    <x v="14"/>
    <n v="12"/>
    <n v="334.56"/>
    <n v="5"/>
    <n v="3813.98"/>
    <n v="35.07"/>
    <n v="1370.08"/>
    <x v="2"/>
    <n v="4014.7200000000003"/>
    <n v="0.35922579562556695"/>
    <n v="3849.05"/>
  </r>
  <r>
    <x v="134"/>
    <x v="67"/>
    <s v="Felix Park"/>
    <x v="1"/>
    <s v="Colombia"/>
    <x v="4"/>
    <x v="2"/>
    <x v="21"/>
    <n v="4"/>
    <n v="68.83"/>
    <n v="0"/>
    <n v="275.32"/>
    <n v="19.78"/>
    <n v="90.35"/>
    <x v="3"/>
    <n v="275.32"/>
    <n v="0.32816359145721341"/>
    <n v="295.10000000000002"/>
  </r>
  <r>
    <x v="135"/>
    <x v="68"/>
    <s v="Mia Ferrari"/>
    <x v="1"/>
    <s v="India"/>
    <x v="3"/>
    <x v="3"/>
    <x v="30"/>
    <n v="2"/>
    <n v="10.37"/>
    <n v="0"/>
    <n v="20.74"/>
    <n v="12.31"/>
    <n v="-1.94"/>
    <x v="2"/>
    <n v="20.74"/>
    <n v="-9.35390549662488E-2"/>
    <n v="33.049999999999997"/>
  </r>
  <r>
    <x v="136"/>
    <x v="69"/>
    <s v="Omar Leroy"/>
    <x v="0"/>
    <s v="Canada"/>
    <x v="0"/>
    <x v="3"/>
    <x v="27"/>
    <n v="2"/>
    <n v="52.89"/>
    <n v="0"/>
    <n v="105.78"/>
    <n v="6.27"/>
    <n v="46.62"/>
    <x v="0"/>
    <n v="105.78"/>
    <n v="0.44072603516732839"/>
    <n v="112.05"/>
  </r>
  <r>
    <x v="137"/>
    <x v="69"/>
    <s v="Carlos Smith"/>
    <x v="2"/>
    <s v="United States"/>
    <x v="0"/>
    <x v="2"/>
    <x v="34"/>
    <n v="11"/>
    <n v="30.48"/>
    <n v="0"/>
    <n v="335.28"/>
    <n v="29.96"/>
    <n v="104.15"/>
    <x v="1"/>
    <n v="335.28000000000003"/>
    <n v="0.31063588642328804"/>
    <n v="365.23999999999995"/>
  </r>
  <r>
    <x v="138"/>
    <x v="70"/>
    <s v="Barbara Russo"/>
    <x v="0"/>
    <s v="Spain"/>
    <x v="1"/>
    <x v="3"/>
    <x v="26"/>
    <n v="3"/>
    <n v="24.22"/>
    <n v="5"/>
    <n v="69.03"/>
    <n v="8.8699999999999992"/>
    <n v="23.83"/>
    <x v="1"/>
    <n v="72.66"/>
    <n v="0.34521222656815875"/>
    <n v="77.900000000000006"/>
  </r>
  <r>
    <x v="139"/>
    <x v="70"/>
    <s v="Fatima Singh"/>
    <x v="0"/>
    <s v="Argentina"/>
    <x v="4"/>
    <x v="0"/>
    <x v="0"/>
    <n v="5"/>
    <n v="239.45"/>
    <n v="5"/>
    <n v="1137.3900000000001"/>
    <n v="14.61"/>
    <n v="464.29"/>
    <x v="2"/>
    <n v="1197.25"/>
    <n v="0.4082065078820809"/>
    <n v="1152"/>
  </r>
  <r>
    <x v="140"/>
    <x v="70"/>
    <s v="Olga Russo"/>
    <x v="1"/>
    <s v="Australia"/>
    <x v="3"/>
    <x v="2"/>
    <x v="39"/>
    <n v="4"/>
    <n v="210.65"/>
    <n v="0"/>
    <n v="842.6"/>
    <n v="11.11"/>
    <n v="325.93"/>
    <x v="1"/>
    <n v="842.6"/>
    <n v="0.38681462140992168"/>
    <n v="853.71"/>
  </r>
  <r>
    <x v="141"/>
    <x v="71"/>
    <s v="Emma Pereira"/>
    <x v="1"/>
    <s v="Canada"/>
    <x v="0"/>
    <x v="3"/>
    <x v="16"/>
    <n v="9"/>
    <n v="32.74"/>
    <n v="10"/>
    <n v="265.19"/>
    <n v="19.149999999999999"/>
    <n v="98.71"/>
    <x v="2"/>
    <n v="294.66000000000003"/>
    <n v="0.37222368867604355"/>
    <n v="284.33999999999997"/>
  </r>
  <r>
    <x v="142"/>
    <x v="71"/>
    <s v="Thomas Chen"/>
    <x v="1"/>
    <s v="Spain"/>
    <x v="1"/>
    <x v="3"/>
    <x v="13"/>
    <n v="3"/>
    <n v="135.29"/>
    <n v="10"/>
    <n v="365.28"/>
    <n v="9.08"/>
    <n v="153.26"/>
    <x v="1"/>
    <n v="405.87"/>
    <n v="0.41956855015330707"/>
    <n v="374.35999999999996"/>
  </r>
  <r>
    <x v="143"/>
    <x v="72"/>
    <s v="Carlos Anderson"/>
    <x v="2"/>
    <s v="Saudi Arabia"/>
    <x v="2"/>
    <x v="3"/>
    <x v="37"/>
    <n v="6"/>
    <n v="30.52"/>
    <n v="0"/>
    <n v="183.12"/>
    <n v="21.14"/>
    <n v="70.42"/>
    <x v="1"/>
    <n v="183.12"/>
    <n v="0.38455657492354739"/>
    <n v="204.26"/>
  </r>
  <r>
    <x v="144"/>
    <x v="72"/>
    <s v="Ayumi Johnson"/>
    <x v="1"/>
    <s v="Mexico"/>
    <x v="0"/>
    <x v="0"/>
    <x v="31"/>
    <n v="4"/>
    <n v="113.34"/>
    <n v="15"/>
    <n v="385.36"/>
    <n v="8.19"/>
    <n v="127.82"/>
    <x v="2"/>
    <n v="453.36"/>
    <n v="0.33168984845339422"/>
    <n v="393.55"/>
  </r>
  <r>
    <x v="145"/>
    <x v="72"/>
    <s v="Hans Santos"/>
    <x v="1"/>
    <s v="Canada"/>
    <x v="0"/>
    <x v="1"/>
    <x v="6"/>
    <n v="5"/>
    <n v="11.27"/>
    <n v="5"/>
    <n v="53.53"/>
    <n v="12"/>
    <n v="16.170000000000002"/>
    <x v="3"/>
    <n v="56.349999999999994"/>
    <n v="0.30207360358677382"/>
    <n v="65.53"/>
  </r>
  <r>
    <x v="146"/>
    <x v="72"/>
    <s v="Thomas Oliveira"/>
    <x v="0"/>
    <s v="United States"/>
    <x v="0"/>
    <x v="1"/>
    <x v="10"/>
    <n v="1"/>
    <n v="5.67"/>
    <n v="15"/>
    <n v="4.82"/>
    <n v="5.95"/>
    <n v="-3.68"/>
    <x v="1"/>
    <n v="5.67"/>
    <n v="-0.76348547717842319"/>
    <n v="10.77"/>
  </r>
  <r>
    <x v="147"/>
    <x v="72"/>
    <s v="Oscar Taylor"/>
    <x v="2"/>
    <s v="China"/>
    <x v="3"/>
    <x v="0"/>
    <x v="22"/>
    <n v="1"/>
    <n v="116.12"/>
    <n v="10"/>
    <n v="104.51"/>
    <n v="10.18"/>
    <n v="30.46"/>
    <x v="1"/>
    <n v="116.12"/>
    <n v="0.29145536312314613"/>
    <n v="114.69"/>
  </r>
  <r>
    <x v="148"/>
    <x v="73"/>
    <s v="Emma Brown"/>
    <x v="1"/>
    <s v="Spain"/>
    <x v="1"/>
    <x v="0"/>
    <x v="22"/>
    <n v="1"/>
    <n v="85.63"/>
    <n v="5"/>
    <n v="81.349999999999994"/>
    <n v="8.86"/>
    <n v="25.39"/>
    <x v="3"/>
    <n v="85.63"/>
    <n v="0.3121081745543946"/>
    <n v="90.21"/>
  </r>
  <r>
    <x v="149"/>
    <x v="74"/>
    <s v="Susan White"/>
    <x v="0"/>
    <s v="Japan"/>
    <x v="3"/>
    <x v="2"/>
    <x v="39"/>
    <n v="1"/>
    <n v="199.74"/>
    <n v="20"/>
    <n v="159.79"/>
    <n v="9.67"/>
    <n v="30.28"/>
    <x v="0"/>
    <n v="199.74"/>
    <n v="0.18949871706614935"/>
    <n v="169.45999999999998"/>
  </r>
  <r>
    <x v="150"/>
    <x v="75"/>
    <s v="Nadia Weber"/>
    <x v="1"/>
    <s v="Italy"/>
    <x v="1"/>
    <x v="0"/>
    <x v="18"/>
    <n v="2"/>
    <n v="34.22"/>
    <n v="0"/>
    <n v="68.44"/>
    <n v="9.2200000000000006"/>
    <n v="21.58"/>
    <x v="2"/>
    <n v="68.44"/>
    <n v="0.31531268264172996"/>
    <n v="77.66"/>
  </r>
  <r>
    <x v="151"/>
    <x v="75"/>
    <s v="James Anderson"/>
    <x v="0"/>
    <s v="United States"/>
    <x v="0"/>
    <x v="3"/>
    <x v="27"/>
    <n v="3"/>
    <n v="37.69"/>
    <n v="30"/>
    <n v="79.150000000000006"/>
    <n v="7.34"/>
    <n v="15.28"/>
    <x v="2"/>
    <n v="113.07"/>
    <n v="0.1930511686670878"/>
    <n v="86.490000000000009"/>
  </r>
  <r>
    <x v="152"/>
    <x v="76"/>
    <s v="Olga Zhang"/>
    <x v="0"/>
    <s v="South Africa"/>
    <x v="2"/>
    <x v="3"/>
    <x v="27"/>
    <n v="1"/>
    <n v="42.86"/>
    <n v="5"/>
    <n v="40.72"/>
    <n v="12.14"/>
    <n v="7.15"/>
    <x v="3"/>
    <n v="42.86"/>
    <n v="0.17558939096267193"/>
    <n v="52.86"/>
  </r>
  <r>
    <x v="153"/>
    <x v="76"/>
    <s v="Nadia Santos"/>
    <x v="1"/>
    <s v="Argentina"/>
    <x v="4"/>
    <x v="0"/>
    <x v="29"/>
    <n v="4"/>
    <n v="24.85"/>
    <n v="15"/>
    <n v="84.49"/>
    <n v="15.38"/>
    <n v="14.44"/>
    <x v="2"/>
    <n v="99.4"/>
    <n v="0.17090779973961415"/>
    <n v="99.86999999999999"/>
  </r>
  <r>
    <x v="154"/>
    <x v="76"/>
    <s v="Lucas Kim"/>
    <x v="1"/>
    <s v="Saudi Arabia"/>
    <x v="2"/>
    <x v="2"/>
    <x v="4"/>
    <n v="6"/>
    <n v="241.26"/>
    <n v="0"/>
    <n v="1447.56"/>
    <n v="14.56"/>
    <n v="564.46"/>
    <x v="1"/>
    <n v="1447.56"/>
    <n v="0.38993893171958333"/>
    <n v="1462.12"/>
  </r>
  <r>
    <x v="155"/>
    <x v="76"/>
    <s v="Hans Laurent"/>
    <x v="1"/>
    <s v="South Africa"/>
    <x v="2"/>
    <x v="2"/>
    <x v="21"/>
    <n v="1"/>
    <n v="67.62"/>
    <n v="0"/>
    <n v="67.62"/>
    <n v="11.63"/>
    <n v="15.42"/>
    <x v="0"/>
    <n v="67.62"/>
    <n v="0.22803904170363795"/>
    <n v="79.25"/>
  </r>
  <r>
    <x v="156"/>
    <x v="77"/>
    <s v="William Nilsson"/>
    <x v="0"/>
    <s v="Spain"/>
    <x v="1"/>
    <x v="2"/>
    <x v="15"/>
    <n v="1"/>
    <n v="268.98"/>
    <n v="0"/>
    <n v="268.98"/>
    <n v="8.56"/>
    <n v="99.03"/>
    <x v="1"/>
    <n v="268.98"/>
    <n v="0.36816863707338832"/>
    <n v="277.54000000000002"/>
  </r>
  <r>
    <x v="157"/>
    <x v="78"/>
    <s v="James Sharma"/>
    <x v="0"/>
    <s v="Mexico"/>
    <x v="0"/>
    <x v="1"/>
    <x v="25"/>
    <n v="3"/>
    <n v="9.65"/>
    <n v="5"/>
    <n v="27.5"/>
    <n v="10.62"/>
    <n v="3.85"/>
    <x v="2"/>
    <n v="28.950000000000003"/>
    <n v="0.14000000000000001"/>
    <n v="38.119999999999997"/>
  </r>
  <r>
    <x v="158"/>
    <x v="78"/>
    <s v="Ava Ferrari"/>
    <x v="2"/>
    <s v="Colombia"/>
    <x v="4"/>
    <x v="0"/>
    <x v="31"/>
    <n v="2"/>
    <n v="139.15"/>
    <n v="5"/>
    <n v="264.38"/>
    <n v="12.48"/>
    <n v="98.83"/>
    <x v="0"/>
    <n v="278.3"/>
    <n v="0.3738179892578864"/>
    <n v="276.86"/>
  </r>
  <r>
    <x v="159"/>
    <x v="78"/>
    <s v="Priya Zhang"/>
    <x v="0"/>
    <s v="Mexico"/>
    <x v="0"/>
    <x v="1"/>
    <x v="20"/>
    <n v="2"/>
    <n v="15.49"/>
    <n v="10"/>
    <n v="27.88"/>
    <n v="6.07"/>
    <n v="7.87"/>
    <x v="2"/>
    <n v="30.98"/>
    <n v="0.28228120516499283"/>
    <n v="33.950000000000003"/>
  </r>
  <r>
    <x v="160"/>
    <x v="78"/>
    <s v="Richard Harris"/>
    <x v="0"/>
    <s v="France"/>
    <x v="1"/>
    <x v="0"/>
    <x v="29"/>
    <n v="6"/>
    <n v="25.63"/>
    <n v="15"/>
    <n v="130.71"/>
    <n v="17.72"/>
    <n v="28.41"/>
    <x v="1"/>
    <n v="153.78"/>
    <n v="0.21735138857011704"/>
    <n v="148.43"/>
  </r>
  <r>
    <x v="161"/>
    <x v="78"/>
    <s v="Richard Ali"/>
    <x v="1"/>
    <s v="Mexico"/>
    <x v="0"/>
    <x v="1"/>
    <x v="23"/>
    <n v="1"/>
    <n v="13"/>
    <n v="5"/>
    <n v="12.35"/>
    <n v="5.81"/>
    <n v="0.69"/>
    <x v="3"/>
    <n v="13"/>
    <n v="5.5870445344129549E-2"/>
    <n v="18.16"/>
  </r>
  <r>
    <x v="162"/>
    <x v="79"/>
    <s v="Richard MÃ¼ller"/>
    <x v="1"/>
    <s v="United States"/>
    <x v="0"/>
    <x v="2"/>
    <x v="15"/>
    <n v="2"/>
    <n v="252.68"/>
    <n v="0"/>
    <n v="505.36"/>
    <n v="8.1199999999999992"/>
    <n v="194.02"/>
    <x v="2"/>
    <n v="505.36"/>
    <n v="0.38392433116985913"/>
    <n v="513.48"/>
  </r>
  <r>
    <x v="163"/>
    <x v="79"/>
    <s v="Diego Johansson"/>
    <x v="1"/>
    <s v="Japan"/>
    <x v="3"/>
    <x v="0"/>
    <x v="35"/>
    <n v="8"/>
    <n v="20.81"/>
    <n v="0"/>
    <n v="166.48"/>
    <n v="20.3"/>
    <n v="54.62"/>
    <x v="0"/>
    <n v="166.48"/>
    <n v="0.32808745795290728"/>
    <n v="186.78"/>
  </r>
  <r>
    <x v="164"/>
    <x v="79"/>
    <s v="Jamal Ferrari"/>
    <x v="1"/>
    <s v="India"/>
    <x v="3"/>
    <x v="1"/>
    <x v="2"/>
    <n v="2"/>
    <n v="12.65"/>
    <n v="15"/>
    <n v="21.5"/>
    <n v="12.32"/>
    <n v="-2.21"/>
    <x v="2"/>
    <n v="25.3"/>
    <n v="-0.1027906976744186"/>
    <n v="33.82"/>
  </r>
  <r>
    <x v="165"/>
    <x v="80"/>
    <s v="Li Pereira"/>
    <x v="0"/>
    <s v="India"/>
    <x v="3"/>
    <x v="3"/>
    <x v="24"/>
    <n v="3"/>
    <n v="83.46"/>
    <n v="0"/>
    <n v="250.38"/>
    <n v="16.07"/>
    <n v="109.12"/>
    <x v="1"/>
    <n v="250.38"/>
    <n v="0.43581755731288446"/>
    <n v="266.45"/>
  </r>
  <r>
    <x v="166"/>
    <x v="81"/>
    <s v="Olga Leroy"/>
    <x v="2"/>
    <s v="Germany"/>
    <x v="1"/>
    <x v="0"/>
    <x v="7"/>
    <n v="3"/>
    <n v="57.89"/>
    <n v="5"/>
    <n v="164.99"/>
    <n v="9.48"/>
    <n v="59.99"/>
    <x v="2"/>
    <n v="173.67000000000002"/>
    <n v="0.36359779380568519"/>
    <n v="174.47"/>
  </r>
  <r>
    <x v="167"/>
    <x v="81"/>
    <s v="Michael Yamamoto"/>
    <x v="0"/>
    <s v="Colombia"/>
    <x v="4"/>
    <x v="0"/>
    <x v="1"/>
    <n v="1"/>
    <n v="133.59"/>
    <n v="0"/>
    <n v="133.59"/>
    <n v="12.48"/>
    <n v="47.64"/>
    <x v="1"/>
    <n v="133.59"/>
    <n v="0.35661351897597127"/>
    <n v="146.07"/>
  </r>
  <r>
    <x v="168"/>
    <x v="82"/>
    <s v="Michael Ferrari"/>
    <x v="2"/>
    <s v="Japan"/>
    <x v="3"/>
    <x v="1"/>
    <x v="2"/>
    <n v="1"/>
    <n v="9.89"/>
    <n v="5"/>
    <n v="9.4"/>
    <n v="10.9"/>
    <n v="-5.95"/>
    <x v="1"/>
    <n v="9.89"/>
    <n v="-0.63297872340425532"/>
    <n v="20.3"/>
  </r>
  <r>
    <x v="169"/>
    <x v="82"/>
    <s v="Priya Park"/>
    <x v="1"/>
    <s v="Canada"/>
    <x v="0"/>
    <x v="1"/>
    <x v="12"/>
    <n v="6"/>
    <n v="17.86"/>
    <n v="5"/>
    <n v="101.8"/>
    <n v="11.87"/>
    <n v="41.71"/>
    <x v="1"/>
    <n v="107.16"/>
    <n v="0.40972495088408645"/>
    <n v="113.67"/>
  </r>
  <r>
    <x v="170"/>
    <x v="82"/>
    <s v="Olga Hassan"/>
    <x v="0"/>
    <s v="South Korea"/>
    <x v="3"/>
    <x v="2"/>
    <x v="34"/>
    <n v="4"/>
    <n v="58.82"/>
    <n v="10"/>
    <n v="211.75"/>
    <n v="13.12"/>
    <n v="57.46"/>
    <x v="2"/>
    <n v="235.28"/>
    <n v="0.27135773317591499"/>
    <n v="224.87"/>
  </r>
  <r>
    <x v="171"/>
    <x v="83"/>
    <s v="Maria Schmidt"/>
    <x v="1"/>
    <s v="South Korea"/>
    <x v="3"/>
    <x v="0"/>
    <x v="7"/>
    <n v="3"/>
    <n v="63.4"/>
    <n v="20"/>
    <n v="152.16"/>
    <n v="12.26"/>
    <n v="35.29"/>
    <x v="1"/>
    <n v="190.2"/>
    <n v="0.23192691903259727"/>
    <n v="164.42"/>
  </r>
  <r>
    <x v="172"/>
    <x v="83"/>
    <s v="Maria Martinez"/>
    <x v="1"/>
    <s v="Mexico"/>
    <x v="0"/>
    <x v="0"/>
    <x v="1"/>
    <n v="1"/>
    <n v="133.59"/>
    <n v="10"/>
    <n v="120.23"/>
    <n v="6.48"/>
    <n v="40.28"/>
    <x v="2"/>
    <n v="133.59"/>
    <n v="0.33502453630541462"/>
    <n v="126.71000000000001"/>
  </r>
  <r>
    <x v="173"/>
    <x v="84"/>
    <s v="Hans Fischer"/>
    <x v="0"/>
    <s v="Canada"/>
    <x v="0"/>
    <x v="2"/>
    <x v="36"/>
    <n v="2"/>
    <n v="244.78"/>
    <n v="10"/>
    <n v="440.6"/>
    <n v="9.82"/>
    <n v="137.04"/>
    <x v="2"/>
    <n v="489.56"/>
    <n v="0.3110304130730821"/>
    <n v="450.42"/>
  </r>
  <r>
    <x v="174"/>
    <x v="84"/>
    <s v="Lucas Chen"/>
    <x v="1"/>
    <s v="Australia"/>
    <x v="3"/>
    <x v="1"/>
    <x v="17"/>
    <n v="4"/>
    <n v="13.89"/>
    <n v="0"/>
    <n v="55.56"/>
    <n v="18.260000000000002"/>
    <n v="12.3"/>
    <x v="1"/>
    <n v="55.56"/>
    <n v="0.22138228941684665"/>
    <n v="73.820000000000007"/>
  </r>
  <r>
    <x v="175"/>
    <x v="85"/>
    <s v="Priya Jones"/>
    <x v="1"/>
    <s v="Saudi Arabia"/>
    <x v="2"/>
    <x v="1"/>
    <x v="19"/>
    <n v="2"/>
    <n v="4.54"/>
    <n v="0"/>
    <n v="9.08"/>
    <n v="13.77"/>
    <n v="-8.7799999999999994"/>
    <x v="2"/>
    <n v="9.08"/>
    <n v="-0.96696035242290745"/>
    <n v="22.85"/>
  </r>
  <r>
    <x v="176"/>
    <x v="86"/>
    <s v="Sophie Thomas"/>
    <x v="1"/>
    <s v="Nigeria"/>
    <x v="2"/>
    <x v="2"/>
    <x v="4"/>
    <n v="4"/>
    <n v="257.60000000000002"/>
    <n v="25"/>
    <n v="772.8"/>
    <n v="19.79"/>
    <n v="134.77000000000001"/>
    <x v="3"/>
    <n v="1030.4000000000001"/>
    <n v="0.17439182194616978"/>
    <n v="792.58999999999992"/>
  </r>
  <r>
    <x v="177"/>
    <x v="87"/>
    <s v="Jessica Sato"/>
    <x v="1"/>
    <s v="Australia"/>
    <x v="3"/>
    <x v="3"/>
    <x v="11"/>
    <n v="1"/>
    <n v="55"/>
    <n v="5"/>
    <n v="52.25"/>
    <n v="9.81"/>
    <n v="14.94"/>
    <x v="2"/>
    <n v="55"/>
    <n v="0.28593301435406698"/>
    <n v="62.06"/>
  </r>
  <r>
    <x v="178"/>
    <x v="87"/>
    <s v="Giulia Brown"/>
    <x v="0"/>
    <s v="South Korea"/>
    <x v="3"/>
    <x v="1"/>
    <x v="10"/>
    <n v="4"/>
    <n v="8.66"/>
    <n v="5"/>
    <n v="32.909999999999997"/>
    <n v="11.66"/>
    <n v="5.66"/>
    <x v="2"/>
    <n v="34.64"/>
    <n v="0.17198419933151021"/>
    <n v="44.569999999999993"/>
  </r>
  <r>
    <x v="179"/>
    <x v="87"/>
    <s v="Li Taylor"/>
    <x v="1"/>
    <s v="Mexico"/>
    <x v="0"/>
    <x v="0"/>
    <x v="22"/>
    <n v="2"/>
    <n v="94.43"/>
    <n v="10"/>
    <n v="169.97"/>
    <n v="6.86"/>
    <n v="59.24"/>
    <x v="2"/>
    <n v="188.86"/>
    <n v="0.34853209389892337"/>
    <n v="176.83"/>
  </r>
  <r>
    <x v="180"/>
    <x v="88"/>
    <s v="Ahmed Miller"/>
    <x v="1"/>
    <s v="France"/>
    <x v="1"/>
    <x v="0"/>
    <x v="0"/>
    <n v="6"/>
    <n v="209.9"/>
    <n v="5"/>
    <n v="1196.43"/>
    <n v="17.2"/>
    <n v="486.56"/>
    <x v="1"/>
    <n v="1259.4000000000001"/>
    <n v="0.40667652934145748"/>
    <n v="1213.6300000000001"/>
  </r>
  <r>
    <x v="181"/>
    <x v="89"/>
    <s v="Barbara Thomas"/>
    <x v="0"/>
    <s v="UAE"/>
    <x v="2"/>
    <x v="0"/>
    <x v="0"/>
    <n v="9"/>
    <n v="67.709999999999994"/>
    <n v="0"/>
    <n v="609.39"/>
    <n v="21.43"/>
    <n v="252.8"/>
    <x v="2"/>
    <n v="609.39"/>
    <n v="0.41484107057877551"/>
    <n v="630.81999999999994"/>
  </r>
  <r>
    <x v="182"/>
    <x v="90"/>
    <s v="Clara Oliveira"/>
    <x v="1"/>
    <s v="Canada"/>
    <x v="0"/>
    <x v="0"/>
    <x v="31"/>
    <n v="2"/>
    <n v="171.32"/>
    <n v="15"/>
    <n v="291.24"/>
    <n v="9.4600000000000009"/>
    <n v="93.33"/>
    <x v="1"/>
    <n v="342.64"/>
    <n v="0.32045735475896164"/>
    <n v="300.7"/>
  </r>
  <r>
    <x v="183"/>
    <x v="90"/>
    <s v="Carlos Wang"/>
    <x v="0"/>
    <s v="United States"/>
    <x v="0"/>
    <x v="0"/>
    <x v="0"/>
    <n v="3"/>
    <n v="82.93"/>
    <n v="20"/>
    <n v="199.03"/>
    <n v="12.36"/>
    <n v="49.84"/>
    <x v="2"/>
    <n v="248.79000000000002"/>
    <n v="0.25041451037532031"/>
    <n v="211.39"/>
  </r>
  <r>
    <x v="184"/>
    <x v="91"/>
    <s v="Li White"/>
    <x v="0"/>
    <s v="Japan"/>
    <x v="3"/>
    <x v="0"/>
    <x v="3"/>
    <n v="4"/>
    <n v="57.09"/>
    <n v="15"/>
    <n v="194.11"/>
    <n v="11.38"/>
    <n v="57.13"/>
    <x v="1"/>
    <n v="228.36"/>
    <n v="0.29431765493792178"/>
    <n v="205.49"/>
  </r>
  <r>
    <x v="185"/>
    <x v="92"/>
    <s v="Felix Miller"/>
    <x v="1"/>
    <s v="South Korea"/>
    <x v="3"/>
    <x v="3"/>
    <x v="24"/>
    <n v="1"/>
    <n v="54.74"/>
    <n v="0"/>
    <n v="54.74"/>
    <n v="10.89"/>
    <n v="16.48"/>
    <x v="1"/>
    <n v="54.74"/>
    <n v="0.30105955425648517"/>
    <n v="65.63"/>
  </r>
  <r>
    <x v="186"/>
    <x v="92"/>
    <s v="Sakura Dubois"/>
    <x v="1"/>
    <s v="Germany"/>
    <x v="1"/>
    <x v="2"/>
    <x v="39"/>
    <n v="10"/>
    <n v="136.46"/>
    <n v="15"/>
    <n v="1159.9100000000001"/>
    <n v="17.75"/>
    <n v="323.39999999999998"/>
    <x v="0"/>
    <n v="1364.6000000000001"/>
    <n v="0.27881473562603992"/>
    <n v="1177.6600000000001"/>
  </r>
  <r>
    <x v="187"/>
    <x v="92"/>
    <s v="Barbara Suzuki"/>
    <x v="1"/>
    <s v="Canada"/>
    <x v="0"/>
    <x v="2"/>
    <x v="14"/>
    <n v="2"/>
    <n v="308.79000000000002"/>
    <n v="0"/>
    <n v="617.58000000000004"/>
    <n v="7.21"/>
    <n v="239.82"/>
    <x v="1"/>
    <n v="617.58000000000004"/>
    <n v="0.3883221606917322"/>
    <n v="624.79000000000008"/>
  </r>
  <r>
    <x v="188"/>
    <x v="93"/>
    <s v="Zara Patel"/>
    <x v="0"/>
    <s v="South Africa"/>
    <x v="2"/>
    <x v="2"/>
    <x v="5"/>
    <n v="3"/>
    <n v="180.81"/>
    <n v="20"/>
    <n v="433.94"/>
    <n v="18.2"/>
    <n v="90.28"/>
    <x v="2"/>
    <n v="542.43000000000006"/>
    <n v="0.20804719546481082"/>
    <n v="452.14"/>
  </r>
  <r>
    <x v="189"/>
    <x v="94"/>
    <s v="Wei Johansson"/>
    <x v="0"/>
    <s v="India"/>
    <x v="3"/>
    <x v="2"/>
    <x v="34"/>
    <n v="1"/>
    <n v="54.96"/>
    <n v="10"/>
    <n v="49.46"/>
    <n v="10.74"/>
    <n v="5.74"/>
    <x v="1"/>
    <n v="54.96"/>
    <n v="0.11605337646583097"/>
    <n v="60.2"/>
  </r>
  <r>
    <x v="190"/>
    <x v="95"/>
    <s v="Sarah Robinson"/>
    <x v="2"/>
    <s v="Germany"/>
    <x v="1"/>
    <x v="2"/>
    <x v="39"/>
    <n v="1"/>
    <n v="137.26"/>
    <n v="10"/>
    <n v="123.53"/>
    <n v="8.4700000000000006"/>
    <n v="32.700000000000003"/>
    <x v="2"/>
    <n v="137.26"/>
    <n v="0.26471302517607059"/>
    <n v="132"/>
  </r>
  <r>
    <x v="191"/>
    <x v="96"/>
    <s v="Omar Williams"/>
    <x v="0"/>
    <s v="Japan"/>
    <x v="3"/>
    <x v="3"/>
    <x v="16"/>
    <n v="6"/>
    <n v="30.66"/>
    <n v="10"/>
    <n v="165.56"/>
    <n v="22.41"/>
    <n v="51.17"/>
    <x v="0"/>
    <n v="183.96"/>
    <n v="0.30907223967141823"/>
    <n v="187.97"/>
  </r>
  <r>
    <x v="192"/>
    <x v="96"/>
    <s v="Karen Moreau"/>
    <x v="1"/>
    <s v="China"/>
    <x v="3"/>
    <x v="3"/>
    <x v="33"/>
    <n v="1"/>
    <n v="46.16"/>
    <n v="5"/>
    <n v="43.85"/>
    <n v="11.08"/>
    <n v="9.69"/>
    <x v="1"/>
    <n v="46.16"/>
    <n v="0.22098061573546179"/>
    <n v="54.93"/>
  </r>
  <r>
    <x v="193"/>
    <x v="96"/>
    <s v="Christopher Park"/>
    <x v="1"/>
    <s v="Germany"/>
    <x v="1"/>
    <x v="3"/>
    <x v="24"/>
    <n v="4"/>
    <n v="45.58"/>
    <n v="5"/>
    <n v="173.2"/>
    <n v="12.2"/>
    <n v="69.84"/>
    <x v="3"/>
    <n v="182.32"/>
    <n v="0.40323325635103929"/>
    <n v="185.39999999999998"/>
  </r>
  <r>
    <x v="194"/>
    <x v="97"/>
    <s v="Kenji Jones"/>
    <x v="1"/>
    <s v="India"/>
    <x v="3"/>
    <x v="2"/>
    <x v="4"/>
    <n v="2"/>
    <n v="177.6"/>
    <n v="0"/>
    <n v="355.2"/>
    <n v="13.33"/>
    <n v="128.75"/>
    <x v="1"/>
    <n v="355.2"/>
    <n v="0.36247184684684686"/>
    <n v="368.53"/>
  </r>
  <r>
    <x v="195"/>
    <x v="97"/>
    <s v="Marco Taylor"/>
    <x v="1"/>
    <s v="Mexico"/>
    <x v="0"/>
    <x v="2"/>
    <x v="5"/>
    <n v="3"/>
    <n v="192.55"/>
    <n v="0"/>
    <n v="577.65"/>
    <n v="10.26"/>
    <n v="220.8"/>
    <x v="1"/>
    <n v="577.65000000000009"/>
    <n v="0.38223837964165153"/>
    <n v="587.91"/>
  </r>
  <r>
    <x v="196"/>
    <x v="98"/>
    <s v="Li Yamamoto"/>
    <x v="1"/>
    <s v="China"/>
    <x v="3"/>
    <x v="0"/>
    <x v="29"/>
    <n v="1"/>
    <n v="17.84"/>
    <n v="5"/>
    <n v="16.95"/>
    <n v="11.04"/>
    <n v="-3.9"/>
    <x v="1"/>
    <n v="17.84"/>
    <n v="-0.23008849557522124"/>
    <n v="27.99"/>
  </r>
  <r>
    <x v="197"/>
    <x v="99"/>
    <s v="Ava Fischer"/>
    <x v="0"/>
    <s v="Australia"/>
    <x v="3"/>
    <x v="1"/>
    <x v="25"/>
    <n v="4"/>
    <n v="8.59"/>
    <n v="5"/>
    <n v="32.64"/>
    <n v="11.51"/>
    <n v="5.67"/>
    <x v="1"/>
    <n v="34.36"/>
    <n v="0.17371323529411764"/>
    <n v="44.15"/>
  </r>
  <r>
    <x v="198"/>
    <x v="100"/>
    <s v="Mia Smith"/>
    <x v="1"/>
    <s v="Canada"/>
    <x v="0"/>
    <x v="0"/>
    <x v="29"/>
    <n v="1"/>
    <n v="29.87"/>
    <n v="0"/>
    <n v="29.87"/>
    <n v="6.43"/>
    <n v="7.01"/>
    <x v="3"/>
    <n v="29.87"/>
    <n v="0.23468362905925677"/>
    <n v="36.299999999999997"/>
  </r>
  <r>
    <x v="199"/>
    <x v="101"/>
    <s v="Ivan Anderson"/>
    <x v="0"/>
    <s v="China"/>
    <x v="3"/>
    <x v="1"/>
    <x v="12"/>
    <n v="3"/>
    <n v="12.78"/>
    <n v="5"/>
    <n v="36.42"/>
    <n v="14.72"/>
    <n v="4.45"/>
    <x v="1"/>
    <n v="38.339999999999996"/>
    <n v="0.12218561230093355"/>
    <n v="51.14"/>
  </r>
  <r>
    <x v="200"/>
    <x v="102"/>
    <s v="Raj Thomas"/>
    <x v="1"/>
    <s v="Mexico"/>
    <x v="0"/>
    <x v="0"/>
    <x v="7"/>
    <n v="3"/>
    <n v="71.84"/>
    <n v="0"/>
    <n v="215.52"/>
    <n v="8.56"/>
    <n v="88.42"/>
    <x v="0"/>
    <n v="215.52"/>
    <n v="0.41026354862657755"/>
    <n v="224.08"/>
  </r>
  <r>
    <x v="201"/>
    <x v="103"/>
    <s v="Jamal Schmidt"/>
    <x v="2"/>
    <s v="South Korea"/>
    <x v="3"/>
    <x v="1"/>
    <x v="17"/>
    <n v="2"/>
    <n v="6.24"/>
    <n v="20"/>
    <n v="9.98"/>
    <n v="13.23"/>
    <n v="-8.8699999999999992"/>
    <x v="1"/>
    <n v="12.48"/>
    <n v="-0.88877755511022027"/>
    <n v="23.21"/>
  </r>
  <r>
    <x v="202"/>
    <x v="104"/>
    <s v="Priya Chen"/>
    <x v="2"/>
    <s v="Mexico"/>
    <x v="0"/>
    <x v="1"/>
    <x v="19"/>
    <n v="2"/>
    <n v="12.15"/>
    <n v="10"/>
    <n v="21.87"/>
    <n v="9.48"/>
    <n v="1.46"/>
    <x v="0"/>
    <n v="24.3"/>
    <n v="6.6758116140832185E-2"/>
    <n v="31.35"/>
  </r>
  <r>
    <x v="203"/>
    <x v="104"/>
    <s v="Kenji Romano"/>
    <x v="1"/>
    <s v="China"/>
    <x v="3"/>
    <x v="3"/>
    <x v="24"/>
    <n v="1"/>
    <n v="88.39"/>
    <n v="15"/>
    <n v="75.13"/>
    <n v="11.2"/>
    <n v="19.73"/>
    <x v="2"/>
    <n v="88.39"/>
    <n v="0.26261147344602692"/>
    <n v="86.33"/>
  </r>
  <r>
    <x v="204"/>
    <x v="105"/>
    <s v="Pierre Fischer"/>
    <x v="1"/>
    <s v="Japan"/>
    <x v="3"/>
    <x v="0"/>
    <x v="0"/>
    <n v="5"/>
    <n v="181.39"/>
    <n v="0"/>
    <n v="906.95"/>
    <n v="13.61"/>
    <n v="394.52"/>
    <x v="3"/>
    <n v="906.94999999999993"/>
    <n v="0.43499641656100113"/>
    <n v="920.56000000000006"/>
  </r>
  <r>
    <x v="205"/>
    <x v="105"/>
    <s v="Ali Miller"/>
    <x v="1"/>
    <s v="Mexico"/>
    <x v="0"/>
    <x v="1"/>
    <x v="23"/>
    <n v="1"/>
    <n v="16.13"/>
    <n v="15"/>
    <n v="13.71"/>
    <n v="6.12"/>
    <n v="0.33"/>
    <x v="0"/>
    <n v="16.13"/>
    <n v="2.4070021881838075E-2"/>
    <n v="19.830000000000002"/>
  </r>
  <r>
    <x v="206"/>
    <x v="105"/>
    <s v="John Robinson"/>
    <x v="1"/>
    <s v="Canada"/>
    <x v="0"/>
    <x v="0"/>
    <x v="7"/>
    <n v="2"/>
    <n v="44.17"/>
    <n v="5"/>
    <n v="83.92"/>
    <n v="6.3"/>
    <n v="29.03"/>
    <x v="1"/>
    <n v="88.34"/>
    <n v="0.34592469018112487"/>
    <n v="90.22"/>
  </r>
  <r>
    <x v="207"/>
    <x v="106"/>
    <s v="Wei Sato"/>
    <x v="0"/>
    <s v="Australia"/>
    <x v="3"/>
    <x v="1"/>
    <x v="12"/>
    <n v="2"/>
    <n v="11.52"/>
    <n v="15"/>
    <n v="19.579999999999998"/>
    <n v="12.1"/>
    <n v="-2.89"/>
    <x v="1"/>
    <n v="23.04"/>
    <n v="-0.14759959141981616"/>
    <n v="31.68"/>
  </r>
  <r>
    <x v="208"/>
    <x v="107"/>
    <s v="Amir Garcia"/>
    <x v="0"/>
    <s v="France"/>
    <x v="1"/>
    <x v="1"/>
    <x v="12"/>
    <n v="3"/>
    <n v="11.58"/>
    <n v="30"/>
    <n v="24.32"/>
    <n v="13.53"/>
    <n v="-4.84"/>
    <x v="1"/>
    <n v="34.74"/>
    <n v="-0.19901315789473684"/>
    <n v="37.85"/>
  </r>
  <r>
    <x v="209"/>
    <x v="108"/>
    <s v="Layla Santos"/>
    <x v="0"/>
    <s v="Germany"/>
    <x v="1"/>
    <x v="3"/>
    <x v="27"/>
    <n v="3"/>
    <n v="25.71"/>
    <n v="15"/>
    <n v="65.56"/>
    <n v="8.8800000000000008"/>
    <n v="18.12"/>
    <x v="1"/>
    <n v="77.13"/>
    <n v="0.27638804148871265"/>
    <n v="74.44"/>
  </r>
  <r>
    <x v="210"/>
    <x v="108"/>
    <s v="Christopher Taylor"/>
    <x v="1"/>
    <s v="Canada"/>
    <x v="0"/>
    <x v="0"/>
    <x v="28"/>
    <n v="3"/>
    <n v="47.53"/>
    <n v="15"/>
    <n v="121.2"/>
    <n v="7.18"/>
    <n v="35.6"/>
    <x v="3"/>
    <n v="142.59"/>
    <n v="0.29372937293729373"/>
    <n v="128.38"/>
  </r>
  <r>
    <x v="211"/>
    <x v="109"/>
    <s v="Chen Thompson"/>
    <x v="1"/>
    <s v="Argentina"/>
    <x v="4"/>
    <x v="3"/>
    <x v="11"/>
    <n v="3"/>
    <n v="94.61"/>
    <n v="20"/>
    <n v="227.06"/>
    <n v="16.78"/>
    <n v="68.37"/>
    <x v="2"/>
    <n v="283.83"/>
    <n v="0.30110983880912534"/>
    <n v="243.84"/>
  </r>
  <r>
    <x v="212"/>
    <x v="109"/>
    <s v="Barbara Sharma"/>
    <x v="0"/>
    <s v="France"/>
    <x v="1"/>
    <x v="2"/>
    <x v="39"/>
    <n v="2"/>
    <n v="248.9"/>
    <n v="20"/>
    <n v="398.24"/>
    <n v="8.23"/>
    <n v="91.33"/>
    <x v="1"/>
    <n v="497.8"/>
    <n v="0.22933406990759339"/>
    <n v="406.47"/>
  </r>
  <r>
    <x v="213"/>
    <x v="110"/>
    <s v="Diego Jackson"/>
    <x v="0"/>
    <s v="South Korea"/>
    <x v="3"/>
    <x v="0"/>
    <x v="18"/>
    <n v="4"/>
    <n v="62.57"/>
    <n v="10"/>
    <n v="225.25"/>
    <n v="14.99"/>
    <n v="72.61"/>
    <x v="2"/>
    <n v="250.28"/>
    <n v="0.32235294117647056"/>
    <n v="240.24"/>
  </r>
  <r>
    <x v="214"/>
    <x v="110"/>
    <s v="Ayumi Ahmed"/>
    <x v="1"/>
    <s v="South Korea"/>
    <x v="3"/>
    <x v="2"/>
    <x v="8"/>
    <n v="15"/>
    <n v="100.94"/>
    <n v="5"/>
    <n v="1438.39"/>
    <n v="29.26"/>
    <n v="500.67"/>
    <x v="1"/>
    <n v="1514.1"/>
    <n v="0.34807666905359463"/>
    <n v="1467.65"/>
  </r>
  <r>
    <x v="215"/>
    <x v="111"/>
    <s v="Fatima Laurent"/>
    <x v="2"/>
    <s v="Argentina"/>
    <x v="4"/>
    <x v="0"/>
    <x v="28"/>
    <n v="1"/>
    <n v="55.77"/>
    <n v="5"/>
    <n v="52.98"/>
    <n v="11.25"/>
    <n v="11.06"/>
    <x v="2"/>
    <n v="55.77"/>
    <n v="0.20875802189505477"/>
    <n v="64.22999999999999"/>
  </r>
  <r>
    <x v="216"/>
    <x v="112"/>
    <s v="Olivia Kumar"/>
    <x v="0"/>
    <s v="India"/>
    <x v="3"/>
    <x v="2"/>
    <x v="21"/>
    <n v="2"/>
    <n v="77.489999999999995"/>
    <n v="15"/>
    <n v="131.72999999999999"/>
    <n v="12.63"/>
    <n v="26.11"/>
    <x v="0"/>
    <n v="154.97999999999999"/>
    <n v="0.19820845669171791"/>
    <n v="144.35999999999999"/>
  </r>
  <r>
    <x v="217"/>
    <x v="112"/>
    <s v="Raj Rossi"/>
    <x v="1"/>
    <s v="Mexico"/>
    <x v="0"/>
    <x v="2"/>
    <x v="5"/>
    <n v="4"/>
    <n v="65.92"/>
    <n v="5"/>
    <n v="250.5"/>
    <n v="13.46"/>
    <n v="78.83"/>
    <x v="1"/>
    <n v="263.68"/>
    <n v="0.31469061876247506"/>
    <n v="263.95999999999998"/>
  </r>
  <r>
    <x v="218"/>
    <x v="112"/>
    <s v="Patricia Dubois"/>
    <x v="0"/>
    <s v="Mexico"/>
    <x v="0"/>
    <x v="2"/>
    <x v="36"/>
    <n v="1"/>
    <n v="121.55"/>
    <n v="25"/>
    <n v="91.16"/>
    <n v="6.6"/>
    <n v="11.63"/>
    <x v="2"/>
    <n v="121.55"/>
    <n v="0.12757788503729708"/>
    <n v="97.759999999999991"/>
  </r>
  <r>
    <x v="219"/>
    <x v="113"/>
    <s v="Robert Jackson"/>
    <x v="0"/>
    <s v="France"/>
    <x v="1"/>
    <x v="3"/>
    <x v="24"/>
    <n v="2"/>
    <n v="79.650000000000006"/>
    <n v="10"/>
    <n v="143.37"/>
    <n v="10.14"/>
    <n v="53.58"/>
    <x v="1"/>
    <n v="159.30000000000001"/>
    <n v="0.37371835111948104"/>
    <n v="153.51"/>
  </r>
  <r>
    <x v="220"/>
    <x v="113"/>
    <s v="Jennifer Costa"/>
    <x v="1"/>
    <s v="Mexico"/>
    <x v="0"/>
    <x v="2"/>
    <x v="4"/>
    <n v="3"/>
    <n v="180.1"/>
    <n v="10"/>
    <n v="486.27"/>
    <n v="8.31"/>
    <n v="153.78"/>
    <x v="2"/>
    <n v="540.29999999999995"/>
    <n v="0.31624406194089705"/>
    <n v="494.58"/>
  </r>
  <r>
    <x v="221"/>
    <x v="113"/>
    <s v="Ivan Li"/>
    <x v="2"/>
    <s v="Brazil"/>
    <x v="4"/>
    <x v="2"/>
    <x v="5"/>
    <n v="3"/>
    <n v="145.84"/>
    <n v="15"/>
    <n v="371.89"/>
    <n v="14.54"/>
    <n v="94.84"/>
    <x v="1"/>
    <n v="437.52"/>
    <n v="0.25502164618570011"/>
    <n v="386.43"/>
  </r>
  <r>
    <x v="222"/>
    <x v="114"/>
    <s v="Nadia Brown"/>
    <x v="2"/>
    <s v="South Korea"/>
    <x v="3"/>
    <x v="1"/>
    <x v="10"/>
    <n v="9"/>
    <n v="3.16"/>
    <n v="10"/>
    <n v="25.6"/>
    <n v="18.23"/>
    <n v="-5.43"/>
    <x v="0"/>
    <n v="28.44"/>
    <n v="-0.21210937499999999"/>
    <n v="43.83"/>
  </r>
  <r>
    <x v="223"/>
    <x v="115"/>
    <s v="Emma Johansson"/>
    <x v="0"/>
    <s v="Canada"/>
    <x v="0"/>
    <x v="1"/>
    <x v="23"/>
    <n v="3"/>
    <n v="8.1999999999999993"/>
    <n v="0"/>
    <n v="24.6"/>
    <n v="7.45"/>
    <n v="6.08"/>
    <x v="2"/>
    <n v="24.599999999999998"/>
    <n v="0.24715447154471543"/>
    <n v="32.050000000000004"/>
  </r>
  <r>
    <x v="224"/>
    <x v="115"/>
    <s v="Diego Schmidt"/>
    <x v="0"/>
    <s v="South Africa"/>
    <x v="2"/>
    <x v="2"/>
    <x v="39"/>
    <n v="2"/>
    <n v="214.52"/>
    <n v="0"/>
    <n v="429.04"/>
    <n v="15.39"/>
    <n v="156.22999999999999"/>
    <x v="1"/>
    <n v="429.04"/>
    <n v="0.36413854186089872"/>
    <n v="444.43"/>
  </r>
  <r>
    <x v="225"/>
    <x v="115"/>
    <s v="Clara Jackson"/>
    <x v="1"/>
    <s v="Australia"/>
    <x v="3"/>
    <x v="3"/>
    <x v="26"/>
    <n v="8"/>
    <n v="43.71"/>
    <n v="15"/>
    <n v="297.23"/>
    <n v="21.92"/>
    <n v="100.47"/>
    <x v="2"/>
    <n v="349.68"/>
    <n v="0.33802106113111058"/>
    <n v="319.15000000000003"/>
  </r>
  <r>
    <x v="226"/>
    <x v="115"/>
    <s v="Jamal Clark"/>
    <x v="1"/>
    <s v="South Korea"/>
    <x v="3"/>
    <x v="2"/>
    <x v="4"/>
    <n v="2"/>
    <n v="119.77"/>
    <n v="25"/>
    <n v="179.66"/>
    <n v="10.37"/>
    <n v="25.57"/>
    <x v="0"/>
    <n v="239.54"/>
    <n v="0.14232439051541801"/>
    <n v="190.03"/>
  </r>
  <r>
    <x v="227"/>
    <x v="115"/>
    <s v="Pierre Fischer"/>
    <x v="0"/>
    <s v="Saudi Arabia"/>
    <x v="2"/>
    <x v="2"/>
    <x v="36"/>
    <n v="1"/>
    <n v="217.82"/>
    <n v="25"/>
    <n v="163.37"/>
    <n v="12.46"/>
    <n v="20.22"/>
    <x v="1"/>
    <n v="217.82"/>
    <n v="0.12376813368427494"/>
    <n v="175.83"/>
  </r>
  <r>
    <x v="228"/>
    <x v="115"/>
    <s v="Lucas Khan"/>
    <x v="1"/>
    <s v="United States"/>
    <x v="0"/>
    <x v="2"/>
    <x v="36"/>
    <n v="2"/>
    <n v="295.24"/>
    <n v="0"/>
    <n v="590.48"/>
    <n v="9.07"/>
    <n v="227.12"/>
    <x v="2"/>
    <n v="590.48"/>
    <n v="0.38463622815336673"/>
    <n v="599.55000000000007"/>
  </r>
  <r>
    <x v="229"/>
    <x v="116"/>
    <s v="Chen Romano"/>
    <x v="2"/>
    <s v="France"/>
    <x v="1"/>
    <x v="2"/>
    <x v="39"/>
    <n v="1"/>
    <n v="195.08"/>
    <n v="5"/>
    <n v="185.33"/>
    <n v="9.41"/>
    <n v="58.87"/>
    <x v="2"/>
    <n v="195.08"/>
    <n v="0.31764959801435272"/>
    <n v="194.74"/>
  </r>
  <r>
    <x v="230"/>
    <x v="117"/>
    <s v="Sophie Yamamoto"/>
    <x v="1"/>
    <s v="United States"/>
    <x v="0"/>
    <x v="3"/>
    <x v="9"/>
    <n v="5"/>
    <n v="26.84"/>
    <n v="0"/>
    <n v="134.19999999999999"/>
    <n v="17.2"/>
    <n v="49.9"/>
    <x v="2"/>
    <n v="134.19999999999999"/>
    <n v="0.37183308494783907"/>
    <n v="151.39999999999998"/>
  </r>
  <r>
    <x v="231"/>
    <x v="118"/>
    <s v="Hans Johnson"/>
    <x v="2"/>
    <s v="India"/>
    <x v="3"/>
    <x v="0"/>
    <x v="29"/>
    <n v="5"/>
    <n v="15.48"/>
    <n v="10"/>
    <n v="69.66"/>
    <n v="19.739999999999998"/>
    <n v="7.35"/>
    <x v="2"/>
    <n v="77.400000000000006"/>
    <n v="0.10551248923341947"/>
    <n v="89.399999999999991"/>
  </r>
  <r>
    <x v="232"/>
    <x v="119"/>
    <s v="Patricia MÃ¼ller"/>
    <x v="1"/>
    <s v="Mexico"/>
    <x v="0"/>
    <x v="0"/>
    <x v="3"/>
    <n v="5"/>
    <n v="54.1"/>
    <n v="5"/>
    <n v="256.97000000000003"/>
    <n v="11.43"/>
    <n v="96.77"/>
    <x v="1"/>
    <n v="270.5"/>
    <n v="0.37658092384325015"/>
    <n v="268.40000000000003"/>
  </r>
  <r>
    <x v="233"/>
    <x v="119"/>
    <s v="Ahmed Taylor"/>
    <x v="2"/>
    <s v="China"/>
    <x v="3"/>
    <x v="0"/>
    <x v="18"/>
    <n v="8"/>
    <n v="37.26"/>
    <n v="20"/>
    <n v="238.46"/>
    <n v="14.6"/>
    <n v="59.92"/>
    <x v="2"/>
    <n v="298.08"/>
    <n v="0.25127904050993877"/>
    <n v="253.06"/>
  </r>
  <r>
    <x v="234"/>
    <x v="120"/>
    <s v="Zara Rodriguez"/>
    <x v="1"/>
    <s v="Mexico"/>
    <x v="0"/>
    <x v="1"/>
    <x v="12"/>
    <n v="4"/>
    <n v="10.54"/>
    <n v="15"/>
    <n v="35.840000000000003"/>
    <n v="10.87"/>
    <n v="6"/>
    <x v="3"/>
    <n v="42.16"/>
    <n v="0.16741071428571427"/>
    <n v="46.71"/>
  </r>
  <r>
    <x v="235"/>
    <x v="121"/>
    <s v="Clara Santos"/>
    <x v="0"/>
    <s v="Mexico"/>
    <x v="0"/>
    <x v="1"/>
    <x v="12"/>
    <n v="3"/>
    <n v="15.84"/>
    <n v="5"/>
    <n v="45.14"/>
    <n v="7.96"/>
    <n v="15.8"/>
    <x v="1"/>
    <n v="47.519999999999996"/>
    <n v="0.35002215330084185"/>
    <n v="53.1"/>
  </r>
  <r>
    <x v="236"/>
    <x v="122"/>
    <s v="Hanna Davis"/>
    <x v="1"/>
    <s v="United Kingdom"/>
    <x v="1"/>
    <x v="3"/>
    <x v="11"/>
    <n v="2"/>
    <n v="33.159999999999997"/>
    <n v="0"/>
    <n v="66.319999999999993"/>
    <n v="11.38"/>
    <n v="21.78"/>
    <x v="1"/>
    <n v="66.319999999999993"/>
    <n v="0.32840772014475278"/>
    <n v="77.699999999999989"/>
  </r>
  <r>
    <x v="237"/>
    <x v="123"/>
    <s v="Barbara Rossi"/>
    <x v="2"/>
    <s v="China"/>
    <x v="3"/>
    <x v="1"/>
    <x v="2"/>
    <n v="3"/>
    <n v="14"/>
    <n v="15"/>
    <n v="35.700000000000003"/>
    <n v="16.47"/>
    <n v="0.33"/>
    <x v="1"/>
    <n v="42"/>
    <n v="9.2436974789915968E-3"/>
    <n v="52.17"/>
  </r>
  <r>
    <x v="238"/>
    <x v="124"/>
    <s v="Oscar Santos"/>
    <x v="0"/>
    <s v="Canada"/>
    <x v="0"/>
    <x v="2"/>
    <x v="21"/>
    <n v="7"/>
    <n v="54.12"/>
    <n v="15"/>
    <n v="322.01"/>
    <n v="17.46"/>
    <n v="77.25"/>
    <x v="1"/>
    <n v="378.84"/>
    <n v="0.23989938200677"/>
    <n v="339.46999999999997"/>
  </r>
  <r>
    <x v="239"/>
    <x v="124"/>
    <s v="Patricia Chen"/>
    <x v="2"/>
    <s v="United Kingdom"/>
    <x v="1"/>
    <x v="2"/>
    <x v="8"/>
    <n v="1"/>
    <n v="118.34"/>
    <n v="5"/>
    <n v="112.42"/>
    <n v="7.66"/>
    <n v="33.76"/>
    <x v="1"/>
    <n v="118.34"/>
    <n v="0.30030243728873862"/>
    <n v="120.08"/>
  </r>
  <r>
    <x v="240"/>
    <x v="124"/>
    <s v="Ahmed Dubois"/>
    <x v="1"/>
    <s v="Spain"/>
    <x v="1"/>
    <x v="1"/>
    <x v="17"/>
    <n v="1"/>
    <n v="20.28"/>
    <n v="0"/>
    <n v="20.28"/>
    <n v="8.91"/>
    <n v="2.2400000000000002"/>
    <x v="2"/>
    <n v="20.28"/>
    <n v="0.11045364891518739"/>
    <n v="29.19"/>
  </r>
  <r>
    <x v="241"/>
    <x v="124"/>
    <s v="Kenji Robinson"/>
    <x v="1"/>
    <s v="Mexico"/>
    <x v="0"/>
    <x v="2"/>
    <x v="36"/>
    <n v="7"/>
    <n v="263.11"/>
    <n v="10"/>
    <n v="1657.59"/>
    <n v="16.54"/>
    <n v="535.99"/>
    <x v="2"/>
    <n v="1841.77"/>
    <n v="0.32335499128252465"/>
    <n v="1674.1299999999999"/>
  </r>
  <r>
    <x v="242"/>
    <x v="124"/>
    <s v="Robert Sharma"/>
    <x v="1"/>
    <s v="Australia"/>
    <x v="3"/>
    <x v="2"/>
    <x v="36"/>
    <n v="1"/>
    <n v="271.69"/>
    <n v="20"/>
    <n v="217.35"/>
    <n v="10.66"/>
    <n v="43.68"/>
    <x v="0"/>
    <n v="271.69"/>
    <n v="0.20096618357487922"/>
    <n v="228.01"/>
  </r>
  <r>
    <x v="243"/>
    <x v="125"/>
    <s v="Chen Smith"/>
    <x v="0"/>
    <s v="Germany"/>
    <x v="1"/>
    <x v="2"/>
    <x v="32"/>
    <n v="4"/>
    <n v="43.62"/>
    <n v="15"/>
    <n v="148.31"/>
    <n v="15.81"/>
    <n v="27.81"/>
    <x v="0"/>
    <n v="174.48"/>
    <n v="0.18751264243813631"/>
    <n v="164.12"/>
  </r>
  <r>
    <x v="244"/>
    <x v="126"/>
    <s v="Kenji Leroy"/>
    <x v="0"/>
    <s v="Japan"/>
    <x v="3"/>
    <x v="3"/>
    <x v="33"/>
    <n v="6"/>
    <n v="36.82"/>
    <n v="10"/>
    <n v="198.83"/>
    <n v="13.78"/>
    <n v="74.59"/>
    <x v="1"/>
    <n v="220.92000000000002"/>
    <n v="0.37514459588593269"/>
    <n v="212.61"/>
  </r>
  <r>
    <x v="245"/>
    <x v="126"/>
    <s v="Richard Li"/>
    <x v="1"/>
    <s v="Spain"/>
    <x v="1"/>
    <x v="1"/>
    <x v="19"/>
    <n v="1"/>
    <n v="10.08"/>
    <n v="15"/>
    <n v="8.57"/>
    <n v="8.15"/>
    <n v="-4.12"/>
    <x v="1"/>
    <n v="10.08"/>
    <n v="-0.48074679113185531"/>
    <n v="16.72"/>
  </r>
  <r>
    <x v="246"/>
    <x v="126"/>
    <s v="Karen Anderson"/>
    <x v="1"/>
    <s v="Italy"/>
    <x v="1"/>
    <x v="1"/>
    <x v="38"/>
    <n v="3"/>
    <n v="6.18"/>
    <n v="15"/>
    <n v="15.76"/>
    <n v="9.18"/>
    <n v="-1.76"/>
    <x v="1"/>
    <n v="18.54"/>
    <n v="-0.1116751269035533"/>
    <n v="24.939999999999998"/>
  </r>
  <r>
    <x v="247"/>
    <x v="127"/>
    <s v="Zara Kim"/>
    <x v="0"/>
    <s v="Mexico"/>
    <x v="0"/>
    <x v="0"/>
    <x v="7"/>
    <n v="8"/>
    <n v="64.14"/>
    <n v="15"/>
    <n v="436.15"/>
    <n v="22.64"/>
    <n v="131.29"/>
    <x v="1"/>
    <n v="513.12"/>
    <n v="0.30102029118422563"/>
    <n v="458.78999999999996"/>
  </r>
  <r>
    <x v="248"/>
    <x v="128"/>
    <s v="Jennifer Nilsson"/>
    <x v="1"/>
    <s v="Japan"/>
    <x v="3"/>
    <x v="0"/>
    <x v="35"/>
    <n v="1"/>
    <n v="29.03"/>
    <n v="5"/>
    <n v="27.58"/>
    <n v="10.81"/>
    <n v="0.8"/>
    <x v="1"/>
    <n v="29.03"/>
    <n v="2.9006526468455404E-2"/>
    <n v="38.39"/>
  </r>
  <r>
    <x v="249"/>
    <x v="128"/>
    <s v="Christopher Harris"/>
    <x v="1"/>
    <s v="Australia"/>
    <x v="3"/>
    <x v="1"/>
    <x v="25"/>
    <n v="1"/>
    <n v="6.69"/>
    <n v="0"/>
    <n v="6.69"/>
    <n v="10.56"/>
    <n v="-6.88"/>
    <x v="0"/>
    <n v="6.69"/>
    <n v="-1.0284005979073243"/>
    <n v="17.25"/>
  </r>
  <r>
    <x v="250"/>
    <x v="128"/>
    <s v="Marco Martin"/>
    <x v="1"/>
    <s v="Australia"/>
    <x v="3"/>
    <x v="0"/>
    <x v="7"/>
    <n v="4"/>
    <n v="59.29"/>
    <n v="20"/>
    <n v="189.73"/>
    <n v="13.59"/>
    <n v="45.7"/>
    <x v="0"/>
    <n v="237.16"/>
    <n v="0.24086860275127817"/>
    <n v="203.32"/>
  </r>
  <r>
    <x v="251"/>
    <x v="128"/>
    <s v="Emma Zhang"/>
    <x v="0"/>
    <s v="Saudi Arabia"/>
    <x v="2"/>
    <x v="3"/>
    <x v="9"/>
    <n v="1"/>
    <n v="31.48"/>
    <n v="5"/>
    <n v="29.91"/>
    <n v="12.24"/>
    <n v="1.93"/>
    <x v="2"/>
    <n v="31.48"/>
    <n v="6.4526914075560007E-2"/>
    <n v="42.15"/>
  </r>
  <r>
    <x v="252"/>
    <x v="128"/>
    <s v="David Smith"/>
    <x v="0"/>
    <s v="France"/>
    <x v="1"/>
    <x v="1"/>
    <x v="23"/>
    <n v="3"/>
    <n v="7.93"/>
    <n v="0"/>
    <n v="23.79"/>
    <n v="14.01"/>
    <n v="-0.93"/>
    <x v="2"/>
    <n v="23.79"/>
    <n v="-3.9092055485498114E-2"/>
    <n v="37.799999999999997"/>
  </r>
  <r>
    <x v="253"/>
    <x v="129"/>
    <s v="Wei Romano"/>
    <x v="1"/>
    <s v="Nigeria"/>
    <x v="2"/>
    <x v="0"/>
    <x v="29"/>
    <n v="6"/>
    <n v="24.62"/>
    <n v="5"/>
    <n v="140.33000000000001"/>
    <n v="24.76"/>
    <n v="34.32"/>
    <x v="1"/>
    <n v="147.72"/>
    <n v="0.24456637924891325"/>
    <n v="165.09"/>
  </r>
  <r>
    <x v="254"/>
    <x v="129"/>
    <s v="Zara Rodriguez"/>
    <x v="0"/>
    <s v="United Kingdom"/>
    <x v="1"/>
    <x v="0"/>
    <x v="31"/>
    <n v="4"/>
    <n v="72.94"/>
    <n v="20"/>
    <n v="233.41"/>
    <n v="16.18"/>
    <n v="56.76"/>
    <x v="0"/>
    <n v="291.76"/>
    <n v="0.24317724176342059"/>
    <n v="249.59"/>
  </r>
  <r>
    <x v="255"/>
    <x v="129"/>
    <s v="Zara Ferrari"/>
    <x v="1"/>
    <s v="United States"/>
    <x v="0"/>
    <x v="0"/>
    <x v="35"/>
    <n v="2"/>
    <n v="32.450000000000003"/>
    <n v="10"/>
    <n v="58.41"/>
    <n v="8.6199999999999992"/>
    <n v="14.09"/>
    <x v="1"/>
    <n v="64.900000000000006"/>
    <n v="0.24122581749700395"/>
    <n v="67.03"/>
  </r>
  <r>
    <x v="256"/>
    <x v="130"/>
    <s v="Omar Garcia"/>
    <x v="0"/>
    <s v="China"/>
    <x v="3"/>
    <x v="1"/>
    <x v="38"/>
    <n v="6"/>
    <n v="5.73"/>
    <n v="15"/>
    <n v="29.22"/>
    <n v="18.91"/>
    <n v="-5.16"/>
    <x v="0"/>
    <n v="34.380000000000003"/>
    <n v="-0.17659137577002054"/>
    <n v="48.129999999999995"/>
  </r>
  <r>
    <x v="257"/>
    <x v="130"/>
    <s v="Hans Yamamoto"/>
    <x v="1"/>
    <s v="South Korea"/>
    <x v="3"/>
    <x v="3"/>
    <x v="9"/>
    <n v="4"/>
    <n v="38.869999999999997"/>
    <n v="5"/>
    <n v="147.71"/>
    <n v="14.04"/>
    <n v="55.93"/>
    <x v="1"/>
    <n v="155.47999999999999"/>
    <n v="0.37864734953625345"/>
    <n v="161.75"/>
  </r>
  <r>
    <x v="258"/>
    <x v="130"/>
    <s v="Nadia Costa"/>
    <x v="1"/>
    <s v="United States"/>
    <x v="0"/>
    <x v="1"/>
    <x v="2"/>
    <n v="2"/>
    <n v="6.85"/>
    <n v="0"/>
    <n v="13.7"/>
    <n v="7.41"/>
    <n v="0.12"/>
    <x v="1"/>
    <n v="13.7"/>
    <n v="8.7591240875912416E-3"/>
    <n v="21.11"/>
  </r>
  <r>
    <x v="259"/>
    <x v="131"/>
    <s v="Mia Sharma"/>
    <x v="1"/>
    <s v="United States"/>
    <x v="0"/>
    <x v="2"/>
    <x v="34"/>
    <n v="2"/>
    <n v="16.260000000000002"/>
    <n v="5"/>
    <n v="30.89"/>
    <n v="6.26"/>
    <n v="5.12"/>
    <x v="2"/>
    <n v="32.520000000000003"/>
    <n v="0.16574943347361606"/>
    <n v="37.15"/>
  </r>
  <r>
    <x v="260"/>
    <x v="131"/>
    <s v="William Hassan"/>
    <x v="0"/>
    <s v="Saudi Arabia"/>
    <x v="2"/>
    <x v="0"/>
    <x v="35"/>
    <n v="1"/>
    <n v="23.01"/>
    <n v="5"/>
    <n v="21.86"/>
    <n v="13.14"/>
    <n v="-3.94"/>
    <x v="1"/>
    <n v="23.01"/>
    <n v="-0.18023787740164685"/>
    <n v="35"/>
  </r>
  <r>
    <x v="261"/>
    <x v="131"/>
    <s v="Ali Johansson"/>
    <x v="2"/>
    <s v="Saudi Arabia"/>
    <x v="2"/>
    <x v="1"/>
    <x v="6"/>
    <n v="4"/>
    <n v="22.5"/>
    <n v="15"/>
    <n v="76.5"/>
    <n v="20.57"/>
    <n v="15.43"/>
    <x v="0"/>
    <n v="90"/>
    <n v="0.20169934640522874"/>
    <n v="97.07"/>
  </r>
  <r>
    <x v="262"/>
    <x v="132"/>
    <s v="Amir Chen"/>
    <x v="1"/>
    <s v="Canada"/>
    <x v="0"/>
    <x v="2"/>
    <x v="15"/>
    <n v="3"/>
    <n v="229.47"/>
    <n v="15"/>
    <n v="585.15"/>
    <n v="9.83"/>
    <n v="162.27000000000001"/>
    <x v="1"/>
    <n v="688.41"/>
    <n v="0.27731350935657528"/>
    <n v="594.98"/>
  </r>
  <r>
    <x v="263"/>
    <x v="133"/>
    <s v="Ethan Park"/>
    <x v="2"/>
    <s v="Canada"/>
    <x v="0"/>
    <x v="2"/>
    <x v="14"/>
    <n v="5"/>
    <n v="336.47"/>
    <n v="0"/>
    <n v="1682.35"/>
    <n v="15.78"/>
    <n v="657.16"/>
    <x v="1"/>
    <n v="1682.3500000000001"/>
    <n v="0.39062026332213867"/>
    <n v="1698.1299999999999"/>
  </r>
  <r>
    <x v="264"/>
    <x v="133"/>
    <s v="Christopher Robinson"/>
    <x v="1"/>
    <s v="Australia"/>
    <x v="3"/>
    <x v="2"/>
    <x v="5"/>
    <n v="2"/>
    <n v="122.54"/>
    <n v="0"/>
    <n v="245.08"/>
    <n v="11.78"/>
    <n v="86.25"/>
    <x v="1"/>
    <n v="245.08"/>
    <n v="0.35192590174636851"/>
    <n v="256.86"/>
  </r>
  <r>
    <x v="265"/>
    <x v="133"/>
    <s v="Noah Khan"/>
    <x v="2"/>
    <s v="United States"/>
    <x v="0"/>
    <x v="0"/>
    <x v="22"/>
    <n v="5"/>
    <n v="88.03"/>
    <n v="15"/>
    <n v="374.13"/>
    <n v="16.63"/>
    <n v="115.42"/>
    <x v="1"/>
    <n v="440.15"/>
    <n v="0.30850239221660919"/>
    <n v="390.76"/>
  </r>
  <r>
    <x v="266"/>
    <x v="133"/>
    <s v="Linda Smith"/>
    <x v="1"/>
    <s v="United Kingdom"/>
    <x v="1"/>
    <x v="2"/>
    <x v="34"/>
    <n v="4"/>
    <n v="24.66"/>
    <n v="0"/>
    <n v="98.64"/>
    <n v="16.03"/>
    <n v="23.43"/>
    <x v="0"/>
    <n v="98.64"/>
    <n v="0.23753041362530414"/>
    <n v="114.67"/>
  </r>
  <r>
    <x v="267"/>
    <x v="133"/>
    <s v="Isabella Jackson"/>
    <x v="1"/>
    <s v="Italy"/>
    <x v="1"/>
    <x v="0"/>
    <x v="3"/>
    <n v="3"/>
    <n v="60.58"/>
    <n v="10"/>
    <n v="163.57"/>
    <n v="9.75"/>
    <n v="53.86"/>
    <x v="1"/>
    <n v="181.74"/>
    <n v="0.32927798496056737"/>
    <n v="173.32"/>
  </r>
  <r>
    <x v="268"/>
    <x v="134"/>
    <s v="Sarah Kim"/>
    <x v="0"/>
    <s v="United Kingdom"/>
    <x v="1"/>
    <x v="0"/>
    <x v="1"/>
    <n v="3"/>
    <n v="158.55000000000001"/>
    <n v="15"/>
    <n v="404.3"/>
    <n v="11.67"/>
    <n v="131.02000000000001"/>
    <x v="1"/>
    <n v="475.65000000000003"/>
    <n v="0.32406628741033888"/>
    <n v="415.97"/>
  </r>
  <r>
    <x v="269"/>
    <x v="134"/>
    <s v="James Suzuki"/>
    <x v="0"/>
    <s v="United States"/>
    <x v="0"/>
    <x v="2"/>
    <x v="21"/>
    <n v="6"/>
    <n v="43.48"/>
    <n v="15"/>
    <n v="221.75"/>
    <n v="13.94"/>
    <n v="51.28"/>
    <x v="3"/>
    <n v="260.88"/>
    <n v="0.23125140924464488"/>
    <n v="235.69"/>
  </r>
  <r>
    <x v="270"/>
    <x v="134"/>
    <s v="Wei Harris"/>
    <x v="1"/>
    <s v="Japan"/>
    <x v="3"/>
    <x v="0"/>
    <x v="7"/>
    <n v="15"/>
    <n v="33.119999999999997"/>
    <n v="0"/>
    <n v="496.8"/>
    <n v="38.18"/>
    <n v="185.38"/>
    <x v="1"/>
    <n v="496.79999999999995"/>
    <n v="0.37314814814814812"/>
    <n v="534.98"/>
  </r>
  <r>
    <x v="271"/>
    <x v="135"/>
    <s v="Thomas Li"/>
    <x v="1"/>
    <s v="Mexico"/>
    <x v="0"/>
    <x v="0"/>
    <x v="18"/>
    <n v="1"/>
    <n v="30.15"/>
    <n v="15"/>
    <n v="25.63"/>
    <n v="6.6"/>
    <n v="2.4500000000000002"/>
    <x v="1"/>
    <n v="30.15"/>
    <n v="9.5591104174795175E-2"/>
    <n v="32.229999999999997"/>
  </r>
  <r>
    <x v="272"/>
    <x v="135"/>
    <s v="Michael Khan"/>
    <x v="0"/>
    <s v="Mexico"/>
    <x v="0"/>
    <x v="1"/>
    <x v="12"/>
    <n v="3"/>
    <n v="18.829999999999998"/>
    <n v="10"/>
    <n v="50.84"/>
    <n v="10.96"/>
    <n v="14.46"/>
    <x v="1"/>
    <n v="56.489999999999995"/>
    <n v="0.28442171518489379"/>
    <n v="61.800000000000004"/>
  </r>
  <r>
    <x v="273"/>
    <x v="136"/>
    <s v="Isabella Ahmed"/>
    <x v="1"/>
    <s v="India"/>
    <x v="3"/>
    <x v="3"/>
    <x v="33"/>
    <n v="5"/>
    <n v="17.239999999999998"/>
    <n v="0"/>
    <n v="86.2"/>
    <n v="16.2"/>
    <n v="26.9"/>
    <x v="1"/>
    <n v="86.199999999999989"/>
    <n v="0.31206496519721577"/>
    <n v="102.4"/>
  </r>
  <r>
    <x v="274"/>
    <x v="136"/>
    <s v="Felix Hassan"/>
    <x v="2"/>
    <s v="Italy"/>
    <x v="1"/>
    <x v="1"/>
    <x v="10"/>
    <n v="1"/>
    <n v="6.68"/>
    <n v="15"/>
    <n v="5.68"/>
    <n v="8.2200000000000006"/>
    <n v="-5.55"/>
    <x v="1"/>
    <n v="6.68"/>
    <n v="-0.977112676056338"/>
    <n v="13.9"/>
  </r>
  <r>
    <x v="275"/>
    <x v="137"/>
    <s v="Amir Thompson"/>
    <x v="0"/>
    <s v="South Africa"/>
    <x v="2"/>
    <x v="2"/>
    <x v="21"/>
    <n v="9"/>
    <n v="33.65"/>
    <n v="5"/>
    <n v="287.70999999999998"/>
    <n v="16.739999999999998"/>
    <n v="89.26"/>
    <x v="0"/>
    <n v="302.84999999999997"/>
    <n v="0.31024295297348026"/>
    <n v="304.45"/>
  </r>
  <r>
    <x v="276"/>
    <x v="137"/>
    <s v="Chen Miller"/>
    <x v="1"/>
    <s v="Italy"/>
    <x v="1"/>
    <x v="0"/>
    <x v="18"/>
    <n v="3"/>
    <n v="69.430000000000007"/>
    <n v="5"/>
    <n v="197.88"/>
    <n v="10.72"/>
    <n v="72.599999999999994"/>
    <x v="2"/>
    <n v="208.29000000000002"/>
    <n v="0.36688902365069737"/>
    <n v="208.6"/>
  </r>
  <r>
    <x v="277"/>
    <x v="138"/>
    <s v="Priya Jackson"/>
    <x v="1"/>
    <s v="Italy"/>
    <x v="1"/>
    <x v="2"/>
    <x v="14"/>
    <n v="10"/>
    <n v="398.27"/>
    <n v="5"/>
    <n v="3783.56"/>
    <n v="20.309999999999999"/>
    <n v="1373.63"/>
    <x v="0"/>
    <n v="3982.7"/>
    <n v="0.36305225766209603"/>
    <n v="3803.87"/>
  </r>
  <r>
    <x v="278"/>
    <x v="139"/>
    <s v="Karen Wang"/>
    <x v="0"/>
    <s v="Saudi Arabia"/>
    <x v="2"/>
    <x v="2"/>
    <x v="4"/>
    <n v="4"/>
    <n v="114.01"/>
    <n v="0"/>
    <n v="456.04"/>
    <n v="13.78"/>
    <n v="168.64"/>
    <x v="2"/>
    <n v="456.04"/>
    <n v="0.36979212349793872"/>
    <n v="469.82"/>
  </r>
  <r>
    <x v="279"/>
    <x v="139"/>
    <s v="Carlos Dubois"/>
    <x v="1"/>
    <s v="Brazil"/>
    <x v="4"/>
    <x v="3"/>
    <x v="37"/>
    <n v="1"/>
    <n v="79.09"/>
    <n v="20"/>
    <n v="63.27"/>
    <n v="10.51"/>
    <n v="13.22"/>
    <x v="1"/>
    <n v="79.09"/>
    <n v="0.20894578789315632"/>
    <n v="73.78"/>
  </r>
  <r>
    <x v="280"/>
    <x v="139"/>
    <s v="Raj Chen"/>
    <x v="2"/>
    <s v="Japan"/>
    <x v="3"/>
    <x v="1"/>
    <x v="20"/>
    <n v="2"/>
    <n v="12.13"/>
    <n v="15"/>
    <n v="20.62"/>
    <n v="12.26"/>
    <n v="-2.56"/>
    <x v="0"/>
    <n v="24.26"/>
    <n v="-0.12415130940834142"/>
    <n v="32.880000000000003"/>
  </r>
  <r>
    <x v="281"/>
    <x v="140"/>
    <s v="Xiao Taylor"/>
    <x v="0"/>
    <s v="UAE"/>
    <x v="2"/>
    <x v="2"/>
    <x v="32"/>
    <n v="4"/>
    <n v="42.27"/>
    <n v="15"/>
    <n v="143.72"/>
    <n v="16.600000000000001"/>
    <n v="25.67"/>
    <x v="3"/>
    <n v="169.08"/>
    <n v="0.17861118842193155"/>
    <n v="160.32"/>
  </r>
  <r>
    <x v="282"/>
    <x v="141"/>
    <s v="Fatima Jackson"/>
    <x v="2"/>
    <s v="Germany"/>
    <x v="1"/>
    <x v="0"/>
    <x v="29"/>
    <n v="3"/>
    <n v="48.52"/>
    <n v="15"/>
    <n v="123.73"/>
    <n v="13.06"/>
    <n v="30.61"/>
    <x v="1"/>
    <n v="145.56"/>
    <n v="0.24739351814434654"/>
    <n v="136.79"/>
  </r>
  <r>
    <x v="283"/>
    <x v="142"/>
    <s v="William Clark"/>
    <x v="0"/>
    <s v="Mexico"/>
    <x v="0"/>
    <x v="3"/>
    <x v="30"/>
    <n v="4"/>
    <n v="27.6"/>
    <n v="10"/>
    <n v="99.36"/>
    <n v="13.33"/>
    <n v="30.83"/>
    <x v="2"/>
    <n v="110.4"/>
    <n v="0.31028582930756843"/>
    <n v="112.69"/>
  </r>
  <r>
    <x v="284"/>
    <x v="143"/>
    <s v="Emma Pereira"/>
    <x v="1"/>
    <s v="Canada"/>
    <x v="0"/>
    <x v="1"/>
    <x v="12"/>
    <n v="11"/>
    <n v="23.39"/>
    <n v="10"/>
    <n v="231.56"/>
    <n v="14.23"/>
    <n v="101.55"/>
    <x v="1"/>
    <n v="257.29000000000002"/>
    <n v="0.43854724477457246"/>
    <n v="245.79"/>
  </r>
  <r>
    <x v="285"/>
    <x v="143"/>
    <s v="Ahmed Garcia"/>
    <x v="0"/>
    <s v="UAE"/>
    <x v="2"/>
    <x v="3"/>
    <x v="30"/>
    <n v="10"/>
    <n v="14.57"/>
    <n v="5"/>
    <n v="138.41"/>
    <n v="35.54"/>
    <n v="30.02"/>
    <x v="2"/>
    <n v="145.69999999999999"/>
    <n v="0.21689184307492235"/>
    <n v="173.95"/>
  </r>
  <r>
    <x v="286"/>
    <x v="143"/>
    <s v="Ayumi Robinson"/>
    <x v="0"/>
    <s v="Australia"/>
    <x v="3"/>
    <x v="2"/>
    <x v="36"/>
    <n v="1"/>
    <n v="250.47"/>
    <n v="5"/>
    <n v="237.95"/>
    <n v="10.78"/>
    <n v="76.89"/>
    <x v="3"/>
    <n v="250.47"/>
    <n v="0.32313511241857534"/>
    <n v="248.73"/>
  </r>
  <r>
    <x v="287"/>
    <x v="144"/>
    <s v="Mary Johansson"/>
    <x v="1"/>
    <s v="India"/>
    <x v="3"/>
    <x v="0"/>
    <x v="35"/>
    <n v="7"/>
    <n v="57.98"/>
    <n v="15"/>
    <n v="344.98"/>
    <n v="16.8"/>
    <n v="104.96"/>
    <x v="2"/>
    <n v="405.85999999999996"/>
    <n v="0.30424952171140351"/>
    <n v="361.78000000000003"/>
  </r>
  <r>
    <x v="288"/>
    <x v="145"/>
    <s v="Michael Martin"/>
    <x v="1"/>
    <s v="Saudi Arabia"/>
    <x v="2"/>
    <x v="1"/>
    <x v="20"/>
    <n v="1"/>
    <n v="19.940000000000001"/>
    <n v="10"/>
    <n v="17.95"/>
    <n v="11.66"/>
    <n v="-2.68"/>
    <x v="1"/>
    <n v="19.940000000000001"/>
    <n v="-0.14930362116991644"/>
    <n v="29.61"/>
  </r>
  <r>
    <x v="289"/>
    <x v="146"/>
    <s v="Karen Sato"/>
    <x v="0"/>
    <s v="Germany"/>
    <x v="1"/>
    <x v="3"/>
    <x v="33"/>
    <n v="3"/>
    <n v="45.1"/>
    <n v="10"/>
    <n v="121.77"/>
    <n v="14.28"/>
    <n v="39.840000000000003"/>
    <x v="1"/>
    <n v="135.30000000000001"/>
    <n v="0.32717418083271743"/>
    <n v="136.04999999999998"/>
  </r>
  <r>
    <x v="290"/>
    <x v="146"/>
    <s v="Isabella Kumar"/>
    <x v="0"/>
    <s v="Italy"/>
    <x v="1"/>
    <x v="1"/>
    <x v="20"/>
    <n v="2"/>
    <n v="10.66"/>
    <n v="10"/>
    <n v="19.190000000000001"/>
    <n v="11.01"/>
    <n v="-1.41"/>
    <x v="0"/>
    <n v="21.32"/>
    <n v="-7.3475768629494523E-2"/>
    <n v="30.200000000000003"/>
  </r>
  <r>
    <x v="291"/>
    <x v="146"/>
    <s v="Carlos Rodriguez"/>
    <x v="1"/>
    <s v="UAE"/>
    <x v="2"/>
    <x v="3"/>
    <x v="26"/>
    <n v="1"/>
    <n v="26.53"/>
    <n v="0"/>
    <n v="26.53"/>
    <n v="13.43"/>
    <n v="-0.16"/>
    <x v="0"/>
    <n v="26.53"/>
    <n v="-6.0309084055785904E-3"/>
    <n v="39.96"/>
  </r>
  <r>
    <x v="292"/>
    <x v="146"/>
    <s v="James Tanaka"/>
    <x v="1"/>
    <s v="Saudi Arabia"/>
    <x v="2"/>
    <x v="2"/>
    <x v="21"/>
    <n v="5"/>
    <n v="94.63"/>
    <n v="0"/>
    <n v="473.15"/>
    <n v="18.91"/>
    <n v="170.35"/>
    <x v="1"/>
    <n v="473.15"/>
    <n v="0.36003381591461481"/>
    <n v="492.06"/>
  </r>
  <r>
    <x v="293"/>
    <x v="147"/>
    <s v="Priya Thomas"/>
    <x v="1"/>
    <s v="Italy"/>
    <x v="1"/>
    <x v="3"/>
    <x v="37"/>
    <n v="2"/>
    <n v="30.06"/>
    <n v="10"/>
    <n v="54.11"/>
    <n v="11.77"/>
    <n v="12.28"/>
    <x v="0"/>
    <n v="60.12"/>
    <n v="0.2269451118092774"/>
    <n v="65.88"/>
  </r>
  <r>
    <x v="294"/>
    <x v="147"/>
    <s v="Mia Harris"/>
    <x v="0"/>
    <s v="Canada"/>
    <x v="0"/>
    <x v="3"/>
    <x v="33"/>
    <n v="3"/>
    <n v="40.18"/>
    <n v="0"/>
    <n v="120.54"/>
    <n v="12.31"/>
    <n v="47.96"/>
    <x v="0"/>
    <n v="120.53999999999999"/>
    <n v="0.39787622366019576"/>
    <n v="132.85"/>
  </r>
  <r>
    <x v="295"/>
    <x v="148"/>
    <s v="Olga Nilsson"/>
    <x v="1"/>
    <s v="Canada"/>
    <x v="0"/>
    <x v="0"/>
    <x v="3"/>
    <n v="9"/>
    <n v="74.430000000000007"/>
    <n v="10"/>
    <n v="602.88"/>
    <n v="11.59"/>
    <n v="222.86"/>
    <x v="1"/>
    <n v="669.87000000000012"/>
    <n v="0.36965897027600852"/>
    <n v="614.47"/>
  </r>
  <r>
    <x v="296"/>
    <x v="148"/>
    <s v="Olga Patel"/>
    <x v="1"/>
    <s v="Japan"/>
    <x v="3"/>
    <x v="3"/>
    <x v="27"/>
    <n v="1"/>
    <n v="24.48"/>
    <n v="20"/>
    <n v="19.579999999999998"/>
    <n v="9.7100000000000009"/>
    <n v="-2.37"/>
    <x v="3"/>
    <n v="24.48"/>
    <n v="-0.12104187946884577"/>
    <n v="29.29"/>
  </r>
  <r>
    <x v="297"/>
    <x v="149"/>
    <s v="Priya Schmidt"/>
    <x v="0"/>
    <s v="Spain"/>
    <x v="1"/>
    <x v="0"/>
    <x v="7"/>
    <n v="3"/>
    <n v="62.62"/>
    <n v="10"/>
    <n v="169.07"/>
    <n v="12.18"/>
    <n v="53.57"/>
    <x v="0"/>
    <n v="187.85999999999999"/>
    <n v="0.31685100845803515"/>
    <n v="181.25"/>
  </r>
  <r>
    <x v="298"/>
    <x v="149"/>
    <s v="Noah Jones"/>
    <x v="2"/>
    <s v="Australia"/>
    <x v="3"/>
    <x v="0"/>
    <x v="22"/>
    <n v="3"/>
    <n v="97.31"/>
    <n v="10"/>
    <n v="262.74"/>
    <n v="15.03"/>
    <n v="87.15"/>
    <x v="1"/>
    <n v="291.93"/>
    <n v="0.33169673441424985"/>
    <n v="277.77"/>
  </r>
  <r>
    <x v="299"/>
    <x v="149"/>
    <s v="Oscar Schmidt"/>
    <x v="1"/>
    <s v="Australia"/>
    <x v="3"/>
    <x v="1"/>
    <x v="23"/>
    <n v="5"/>
    <n v="18.79"/>
    <n v="10"/>
    <n v="84.55"/>
    <n v="15.23"/>
    <n v="27.04"/>
    <x v="2"/>
    <n v="93.949999999999989"/>
    <n v="0.31981076286221172"/>
    <n v="99.78"/>
  </r>
  <r>
    <x v="300"/>
    <x v="149"/>
    <s v="Marco Harris"/>
    <x v="1"/>
    <s v="UAE"/>
    <x v="2"/>
    <x v="2"/>
    <x v="14"/>
    <n v="1"/>
    <n v="192.58"/>
    <n v="20"/>
    <n v="154.06"/>
    <n v="12.06"/>
    <n v="26.45"/>
    <x v="2"/>
    <n v="192.58"/>
    <n v="0.17168635596520834"/>
    <n v="166.12"/>
  </r>
  <r>
    <x v="301"/>
    <x v="149"/>
    <s v="Giulia Johnson"/>
    <x v="0"/>
    <s v="Mexico"/>
    <x v="0"/>
    <x v="3"/>
    <x v="27"/>
    <n v="3"/>
    <n v="48.59"/>
    <n v="15"/>
    <n v="123.9"/>
    <n v="9.9"/>
    <n v="41.12"/>
    <x v="1"/>
    <n v="145.77000000000001"/>
    <n v="0.33188054882970136"/>
    <n v="133.80000000000001"/>
  </r>
  <r>
    <x v="302"/>
    <x v="150"/>
    <s v="Sophie Harris"/>
    <x v="1"/>
    <s v="India"/>
    <x v="3"/>
    <x v="0"/>
    <x v="18"/>
    <n v="2"/>
    <n v="46.18"/>
    <n v="5"/>
    <n v="87.74"/>
    <n v="12.38"/>
    <n v="24.56"/>
    <x v="1"/>
    <n v="92.36"/>
    <n v="0.27991793936630954"/>
    <n v="100.11999999999999"/>
  </r>
  <r>
    <x v="303"/>
    <x v="150"/>
    <s v="Lucas Chen"/>
    <x v="0"/>
    <s v="Saudi Arabia"/>
    <x v="2"/>
    <x v="2"/>
    <x v="4"/>
    <n v="7"/>
    <n v="309.68"/>
    <n v="20"/>
    <n v="1734.21"/>
    <n v="19.940000000000001"/>
    <n v="413.61"/>
    <x v="1"/>
    <n v="2167.7600000000002"/>
    <n v="0.23850052761776255"/>
    <n v="1754.15"/>
  </r>
  <r>
    <x v="304"/>
    <x v="151"/>
    <s v="Robert Smith"/>
    <x v="2"/>
    <s v="South Africa"/>
    <x v="2"/>
    <x v="2"/>
    <x v="34"/>
    <n v="1"/>
    <n v="24.14"/>
    <n v="0"/>
    <n v="24.14"/>
    <n v="13.18"/>
    <n v="-3.52"/>
    <x v="1"/>
    <n v="24.14"/>
    <n v="-0.14581607290803644"/>
    <n v="37.32"/>
  </r>
  <r>
    <x v="305"/>
    <x v="152"/>
    <s v="Ingrid Khan"/>
    <x v="2"/>
    <s v="Mexico"/>
    <x v="0"/>
    <x v="1"/>
    <x v="17"/>
    <n v="4"/>
    <n v="15.95"/>
    <n v="15"/>
    <n v="54.23"/>
    <n v="8.6199999999999992"/>
    <n v="16.899999999999999"/>
    <x v="0"/>
    <n v="63.8"/>
    <n v="0.31163562603724876"/>
    <n v="62.849999999999994"/>
  </r>
  <r>
    <x v="306"/>
    <x v="153"/>
    <s v="Lucas White"/>
    <x v="2"/>
    <s v="Canada"/>
    <x v="0"/>
    <x v="1"/>
    <x v="25"/>
    <n v="1"/>
    <n v="6.99"/>
    <n v="10"/>
    <n v="6.29"/>
    <n v="6.69"/>
    <n v="-3.55"/>
    <x v="1"/>
    <n v="6.99"/>
    <n v="-0.56438791732909377"/>
    <n v="12.98"/>
  </r>
  <r>
    <x v="307"/>
    <x v="153"/>
    <s v="Nadia Jackson"/>
    <x v="0"/>
    <s v="United States"/>
    <x v="0"/>
    <x v="1"/>
    <x v="23"/>
    <n v="2"/>
    <n v="19.72"/>
    <n v="10"/>
    <n v="35.5"/>
    <n v="6.38"/>
    <n v="11.37"/>
    <x v="3"/>
    <n v="39.44"/>
    <n v="0.32028169014084507"/>
    <n v="41.88"/>
  </r>
  <r>
    <x v="308"/>
    <x v="153"/>
    <s v="Chen Jones"/>
    <x v="2"/>
    <s v="Japan"/>
    <x v="3"/>
    <x v="2"/>
    <x v="5"/>
    <n v="4"/>
    <n v="194.07"/>
    <n v="0"/>
    <n v="776.28"/>
    <n v="11.42"/>
    <n v="299.08999999999997"/>
    <x v="1"/>
    <n v="776.28"/>
    <n v="0.38528623692482095"/>
    <n v="787.69999999999993"/>
  </r>
  <r>
    <x v="309"/>
    <x v="153"/>
    <s v="Susan Miller"/>
    <x v="0"/>
    <s v="Mexico"/>
    <x v="0"/>
    <x v="0"/>
    <x v="18"/>
    <n v="2"/>
    <n v="52.02"/>
    <n v="15"/>
    <n v="88.43"/>
    <n v="7.14"/>
    <n v="24.07"/>
    <x v="2"/>
    <n v="104.04"/>
    <n v="0.27219269478683705"/>
    <n v="95.570000000000007"/>
  </r>
  <r>
    <x v="310"/>
    <x v="154"/>
    <s v="Priya Thomas"/>
    <x v="2"/>
    <s v="Argentina"/>
    <x v="4"/>
    <x v="1"/>
    <x v="23"/>
    <n v="1"/>
    <n v="19.62"/>
    <n v="5"/>
    <n v="18.64"/>
    <n v="12.48"/>
    <n v="-2.67"/>
    <x v="3"/>
    <n v="19.62"/>
    <n v="-0.14324034334763946"/>
    <n v="31.12"/>
  </r>
  <r>
    <x v="311"/>
    <x v="154"/>
    <s v="Ahmed Thompson"/>
    <x v="1"/>
    <s v="Italy"/>
    <x v="1"/>
    <x v="3"/>
    <x v="26"/>
    <n v="7"/>
    <n v="43.03"/>
    <n v="20"/>
    <n v="240.97"/>
    <n v="16.309999999999999"/>
    <n v="74.05"/>
    <x v="1"/>
    <n v="301.21000000000004"/>
    <n v="0.3072996638585716"/>
    <n v="257.27999999999997"/>
  </r>
  <r>
    <x v="312"/>
    <x v="155"/>
    <s v="Diego Kim"/>
    <x v="2"/>
    <s v="Spain"/>
    <x v="1"/>
    <x v="0"/>
    <x v="7"/>
    <n v="5"/>
    <n v="50.01"/>
    <n v="0"/>
    <n v="250.05"/>
    <n v="19.34"/>
    <n v="93.18"/>
    <x v="1"/>
    <n v="250.04999999999998"/>
    <n v="0.37264547090581884"/>
    <n v="269.39"/>
  </r>
  <r>
    <x v="313"/>
    <x v="156"/>
    <s v="Priya Martinez"/>
    <x v="1"/>
    <s v="Japan"/>
    <x v="3"/>
    <x v="2"/>
    <x v="34"/>
    <n v="3"/>
    <n v="53.14"/>
    <n v="15"/>
    <n v="135.51"/>
    <n v="14.88"/>
    <n v="24.98"/>
    <x v="2"/>
    <n v="159.42000000000002"/>
    <n v="0.18434063906722753"/>
    <n v="150.38999999999999"/>
  </r>
  <r>
    <x v="314"/>
    <x v="156"/>
    <s v="Giulia Dubois"/>
    <x v="1"/>
    <s v="Brazil"/>
    <x v="4"/>
    <x v="1"/>
    <x v="10"/>
    <n v="2"/>
    <n v="3.31"/>
    <n v="0"/>
    <n v="6.62"/>
    <n v="14.92"/>
    <n v="-11.28"/>
    <x v="1"/>
    <n v="6.62"/>
    <n v="-1.7039274924471297"/>
    <n v="21.54"/>
  </r>
  <r>
    <x v="315"/>
    <x v="157"/>
    <s v="Carlos Schmidt"/>
    <x v="0"/>
    <s v="United Kingdom"/>
    <x v="1"/>
    <x v="1"/>
    <x v="17"/>
    <n v="2"/>
    <n v="11.9"/>
    <n v="0"/>
    <n v="23.8"/>
    <n v="9.7100000000000009"/>
    <n v="3.38"/>
    <x v="2"/>
    <n v="23.8"/>
    <n v="0.14201680672268907"/>
    <n v="33.510000000000005"/>
  </r>
  <r>
    <x v="316"/>
    <x v="157"/>
    <s v="Oscar Johnson"/>
    <x v="1"/>
    <s v="United States"/>
    <x v="0"/>
    <x v="3"/>
    <x v="30"/>
    <n v="6"/>
    <n v="21.26"/>
    <n v="5"/>
    <n v="121.18"/>
    <n v="9.14"/>
    <n v="48.26"/>
    <x v="1"/>
    <n v="127.56"/>
    <n v="0.39825053639214386"/>
    <n v="130.32"/>
  </r>
  <r>
    <x v="317"/>
    <x v="157"/>
    <s v="Jennifer Garcia"/>
    <x v="1"/>
    <s v="Canada"/>
    <x v="0"/>
    <x v="3"/>
    <x v="37"/>
    <n v="1"/>
    <n v="59.16"/>
    <n v="10"/>
    <n v="53.24"/>
    <n v="6.6"/>
    <n v="17.059999999999999"/>
    <x v="1"/>
    <n v="59.16"/>
    <n v="0.32043576258452289"/>
    <n v="59.84"/>
  </r>
  <r>
    <x v="318"/>
    <x v="158"/>
    <s v="Noah Santos"/>
    <x v="1"/>
    <s v="South Korea"/>
    <x v="3"/>
    <x v="1"/>
    <x v="2"/>
    <n v="1"/>
    <n v="10.59"/>
    <n v="5"/>
    <n v="10.06"/>
    <n v="11.4"/>
    <n v="-6.11"/>
    <x v="1"/>
    <n v="10.59"/>
    <n v="-0.60735586481113324"/>
    <n v="21.46"/>
  </r>
  <r>
    <x v="319"/>
    <x v="158"/>
    <s v="Elizabeth Harris"/>
    <x v="0"/>
    <s v="Mexico"/>
    <x v="0"/>
    <x v="0"/>
    <x v="3"/>
    <n v="6"/>
    <n v="62.93"/>
    <n v="0"/>
    <n v="377.58"/>
    <n v="13.89"/>
    <n v="156.02000000000001"/>
    <x v="3"/>
    <n v="377.58"/>
    <n v="0.41321044546851005"/>
    <n v="391.46999999999997"/>
  </r>
  <r>
    <x v="320"/>
    <x v="159"/>
    <s v="Ali Jones"/>
    <x v="1"/>
    <s v="Mexico"/>
    <x v="0"/>
    <x v="3"/>
    <x v="16"/>
    <n v="4"/>
    <n v="54.62"/>
    <n v="0"/>
    <n v="218.48"/>
    <n v="11.36"/>
    <n v="97.88"/>
    <x v="1"/>
    <n v="218.48"/>
    <n v="0.44800439399487368"/>
    <n v="229.83999999999997"/>
  </r>
  <r>
    <x v="321"/>
    <x v="160"/>
    <s v="Jamal Harris"/>
    <x v="0"/>
    <s v="Saudi Arabia"/>
    <x v="2"/>
    <x v="0"/>
    <x v="18"/>
    <n v="2"/>
    <n v="42.71"/>
    <n v="20"/>
    <n v="68.34"/>
    <n v="12.22"/>
    <n v="9.14"/>
    <x v="2"/>
    <n v="85.42"/>
    <n v="0.13374304945858942"/>
    <n v="80.56"/>
  </r>
  <r>
    <x v="322"/>
    <x v="160"/>
    <s v="Elizabeth Williams"/>
    <x v="0"/>
    <s v="Italy"/>
    <x v="1"/>
    <x v="2"/>
    <x v="8"/>
    <n v="2"/>
    <n v="113.15"/>
    <n v="10"/>
    <n v="203.67"/>
    <n v="11.07"/>
    <n v="56.82"/>
    <x v="1"/>
    <n v="226.3"/>
    <n v="0.27898070408012965"/>
    <n v="214.73999999999998"/>
  </r>
  <r>
    <x v="323"/>
    <x v="160"/>
    <s v="Lucas Suzuki"/>
    <x v="0"/>
    <s v="Brazil"/>
    <x v="4"/>
    <x v="0"/>
    <x v="35"/>
    <n v="1"/>
    <n v="61.5"/>
    <n v="15"/>
    <n v="52.27"/>
    <n v="10.75"/>
    <n v="7.7"/>
    <x v="1"/>
    <n v="61.5"/>
    <n v="0.14731203367132198"/>
    <n v="63.02"/>
  </r>
  <r>
    <x v="324"/>
    <x v="161"/>
    <s v="Clara Nilsson"/>
    <x v="1"/>
    <s v="Japan"/>
    <x v="3"/>
    <x v="1"/>
    <x v="10"/>
    <n v="5"/>
    <n v="3.47"/>
    <n v="5"/>
    <n v="16.48"/>
    <n v="13.6"/>
    <n v="-4.93"/>
    <x v="3"/>
    <n v="17.350000000000001"/>
    <n v="-0.29915048543689315"/>
    <n v="30.08"/>
  </r>
  <r>
    <x v="325"/>
    <x v="161"/>
    <s v="Ali Harris"/>
    <x v="1"/>
    <s v="Australia"/>
    <x v="3"/>
    <x v="2"/>
    <x v="15"/>
    <n v="5"/>
    <n v="394.43"/>
    <n v="5"/>
    <n v="1873.54"/>
    <n v="12.1"/>
    <n v="678.15"/>
    <x v="3"/>
    <n v="1972.15"/>
    <n v="0.36196184762535094"/>
    <n v="1885.6399999999999"/>
  </r>
  <r>
    <x v="326"/>
    <x v="162"/>
    <s v="Hans Singh"/>
    <x v="2"/>
    <s v="Spain"/>
    <x v="1"/>
    <x v="2"/>
    <x v="39"/>
    <n v="4"/>
    <n v="161.93"/>
    <n v="10"/>
    <n v="582.95000000000005"/>
    <n v="10.19"/>
    <n v="184.13"/>
    <x v="3"/>
    <n v="647.72"/>
    <n v="0.31585899305257736"/>
    <n v="593.1400000000001"/>
  </r>
  <r>
    <x v="327"/>
    <x v="162"/>
    <s v="Olga Schmidt"/>
    <x v="1"/>
    <s v="South Korea"/>
    <x v="3"/>
    <x v="2"/>
    <x v="15"/>
    <n v="7"/>
    <n v="233.89"/>
    <n v="0"/>
    <n v="1637.23"/>
    <n v="21.29"/>
    <n v="633.6"/>
    <x v="1"/>
    <n v="1637.23"/>
    <n v="0.38699510759025918"/>
    <n v="1658.52"/>
  </r>
  <r>
    <x v="328"/>
    <x v="163"/>
    <s v="David Thompson"/>
    <x v="1"/>
    <s v="Germany"/>
    <x v="1"/>
    <x v="3"/>
    <x v="37"/>
    <n v="7"/>
    <n v="30.7"/>
    <n v="10"/>
    <n v="193.41"/>
    <n v="10.64"/>
    <n v="75.319999999999993"/>
    <x v="1"/>
    <n v="214.9"/>
    <n v="0.38943177705392684"/>
    <n v="204.05"/>
  </r>
  <r>
    <x v="329"/>
    <x v="163"/>
    <s v="Priya Ali"/>
    <x v="2"/>
    <s v="United Kingdom"/>
    <x v="1"/>
    <x v="3"/>
    <x v="33"/>
    <n v="5"/>
    <n v="21.72"/>
    <n v="0"/>
    <n v="108.6"/>
    <n v="10.039999999999999"/>
    <n v="44.26"/>
    <x v="2"/>
    <n v="108.6"/>
    <n v="0.40755064456721918"/>
    <n v="118.63999999999999"/>
  </r>
  <r>
    <x v="330"/>
    <x v="164"/>
    <s v="Jamal Jones"/>
    <x v="1"/>
    <s v="Canada"/>
    <x v="0"/>
    <x v="1"/>
    <x v="17"/>
    <n v="3"/>
    <n v="18.989999999999998"/>
    <n v="10"/>
    <n v="51.27"/>
    <n v="9.8699999999999992"/>
    <n v="15.76"/>
    <x v="1"/>
    <n v="56.97"/>
    <n v="0.30739223717573627"/>
    <n v="61.14"/>
  </r>
  <r>
    <x v="331"/>
    <x v="165"/>
    <s v="Thomas Thompson"/>
    <x v="1"/>
    <s v="India"/>
    <x v="3"/>
    <x v="0"/>
    <x v="0"/>
    <n v="1"/>
    <n v="190.35"/>
    <n v="10"/>
    <n v="171.31"/>
    <n v="10.96"/>
    <n v="55.66"/>
    <x v="2"/>
    <n v="190.35"/>
    <n v="0.3249080614091413"/>
    <n v="182.27"/>
  </r>
  <r>
    <x v="332"/>
    <x v="166"/>
    <s v="Fatima Costa"/>
    <x v="0"/>
    <s v="India"/>
    <x v="3"/>
    <x v="2"/>
    <x v="32"/>
    <n v="3"/>
    <n v="64.89"/>
    <n v="25"/>
    <n v="146"/>
    <n v="16.18"/>
    <n v="13.02"/>
    <x v="0"/>
    <n v="194.67000000000002"/>
    <n v="8.9178082191780819E-2"/>
    <n v="162.18"/>
  </r>
  <r>
    <x v="333"/>
    <x v="166"/>
    <s v="Diego Davis"/>
    <x v="0"/>
    <s v="Spain"/>
    <x v="1"/>
    <x v="3"/>
    <x v="33"/>
    <n v="2"/>
    <n v="27.32"/>
    <n v="10"/>
    <n v="49.18"/>
    <n v="10.74"/>
    <n v="11.12"/>
    <x v="2"/>
    <n v="54.64"/>
    <n v="0.22610817405449368"/>
    <n v="59.92"/>
  </r>
  <r>
    <x v="334"/>
    <x v="166"/>
    <s v="Omar MÃ¼ller"/>
    <x v="1"/>
    <s v="China"/>
    <x v="3"/>
    <x v="0"/>
    <x v="1"/>
    <n v="10"/>
    <n v="133.94999999999999"/>
    <n v="10"/>
    <n v="1205.55"/>
    <n v="21.46"/>
    <n v="447.36"/>
    <x v="1"/>
    <n v="1339.5"/>
    <n v="0.37108373771307707"/>
    <n v="1227.01"/>
  </r>
  <r>
    <x v="335"/>
    <x v="166"/>
    <s v="Mary Weber"/>
    <x v="0"/>
    <s v="Canada"/>
    <x v="0"/>
    <x v="0"/>
    <x v="18"/>
    <n v="2"/>
    <n v="56.54"/>
    <n v="5"/>
    <n v="107.43"/>
    <n v="7.32"/>
    <n v="37.92"/>
    <x v="2"/>
    <n v="113.08"/>
    <n v="0.3529740296006702"/>
    <n v="114.75"/>
  </r>
  <r>
    <x v="336"/>
    <x v="167"/>
    <s v="Amina Johansson"/>
    <x v="0"/>
    <s v="Spain"/>
    <x v="1"/>
    <x v="2"/>
    <x v="32"/>
    <n v="1"/>
    <n v="51.24"/>
    <n v="20"/>
    <n v="40.99"/>
    <n v="8.07"/>
    <n v="2.1800000000000002"/>
    <x v="0"/>
    <n v="51.24"/>
    <n v="5.3183703342278607E-2"/>
    <n v="49.06"/>
  </r>
  <r>
    <x v="337"/>
    <x v="167"/>
    <s v="Liam Clark"/>
    <x v="1"/>
    <s v="Argentina"/>
    <x v="4"/>
    <x v="0"/>
    <x v="1"/>
    <n v="13"/>
    <n v="145.33000000000001"/>
    <n v="5"/>
    <n v="1794.83"/>
    <n v="36.04"/>
    <n v="719.68"/>
    <x v="0"/>
    <n v="1889.2900000000002"/>
    <n v="0.40097390839243829"/>
    <n v="1830.87"/>
  </r>
  <r>
    <x v="338"/>
    <x v="168"/>
    <s v="Ethan Chen"/>
    <x v="0"/>
    <s v="Canada"/>
    <x v="0"/>
    <x v="3"/>
    <x v="33"/>
    <n v="5"/>
    <n v="27.72"/>
    <n v="5"/>
    <n v="131.66999999999999"/>
    <n v="15.56"/>
    <n v="46.81"/>
    <x v="2"/>
    <n v="138.6"/>
    <n v="0.3555099870889345"/>
    <n v="147.22999999999999"/>
  </r>
  <r>
    <x v="339"/>
    <x v="168"/>
    <s v="Clara Williams"/>
    <x v="1"/>
    <s v="Argentina"/>
    <x v="4"/>
    <x v="3"/>
    <x v="27"/>
    <n v="2"/>
    <n v="53.18"/>
    <n v="5"/>
    <n v="101.04"/>
    <n v="13.3"/>
    <n v="34.56"/>
    <x v="2"/>
    <n v="106.36"/>
    <n v="0.34204275534441808"/>
    <n v="114.34"/>
  </r>
  <r>
    <x v="340"/>
    <x v="168"/>
    <s v="Christopher Davis"/>
    <x v="1"/>
    <s v="France"/>
    <x v="1"/>
    <x v="0"/>
    <x v="31"/>
    <n v="5"/>
    <n v="167.91"/>
    <n v="0"/>
    <n v="839.55"/>
    <n v="15.17"/>
    <n v="362.63"/>
    <x v="0"/>
    <n v="839.55"/>
    <n v="0.43193377404561972"/>
    <n v="854.71999999999991"/>
  </r>
  <r>
    <x v="341"/>
    <x v="168"/>
    <s v="James Taylor"/>
    <x v="1"/>
    <s v="China"/>
    <x v="3"/>
    <x v="1"/>
    <x v="23"/>
    <n v="1"/>
    <n v="16.43"/>
    <n v="5"/>
    <n v="15.61"/>
    <n v="11.32"/>
    <n v="-3.1"/>
    <x v="3"/>
    <n v="16.43"/>
    <n v="-0.19859064702114032"/>
    <n v="26.93"/>
  </r>
  <r>
    <x v="342"/>
    <x v="169"/>
    <s v="Chen Johnson"/>
    <x v="1"/>
    <s v="Nigeria"/>
    <x v="2"/>
    <x v="2"/>
    <x v="32"/>
    <n v="2"/>
    <n v="71.010000000000005"/>
    <n v="15"/>
    <n v="120.72"/>
    <n v="13.2"/>
    <n v="22.31"/>
    <x v="0"/>
    <n v="142.02000000000001"/>
    <n v="0.18480781974817759"/>
    <n v="133.91999999999999"/>
  </r>
  <r>
    <x v="343"/>
    <x v="170"/>
    <s v="Fatima Smith"/>
    <x v="0"/>
    <s v="Colombia"/>
    <x v="4"/>
    <x v="3"/>
    <x v="24"/>
    <n v="1"/>
    <n v="41.08"/>
    <n v="0"/>
    <n v="41.08"/>
    <n v="11.71"/>
    <n v="8.83"/>
    <x v="0"/>
    <n v="41.08"/>
    <n v="0.2149464459591042"/>
    <n v="52.79"/>
  </r>
  <r>
    <x v="344"/>
    <x v="171"/>
    <s v="Lucas Jones"/>
    <x v="1"/>
    <s v="Argentina"/>
    <x v="4"/>
    <x v="2"/>
    <x v="34"/>
    <n v="1"/>
    <n v="21.14"/>
    <n v="20"/>
    <n v="16.91"/>
    <n v="12.08"/>
    <n v="-7.85"/>
    <x v="0"/>
    <n v="21.14"/>
    <n v="-0.46422235363690123"/>
    <n v="28.990000000000002"/>
  </r>
  <r>
    <x v="345"/>
    <x v="171"/>
    <s v="Karen Thomas"/>
    <x v="0"/>
    <s v="United States"/>
    <x v="0"/>
    <x v="0"/>
    <x v="29"/>
    <n v="1"/>
    <n v="52.78"/>
    <n v="0"/>
    <n v="52.78"/>
    <n v="6.2"/>
    <n v="17.55"/>
    <x v="1"/>
    <n v="52.78"/>
    <n v="0.33251231527093594"/>
    <n v="58.980000000000004"/>
  </r>
  <r>
    <x v="346"/>
    <x v="172"/>
    <s v="Priya Nilsson"/>
    <x v="1"/>
    <s v="UAE"/>
    <x v="2"/>
    <x v="1"/>
    <x v="23"/>
    <n v="1"/>
    <n v="13.41"/>
    <n v="10"/>
    <n v="12.07"/>
    <n v="12.56"/>
    <n v="-6.52"/>
    <x v="2"/>
    <n v="13.41"/>
    <n v="-0.54018227009113495"/>
    <n v="24.630000000000003"/>
  </r>
  <r>
    <x v="347"/>
    <x v="172"/>
    <s v="Elizabeth Sato"/>
    <x v="1"/>
    <s v="UAE"/>
    <x v="2"/>
    <x v="2"/>
    <x v="21"/>
    <n v="4"/>
    <n v="75.900000000000006"/>
    <n v="0"/>
    <n v="303.60000000000002"/>
    <n v="14.96"/>
    <n v="106.48"/>
    <x v="2"/>
    <n v="303.60000000000002"/>
    <n v="0.35072463768115941"/>
    <n v="318.56"/>
  </r>
  <r>
    <x v="348"/>
    <x v="173"/>
    <s v="Sakura Jones"/>
    <x v="0"/>
    <s v="Saudi Arabia"/>
    <x v="2"/>
    <x v="1"/>
    <x v="10"/>
    <n v="3"/>
    <n v="8.9499999999999993"/>
    <n v="0"/>
    <n v="26.85"/>
    <n v="18.399999999999999"/>
    <n v="-3.63"/>
    <x v="3"/>
    <n v="26.849999999999998"/>
    <n v="-0.13519553072625698"/>
    <n v="45.25"/>
  </r>
  <r>
    <x v="349"/>
    <x v="173"/>
    <s v="Xiao Smith"/>
    <x v="1"/>
    <s v="Brazil"/>
    <x v="4"/>
    <x v="0"/>
    <x v="28"/>
    <n v="1"/>
    <n v="20.02"/>
    <n v="15"/>
    <n v="17.02"/>
    <n v="10.98"/>
    <n v="-4.97"/>
    <x v="2"/>
    <n v="20.02"/>
    <n v="-0.29200940070505288"/>
    <n v="28"/>
  </r>
  <r>
    <x v="350"/>
    <x v="173"/>
    <s v="Robert Park"/>
    <x v="1"/>
    <s v="United States"/>
    <x v="0"/>
    <x v="1"/>
    <x v="20"/>
    <n v="1"/>
    <n v="10.76"/>
    <n v="10"/>
    <n v="9.68"/>
    <n v="6.28"/>
    <n v="-1.44"/>
    <x v="2"/>
    <n v="10.76"/>
    <n v="-0.1487603305785124"/>
    <n v="15.96"/>
  </r>
  <r>
    <x v="351"/>
    <x v="174"/>
    <s v="Joseph Johnson"/>
    <x v="0"/>
    <s v="United States"/>
    <x v="0"/>
    <x v="1"/>
    <x v="12"/>
    <n v="2"/>
    <n v="9.48"/>
    <n v="0"/>
    <n v="18.96"/>
    <n v="6.87"/>
    <n v="3.56"/>
    <x v="2"/>
    <n v="18.96"/>
    <n v="0.18776371308016876"/>
    <n v="25.830000000000002"/>
  </r>
  <r>
    <x v="352"/>
    <x v="174"/>
    <s v="Liam Wang"/>
    <x v="1"/>
    <s v="China"/>
    <x v="3"/>
    <x v="0"/>
    <x v="29"/>
    <n v="3"/>
    <n v="33.19"/>
    <n v="15"/>
    <n v="84.63"/>
    <n v="11.24"/>
    <n v="18.63"/>
    <x v="1"/>
    <n v="99.57"/>
    <n v="0.22013470400567176"/>
    <n v="95.86999999999999"/>
  </r>
  <r>
    <x v="353"/>
    <x v="175"/>
    <s v="Olivia Sharma"/>
    <x v="0"/>
    <s v="UAE"/>
    <x v="2"/>
    <x v="2"/>
    <x v="32"/>
    <n v="3"/>
    <n v="73.540000000000006"/>
    <n v="15"/>
    <n v="187.53"/>
    <n v="13.35"/>
    <n v="41.81"/>
    <x v="3"/>
    <n v="220.62"/>
    <n v="0.22295099450754546"/>
    <n v="200.88"/>
  </r>
  <r>
    <x v="354"/>
    <x v="176"/>
    <s v="William Martinez"/>
    <x v="0"/>
    <s v="South Korea"/>
    <x v="3"/>
    <x v="0"/>
    <x v="29"/>
    <n v="1"/>
    <n v="19.91"/>
    <n v="5"/>
    <n v="18.91"/>
    <n v="9.86"/>
    <n v="-1.9"/>
    <x v="1"/>
    <n v="19.91"/>
    <n v="-0.10047593865679534"/>
    <n v="28.77"/>
  </r>
  <r>
    <x v="355"/>
    <x v="176"/>
    <s v="Felix Costa"/>
    <x v="2"/>
    <s v="Saudi Arabia"/>
    <x v="2"/>
    <x v="2"/>
    <x v="5"/>
    <n v="4"/>
    <n v="96.5"/>
    <n v="20"/>
    <n v="308.8"/>
    <n v="14.49"/>
    <n v="62.71"/>
    <x v="3"/>
    <n v="386"/>
    <n v="0.20307642487046632"/>
    <n v="323.29000000000002"/>
  </r>
  <r>
    <x v="356"/>
    <x v="177"/>
    <s v="Noah Smith"/>
    <x v="0"/>
    <s v="France"/>
    <x v="1"/>
    <x v="0"/>
    <x v="1"/>
    <n v="10"/>
    <n v="104.58"/>
    <n v="30"/>
    <n v="732.06"/>
    <n v="14.85"/>
    <n v="142.02000000000001"/>
    <x v="1"/>
    <n v="1045.8"/>
    <n v="0.19400049176297027"/>
    <n v="746.91"/>
  </r>
  <r>
    <x v="357"/>
    <x v="177"/>
    <s v="Thomas Chen"/>
    <x v="0"/>
    <s v="Brazil"/>
    <x v="4"/>
    <x v="2"/>
    <x v="8"/>
    <n v="3"/>
    <n v="83.44"/>
    <n v="10"/>
    <n v="225.29"/>
    <n v="15.17"/>
    <n v="59.93"/>
    <x v="3"/>
    <n v="250.32"/>
    <n v="0.2660126947489902"/>
    <n v="240.45999999999998"/>
  </r>
  <r>
    <x v="358"/>
    <x v="177"/>
    <s v="Olivia Moreau"/>
    <x v="1"/>
    <s v="Canada"/>
    <x v="0"/>
    <x v="3"/>
    <x v="24"/>
    <n v="10"/>
    <n v="64.87"/>
    <n v="5"/>
    <n v="616.26"/>
    <n v="14.5"/>
    <n v="277.41000000000003"/>
    <x v="3"/>
    <n v="648.70000000000005"/>
    <n v="0.45015091033005555"/>
    <n v="630.76"/>
  </r>
  <r>
    <x v="359"/>
    <x v="177"/>
    <s v="Noah Oliveira"/>
    <x v="1"/>
    <s v="United Kingdom"/>
    <x v="1"/>
    <x v="2"/>
    <x v="36"/>
    <n v="3"/>
    <n v="182.51"/>
    <n v="5"/>
    <n v="520.15"/>
    <n v="8.9"/>
    <n v="182.73"/>
    <x v="2"/>
    <n v="547.53"/>
    <n v="0.35130250889166587"/>
    <n v="529.04999999999995"/>
  </r>
  <r>
    <x v="360"/>
    <x v="178"/>
    <s v="Noah Russo"/>
    <x v="2"/>
    <s v="Japan"/>
    <x v="3"/>
    <x v="1"/>
    <x v="12"/>
    <n v="5"/>
    <n v="10.99"/>
    <n v="5"/>
    <n v="52.2"/>
    <n v="12.66"/>
    <n v="14.81"/>
    <x v="0"/>
    <n v="54.95"/>
    <n v="0.28371647509578546"/>
    <n v="64.86"/>
  </r>
  <r>
    <x v="361"/>
    <x v="179"/>
    <s v="Amir Singh"/>
    <x v="0"/>
    <s v="Mexico"/>
    <x v="0"/>
    <x v="1"/>
    <x v="6"/>
    <n v="3"/>
    <n v="10.7"/>
    <n v="5"/>
    <n v="30.49"/>
    <n v="11.92"/>
    <n v="4.13"/>
    <x v="1"/>
    <n v="32.099999999999994"/>
    <n v="0.13545424729419484"/>
    <n v="42.41"/>
  </r>
  <r>
    <x v="362"/>
    <x v="180"/>
    <s v="Mary Miller"/>
    <x v="1"/>
    <s v="Argentina"/>
    <x v="4"/>
    <x v="1"/>
    <x v="25"/>
    <n v="5"/>
    <n v="7.28"/>
    <n v="5"/>
    <n v="34.58"/>
    <n v="20.71"/>
    <n v="-2.5099999999999998"/>
    <x v="2"/>
    <n v="36.4"/>
    <n v="-7.2585309427414688E-2"/>
    <n v="55.29"/>
  </r>
  <r>
    <x v="363"/>
    <x v="180"/>
    <s v="Olivia Rossi"/>
    <x v="1"/>
    <s v="Saudi Arabia"/>
    <x v="2"/>
    <x v="2"/>
    <x v="8"/>
    <n v="2"/>
    <n v="44.23"/>
    <n v="10"/>
    <n v="79.61"/>
    <n v="13.7"/>
    <n v="12.83"/>
    <x v="2"/>
    <n v="88.46"/>
    <n v="0.16116065820876774"/>
    <n v="93.31"/>
  </r>
  <r>
    <x v="364"/>
    <x v="180"/>
    <s v="Wei Li"/>
    <x v="0"/>
    <s v="Mexico"/>
    <x v="0"/>
    <x v="0"/>
    <x v="0"/>
    <n v="2"/>
    <n v="151.07"/>
    <n v="25"/>
    <n v="226.6"/>
    <n v="7.84"/>
    <n v="52.58"/>
    <x v="1"/>
    <n v="302.14"/>
    <n v="0.2320388349514563"/>
    <n v="234.44"/>
  </r>
  <r>
    <x v="365"/>
    <x v="181"/>
    <s v="Sakura Rodriguez"/>
    <x v="0"/>
    <s v="China"/>
    <x v="3"/>
    <x v="0"/>
    <x v="35"/>
    <n v="1"/>
    <n v="35.700000000000003"/>
    <n v="10"/>
    <n v="32.130000000000003"/>
    <n v="11.04"/>
    <n v="1.46"/>
    <x v="2"/>
    <n v="35.700000000000003"/>
    <n v="4.5440398381574848E-2"/>
    <n v="43.17"/>
  </r>
  <r>
    <x v="366"/>
    <x v="181"/>
    <s v="Christopher Rossi"/>
    <x v="0"/>
    <s v="Japan"/>
    <x v="3"/>
    <x v="1"/>
    <x v="25"/>
    <n v="7"/>
    <n v="15.21"/>
    <n v="20"/>
    <n v="85.18"/>
    <n v="24.79"/>
    <n v="12.48"/>
    <x v="1"/>
    <n v="106.47"/>
    <n v="0.14651326602488846"/>
    <n v="109.97"/>
  </r>
  <r>
    <x v="367"/>
    <x v="181"/>
    <s v="Michael Rodriguez"/>
    <x v="1"/>
    <s v="Brazil"/>
    <x v="4"/>
    <x v="2"/>
    <x v="4"/>
    <n v="1"/>
    <n v="206.62"/>
    <n v="10"/>
    <n v="185.96"/>
    <n v="11.69"/>
    <n v="50.3"/>
    <x v="3"/>
    <n v="206.62"/>
    <n v="0.27048827704882766"/>
    <n v="197.65"/>
  </r>
  <r>
    <x v="368"/>
    <x v="182"/>
    <s v="Hans Anderson"/>
    <x v="1"/>
    <s v="Colombia"/>
    <x v="4"/>
    <x v="3"/>
    <x v="24"/>
    <n v="1"/>
    <n v="34.17"/>
    <n v="15"/>
    <n v="29.04"/>
    <n v="12.01"/>
    <n v="-0.06"/>
    <x v="1"/>
    <n v="34.17"/>
    <n v="-2.0661157024793389E-3"/>
    <n v="41.05"/>
  </r>
  <r>
    <x v="369"/>
    <x v="182"/>
    <s v="Liam Johansson"/>
    <x v="0"/>
    <s v="South Africa"/>
    <x v="2"/>
    <x v="1"/>
    <x v="20"/>
    <n v="5"/>
    <n v="9.43"/>
    <n v="5"/>
    <n v="44.79"/>
    <n v="22.42"/>
    <n v="1.1499999999999999"/>
    <x v="1"/>
    <n v="47.15"/>
    <n v="2.5675373967403436E-2"/>
    <n v="67.210000000000008"/>
  </r>
  <r>
    <x v="370"/>
    <x v="182"/>
    <s v="James Schmidt"/>
    <x v="1"/>
    <s v="India"/>
    <x v="3"/>
    <x v="0"/>
    <x v="3"/>
    <n v="3"/>
    <n v="67.349999999999994"/>
    <n v="0"/>
    <n v="202.05"/>
    <n v="12.44"/>
    <n v="78.48"/>
    <x v="2"/>
    <n v="202.04999999999998"/>
    <n v="0.38841870824053454"/>
    <n v="214.49"/>
  </r>
  <r>
    <x v="371"/>
    <x v="183"/>
    <s v="Wei Yamamoto"/>
    <x v="0"/>
    <s v="Spain"/>
    <x v="1"/>
    <x v="3"/>
    <x v="24"/>
    <n v="3"/>
    <n v="75.47"/>
    <n v="5"/>
    <n v="215.09"/>
    <n v="10.4"/>
    <n v="91.48"/>
    <x v="3"/>
    <n v="226.41"/>
    <n v="0.42531033520851735"/>
    <n v="225.49"/>
  </r>
  <r>
    <x v="372"/>
    <x v="184"/>
    <s v="Linda Brown"/>
    <x v="1"/>
    <s v="Mexico"/>
    <x v="0"/>
    <x v="0"/>
    <x v="1"/>
    <n v="3"/>
    <n v="91.18"/>
    <n v="10"/>
    <n v="246.19"/>
    <n v="8.58"/>
    <n v="87.16"/>
    <x v="0"/>
    <n v="273.54000000000002"/>
    <n v="0.35403550103578535"/>
    <n v="254.77"/>
  </r>
  <r>
    <x v="373"/>
    <x v="184"/>
    <s v="Jamal Ahmed"/>
    <x v="0"/>
    <s v="Mexico"/>
    <x v="0"/>
    <x v="0"/>
    <x v="3"/>
    <n v="2"/>
    <n v="88.88"/>
    <n v="10"/>
    <n v="159.97999999999999"/>
    <n v="7.63"/>
    <n v="54.58"/>
    <x v="3"/>
    <n v="177.76"/>
    <n v="0.3411676459557445"/>
    <n v="167.60999999999999"/>
  </r>
  <r>
    <x v="374"/>
    <x v="184"/>
    <s v="Ahmed Singh"/>
    <x v="2"/>
    <s v="United Kingdom"/>
    <x v="1"/>
    <x v="2"/>
    <x v="36"/>
    <n v="3"/>
    <n v="120.89"/>
    <n v="20"/>
    <n v="290.14"/>
    <n v="14.12"/>
    <n v="58.42"/>
    <x v="2"/>
    <n v="362.67"/>
    <n v="0.20135107189632592"/>
    <n v="304.26"/>
  </r>
  <r>
    <x v="375"/>
    <x v="185"/>
    <s v="Pierre Wang"/>
    <x v="1"/>
    <s v="France"/>
    <x v="1"/>
    <x v="3"/>
    <x v="13"/>
    <n v="8"/>
    <n v="48.11"/>
    <n v="20"/>
    <n v="307.89999999999998"/>
    <n v="25.57"/>
    <n v="89.89"/>
    <x v="2"/>
    <n v="384.88"/>
    <n v="0.29194543683013968"/>
    <n v="333.46999999999997"/>
  </r>
  <r>
    <x v="376"/>
    <x v="186"/>
    <s v="Ivan Davis"/>
    <x v="0"/>
    <s v="Australia"/>
    <x v="3"/>
    <x v="2"/>
    <x v="8"/>
    <n v="5"/>
    <n v="79.11"/>
    <n v="10"/>
    <n v="356"/>
    <n v="16.05"/>
    <n v="102.62"/>
    <x v="1"/>
    <n v="395.55"/>
    <n v="0.28825842696629217"/>
    <n v="372.05"/>
  </r>
  <r>
    <x v="377"/>
    <x v="187"/>
    <s v="Giulia Taylor"/>
    <x v="0"/>
    <s v="Brazil"/>
    <x v="4"/>
    <x v="1"/>
    <x v="17"/>
    <n v="2"/>
    <n v="17.66"/>
    <n v="15"/>
    <n v="30.02"/>
    <n v="13.05"/>
    <n v="1.08"/>
    <x v="1"/>
    <n v="35.32"/>
    <n v="3.5976015989340443E-2"/>
    <n v="43.07"/>
  </r>
  <r>
    <x v="378"/>
    <x v="187"/>
    <s v="Hanna Rossi"/>
    <x v="1"/>
    <s v="Germany"/>
    <x v="1"/>
    <x v="1"/>
    <x v="2"/>
    <n v="5"/>
    <n v="7.76"/>
    <n v="10"/>
    <n v="34.92"/>
    <n v="15.79"/>
    <n v="1.67"/>
    <x v="2"/>
    <n v="38.799999999999997"/>
    <n v="4.7823596792668954E-2"/>
    <n v="50.71"/>
  </r>
  <r>
    <x v="379"/>
    <x v="187"/>
    <s v="William Kim"/>
    <x v="1"/>
    <s v="Canada"/>
    <x v="0"/>
    <x v="2"/>
    <x v="5"/>
    <n v="3"/>
    <n v="97.26"/>
    <n v="10"/>
    <n v="262.60000000000002"/>
    <n v="10.56"/>
    <n v="76.97"/>
    <x v="0"/>
    <n v="291.78000000000003"/>
    <n v="0.29310738766184308"/>
    <n v="273.16000000000003"/>
  </r>
  <r>
    <x v="380"/>
    <x v="188"/>
    <s v="Giulia Pereira"/>
    <x v="1"/>
    <s v="South Korea"/>
    <x v="3"/>
    <x v="3"/>
    <x v="33"/>
    <n v="1"/>
    <n v="18.190000000000001"/>
    <n v="0"/>
    <n v="18.190000000000001"/>
    <n v="9.6300000000000008"/>
    <n v="-0.54"/>
    <x v="1"/>
    <n v="18.190000000000001"/>
    <n v="-2.9686641011544803E-2"/>
    <n v="27.82"/>
  </r>
  <r>
    <x v="381"/>
    <x v="188"/>
    <s v="Barbara Hassan"/>
    <x v="1"/>
    <s v="Australia"/>
    <x v="3"/>
    <x v="0"/>
    <x v="7"/>
    <n v="8"/>
    <n v="75.459999999999994"/>
    <n v="15"/>
    <n v="513.13"/>
    <n v="16.190000000000001"/>
    <n v="164.92"/>
    <x v="1"/>
    <n v="603.67999999999995"/>
    <n v="0.32140003507882992"/>
    <n v="529.32000000000005"/>
  </r>
  <r>
    <x v="382"/>
    <x v="189"/>
    <s v="Karen Zhang"/>
    <x v="2"/>
    <s v="India"/>
    <x v="3"/>
    <x v="1"/>
    <x v="6"/>
    <n v="2"/>
    <n v="16.46"/>
    <n v="10"/>
    <n v="29.63"/>
    <n v="13.64"/>
    <n v="1.18"/>
    <x v="1"/>
    <n v="32.92"/>
    <n v="3.9824502193722577E-2"/>
    <n v="43.269999999999996"/>
  </r>
  <r>
    <x v="383"/>
    <x v="189"/>
    <s v="Clara Clark"/>
    <x v="2"/>
    <s v="Mexico"/>
    <x v="0"/>
    <x v="2"/>
    <x v="32"/>
    <n v="1"/>
    <n v="55.59"/>
    <n v="5"/>
    <n v="52.81"/>
    <n v="6.11"/>
    <n v="13.35"/>
    <x v="1"/>
    <n v="55.59"/>
    <n v="0.2527930316227987"/>
    <n v="58.92"/>
  </r>
  <r>
    <x v="384"/>
    <x v="190"/>
    <s v="Oscar White"/>
    <x v="0"/>
    <s v="United States"/>
    <x v="0"/>
    <x v="3"/>
    <x v="11"/>
    <n v="1"/>
    <n v="78.86"/>
    <n v="10"/>
    <n v="70.97"/>
    <n v="7.4"/>
    <n v="24.14"/>
    <x v="1"/>
    <n v="78.86"/>
    <n v="0.34014372269973231"/>
    <n v="78.37"/>
  </r>
  <r>
    <x v="385"/>
    <x v="190"/>
    <s v="John Brown"/>
    <x v="1"/>
    <s v="Germany"/>
    <x v="1"/>
    <x v="0"/>
    <x v="31"/>
    <n v="1"/>
    <n v="89.29"/>
    <n v="5"/>
    <n v="84.83"/>
    <n v="9.18"/>
    <n v="26.54"/>
    <x v="2"/>
    <n v="89.29"/>
    <n v="0.31286101614994694"/>
    <n v="94.009999999999991"/>
  </r>
  <r>
    <x v="386"/>
    <x v="191"/>
    <s v="Amina Ali"/>
    <x v="1"/>
    <s v="United States"/>
    <x v="0"/>
    <x v="3"/>
    <x v="9"/>
    <n v="1"/>
    <n v="22.46"/>
    <n v="5"/>
    <n v="21.34"/>
    <n v="6.95"/>
    <n v="3.16"/>
    <x v="1"/>
    <n v="22.46"/>
    <n v="0.14807872539831304"/>
    <n v="28.29"/>
  </r>
  <r>
    <x v="387"/>
    <x v="191"/>
    <s v="Oscar Thomas"/>
    <x v="2"/>
    <s v="Canada"/>
    <x v="0"/>
    <x v="1"/>
    <x v="23"/>
    <n v="4"/>
    <n v="12.89"/>
    <n v="5"/>
    <n v="48.98"/>
    <n v="9.57"/>
    <n v="16.21"/>
    <x v="1"/>
    <n v="51.56"/>
    <n v="0.33095140873826057"/>
    <n v="58.55"/>
  </r>
  <r>
    <x v="388"/>
    <x v="191"/>
    <s v="Karen Russo"/>
    <x v="1"/>
    <s v="France"/>
    <x v="1"/>
    <x v="0"/>
    <x v="7"/>
    <n v="9"/>
    <n v="27.41"/>
    <n v="0"/>
    <n v="246.69"/>
    <n v="12.06"/>
    <n v="98.95"/>
    <x v="1"/>
    <n v="246.69"/>
    <n v="0.40111070574405128"/>
    <n v="258.75"/>
  </r>
  <r>
    <x v="389"/>
    <x v="192"/>
    <s v="Susan Wang"/>
    <x v="1"/>
    <s v="Argentina"/>
    <x v="4"/>
    <x v="3"/>
    <x v="11"/>
    <n v="6"/>
    <n v="78.77"/>
    <n v="0"/>
    <n v="472.62"/>
    <n v="19.75"/>
    <n v="216.56"/>
    <x v="2"/>
    <n v="472.62"/>
    <n v="0.45821167110998268"/>
    <n v="492.37"/>
  </r>
  <r>
    <x v="390"/>
    <x v="192"/>
    <s v="Fatima Patel"/>
    <x v="2"/>
    <s v="Mexico"/>
    <x v="0"/>
    <x v="3"/>
    <x v="13"/>
    <n v="1"/>
    <n v="62.43"/>
    <n v="10"/>
    <n v="56.19"/>
    <n v="7.27"/>
    <n v="17.7"/>
    <x v="1"/>
    <n v="62.43"/>
    <n v="0.3150026695141484"/>
    <n v="63.459999999999994"/>
  </r>
  <r>
    <x v="391"/>
    <x v="192"/>
    <s v="Ethan Kim"/>
    <x v="0"/>
    <s v="Colombia"/>
    <x v="4"/>
    <x v="3"/>
    <x v="13"/>
    <n v="1"/>
    <n v="59.71"/>
    <n v="15"/>
    <n v="50.75"/>
    <n v="11.43"/>
    <n v="9.4600000000000009"/>
    <x v="2"/>
    <n v="59.71"/>
    <n v="0.18640394088669954"/>
    <n v="62.18"/>
  </r>
  <r>
    <x v="392"/>
    <x v="192"/>
    <s v="Jennifer Garcia"/>
    <x v="1"/>
    <s v="Argentina"/>
    <x v="4"/>
    <x v="3"/>
    <x v="13"/>
    <n v="2"/>
    <n v="148.55000000000001"/>
    <n v="10"/>
    <n v="267.39"/>
    <n v="14.84"/>
    <n v="104"/>
    <x v="0"/>
    <n v="297.10000000000002"/>
    <n v="0.38894498672351246"/>
    <n v="282.22999999999996"/>
  </r>
  <r>
    <x v="393"/>
    <x v="193"/>
    <s v="Kenji Suzuki"/>
    <x v="0"/>
    <s v="Canada"/>
    <x v="0"/>
    <x v="1"/>
    <x v="17"/>
    <n v="2"/>
    <n v="12.61"/>
    <n v="25"/>
    <n v="18.91"/>
    <n v="9.18"/>
    <n v="-1.62"/>
    <x v="1"/>
    <n v="25.22"/>
    <n v="-8.5668958223162353E-2"/>
    <n v="28.09"/>
  </r>
  <r>
    <x v="394"/>
    <x v="194"/>
    <s v="Wei Santos"/>
    <x v="0"/>
    <s v="Canada"/>
    <x v="0"/>
    <x v="3"/>
    <x v="30"/>
    <n v="1"/>
    <n v="8.92"/>
    <n v="0"/>
    <n v="8.92"/>
    <n v="7.37"/>
    <n v="-2.91"/>
    <x v="2"/>
    <n v="8.92"/>
    <n v="-0.32623318385650224"/>
    <n v="16.29"/>
  </r>
  <r>
    <x v="395"/>
    <x v="194"/>
    <s v="Liam Pereira"/>
    <x v="2"/>
    <s v="Australia"/>
    <x v="3"/>
    <x v="3"/>
    <x v="27"/>
    <n v="3"/>
    <n v="48.47"/>
    <n v="20"/>
    <n v="116.33"/>
    <n v="10.91"/>
    <n v="32.72"/>
    <x v="3"/>
    <n v="145.41"/>
    <n v="0.28126880426373246"/>
    <n v="127.24"/>
  </r>
  <r>
    <x v="396"/>
    <x v="195"/>
    <s v="Ava Clark"/>
    <x v="0"/>
    <s v="Nigeria"/>
    <x v="2"/>
    <x v="0"/>
    <x v="31"/>
    <n v="1"/>
    <n v="156.51"/>
    <n v="30"/>
    <n v="109.56"/>
    <n v="13.21"/>
    <n v="10.27"/>
    <x v="2"/>
    <n v="156.51"/>
    <n v="9.3738590726542531E-2"/>
    <n v="122.77000000000001"/>
  </r>
  <r>
    <x v="397"/>
    <x v="195"/>
    <s v="Mary Hassan"/>
    <x v="2"/>
    <s v="United States"/>
    <x v="0"/>
    <x v="3"/>
    <x v="9"/>
    <n v="6"/>
    <n v="64.17"/>
    <n v="10"/>
    <n v="346.52"/>
    <n v="9.61"/>
    <n v="144.4"/>
    <x v="2"/>
    <n v="385.02"/>
    <n v="0.41671476393858942"/>
    <n v="356.13"/>
  </r>
  <r>
    <x v="398"/>
    <x v="195"/>
    <s v="Felix Smith"/>
    <x v="1"/>
    <s v="United Kingdom"/>
    <x v="1"/>
    <x v="2"/>
    <x v="32"/>
    <n v="1"/>
    <n v="57.21"/>
    <n v="15"/>
    <n v="48.63"/>
    <n v="7.77"/>
    <n v="6.53"/>
    <x v="0"/>
    <n v="57.21"/>
    <n v="0.13427925149084927"/>
    <n v="56.400000000000006"/>
  </r>
  <r>
    <x v="399"/>
    <x v="195"/>
    <s v="Barbara Jones"/>
    <x v="1"/>
    <s v="Mexico"/>
    <x v="0"/>
    <x v="1"/>
    <x v="2"/>
    <n v="1"/>
    <n v="14.44"/>
    <n v="5"/>
    <n v="13.72"/>
    <n v="6.28"/>
    <n v="0.94"/>
    <x v="1"/>
    <n v="14.44"/>
    <n v="6.8513119533527692E-2"/>
    <n v="20"/>
  </r>
  <r>
    <x v="400"/>
    <x v="196"/>
    <s v="Christopher Williams"/>
    <x v="2"/>
    <s v="Australia"/>
    <x v="3"/>
    <x v="0"/>
    <x v="0"/>
    <n v="3"/>
    <n v="100.41"/>
    <n v="5"/>
    <n v="286.17"/>
    <n v="16.29"/>
    <n v="104.2"/>
    <x v="1"/>
    <n v="301.23"/>
    <n v="0.36411922982842365"/>
    <n v="302.46000000000004"/>
  </r>
  <r>
    <x v="401"/>
    <x v="196"/>
    <s v="Priya Weber"/>
    <x v="1"/>
    <s v="Saudi Arabia"/>
    <x v="2"/>
    <x v="1"/>
    <x v="6"/>
    <n v="2"/>
    <n v="8.3000000000000007"/>
    <n v="5"/>
    <n v="15.77"/>
    <n v="15.44"/>
    <n v="-7.14"/>
    <x v="2"/>
    <n v="16.600000000000001"/>
    <n v="-0.45275840202916928"/>
    <n v="31.21"/>
  </r>
  <r>
    <x v="402"/>
    <x v="196"/>
    <s v="Patricia Jackson"/>
    <x v="0"/>
    <s v="Italy"/>
    <x v="1"/>
    <x v="1"/>
    <x v="23"/>
    <n v="12"/>
    <n v="10.19"/>
    <n v="10"/>
    <n v="110.05"/>
    <n v="25.93"/>
    <n v="29.09"/>
    <x v="1"/>
    <n v="122.28"/>
    <n v="0.2643343934575193"/>
    <n v="135.97999999999999"/>
  </r>
  <r>
    <x v="403"/>
    <x v="197"/>
    <s v="Xiao Laurent"/>
    <x v="1"/>
    <s v="Japan"/>
    <x v="3"/>
    <x v="1"/>
    <x v="12"/>
    <n v="5"/>
    <n v="20.76"/>
    <n v="5"/>
    <n v="98.61"/>
    <n v="14.44"/>
    <n v="37.46"/>
    <x v="1"/>
    <n v="103.80000000000001"/>
    <n v="0.37988033667984994"/>
    <n v="113.05"/>
  </r>
  <r>
    <x v="404"/>
    <x v="197"/>
    <s v="Jamal Leroy"/>
    <x v="2"/>
    <s v="Brazil"/>
    <x v="4"/>
    <x v="1"/>
    <x v="38"/>
    <n v="4"/>
    <n v="6.4"/>
    <n v="20"/>
    <n v="20.48"/>
    <n v="13.95"/>
    <n v="-4.99"/>
    <x v="1"/>
    <n v="25.6"/>
    <n v="-0.24365234375"/>
    <n v="34.43"/>
  </r>
  <r>
    <x v="405"/>
    <x v="197"/>
    <s v="Liam Ali"/>
    <x v="2"/>
    <s v="Italy"/>
    <x v="1"/>
    <x v="0"/>
    <x v="0"/>
    <n v="9"/>
    <n v="156.74"/>
    <n v="0"/>
    <n v="1410.66"/>
    <n v="15.34"/>
    <n v="619.46"/>
    <x v="2"/>
    <n v="1410.66"/>
    <n v="0.4391277841577701"/>
    <n v="1426"/>
  </r>
  <r>
    <x v="406"/>
    <x v="197"/>
    <s v="Barbara Ali"/>
    <x v="1"/>
    <s v="Brazil"/>
    <x v="4"/>
    <x v="2"/>
    <x v="8"/>
    <n v="2"/>
    <n v="127.96"/>
    <n v="0"/>
    <n v="255.92"/>
    <n v="12.79"/>
    <n v="89.58"/>
    <x v="1"/>
    <n v="255.92"/>
    <n v="0.35003125976867772"/>
    <n v="268.70999999999998"/>
  </r>
  <r>
    <x v="407"/>
    <x v="198"/>
    <s v="Ivan Pereira"/>
    <x v="2"/>
    <s v="Saudi Arabia"/>
    <x v="2"/>
    <x v="3"/>
    <x v="33"/>
    <n v="14"/>
    <n v="36.74"/>
    <n v="5"/>
    <n v="488.64"/>
    <n v="27.48"/>
    <n v="203.98"/>
    <x v="2"/>
    <n v="514.36"/>
    <n v="0.41744433529796987"/>
    <n v="516.12"/>
  </r>
  <r>
    <x v="408"/>
    <x v="199"/>
    <s v="Omar Singh"/>
    <x v="1"/>
    <s v="South Africa"/>
    <x v="2"/>
    <x v="3"/>
    <x v="30"/>
    <n v="2"/>
    <n v="11.42"/>
    <n v="0"/>
    <n v="22.84"/>
    <n v="13.37"/>
    <n v="-1.95"/>
    <x v="2"/>
    <n v="22.84"/>
    <n v="-8.5376532399299473E-2"/>
    <n v="36.21"/>
  </r>
  <r>
    <x v="409"/>
    <x v="199"/>
    <s v="Ethan Rodriguez"/>
    <x v="0"/>
    <s v="Italy"/>
    <x v="1"/>
    <x v="3"/>
    <x v="16"/>
    <n v="4"/>
    <n v="37.020000000000003"/>
    <n v="10"/>
    <n v="133.27000000000001"/>
    <n v="9.44"/>
    <n v="49.79"/>
    <x v="0"/>
    <n v="148.08000000000001"/>
    <n v="0.37360246116905527"/>
    <n v="142.71"/>
  </r>
  <r>
    <x v="410"/>
    <x v="199"/>
    <s v="Pierre Romano"/>
    <x v="1"/>
    <s v="Canada"/>
    <x v="0"/>
    <x v="0"/>
    <x v="22"/>
    <n v="9"/>
    <n v="82.15"/>
    <n v="10"/>
    <n v="665.42"/>
    <n v="21.38"/>
    <n v="237.4"/>
    <x v="3"/>
    <n v="739.35"/>
    <n v="0.35676715457906288"/>
    <n v="686.8"/>
  </r>
  <r>
    <x v="411"/>
    <x v="200"/>
    <s v="Omar Park"/>
    <x v="1"/>
    <s v="United Kingdom"/>
    <x v="1"/>
    <x v="0"/>
    <x v="28"/>
    <n v="2"/>
    <n v="53.25"/>
    <n v="5"/>
    <n v="101.17"/>
    <n v="8.08"/>
    <n v="34.520000000000003"/>
    <x v="2"/>
    <n v="106.5"/>
    <n v="0.34120786794504304"/>
    <n v="109.25"/>
  </r>
  <r>
    <x v="412"/>
    <x v="200"/>
    <s v="Michael Khan"/>
    <x v="0"/>
    <s v="Canada"/>
    <x v="0"/>
    <x v="2"/>
    <x v="14"/>
    <n v="3"/>
    <n v="185.14"/>
    <n v="5"/>
    <n v="527.65"/>
    <n v="9.42"/>
    <n v="184.98"/>
    <x v="2"/>
    <n v="555.41999999999996"/>
    <n v="0.35057329669288356"/>
    <n v="537.06999999999994"/>
  </r>
  <r>
    <x v="413"/>
    <x v="200"/>
    <s v="Richard Tanaka"/>
    <x v="1"/>
    <s v="South Africa"/>
    <x v="2"/>
    <x v="3"/>
    <x v="26"/>
    <n v="3"/>
    <n v="29.47"/>
    <n v="10"/>
    <n v="79.569999999999993"/>
    <n v="14.83"/>
    <n v="20.53"/>
    <x v="1"/>
    <n v="88.41"/>
    <n v="0.25801181349754937"/>
    <n v="94.399999999999991"/>
  </r>
  <r>
    <x v="414"/>
    <x v="201"/>
    <s v="Ayumi Martin"/>
    <x v="1"/>
    <s v="Nigeria"/>
    <x v="2"/>
    <x v="1"/>
    <x v="19"/>
    <n v="5"/>
    <n v="6.31"/>
    <n v="10"/>
    <n v="28.39"/>
    <n v="22.11"/>
    <n v="-7.92"/>
    <x v="2"/>
    <n v="31.549999999999997"/>
    <n v="-0.27897146882705176"/>
    <n v="50.5"/>
  </r>
  <r>
    <x v="415"/>
    <x v="201"/>
    <s v="Omar Hassan"/>
    <x v="1"/>
    <s v="China"/>
    <x v="3"/>
    <x v="3"/>
    <x v="27"/>
    <n v="6"/>
    <n v="50.95"/>
    <n v="25"/>
    <n v="229.28"/>
    <n v="18.09"/>
    <n v="58.34"/>
    <x v="2"/>
    <n v="305.70000000000005"/>
    <n v="0.25444870900209354"/>
    <n v="247.37"/>
  </r>
  <r>
    <x v="416"/>
    <x v="202"/>
    <s v="Giulia Anderson"/>
    <x v="1"/>
    <s v="India"/>
    <x v="3"/>
    <x v="1"/>
    <x v="6"/>
    <n v="2"/>
    <n v="13.7"/>
    <n v="5"/>
    <n v="26.03"/>
    <n v="11.05"/>
    <n v="2.65"/>
    <x v="0"/>
    <n v="27.4"/>
    <n v="0.10180560891279292"/>
    <n v="37.08"/>
  </r>
  <r>
    <x v="417"/>
    <x v="202"/>
    <s v="Chen Rodriguez"/>
    <x v="2"/>
    <s v="Spain"/>
    <x v="1"/>
    <x v="1"/>
    <x v="38"/>
    <n v="5"/>
    <n v="8.73"/>
    <n v="20"/>
    <n v="34.92"/>
    <n v="13.19"/>
    <n v="2.09"/>
    <x v="0"/>
    <n v="43.650000000000006"/>
    <n v="5.9851088201603661E-2"/>
    <n v="48.11"/>
  </r>
  <r>
    <x v="418"/>
    <x v="202"/>
    <s v="Mia Davis"/>
    <x v="1"/>
    <s v="South Korea"/>
    <x v="3"/>
    <x v="0"/>
    <x v="35"/>
    <n v="1"/>
    <n v="34.68"/>
    <n v="10"/>
    <n v="31.21"/>
    <n v="10.64"/>
    <n v="1.5"/>
    <x v="1"/>
    <n v="34.68"/>
    <n v="4.806151874399231E-2"/>
    <n v="41.85"/>
  </r>
  <r>
    <x v="419"/>
    <x v="202"/>
    <s v="Isabella Taylor"/>
    <x v="0"/>
    <s v="Mexico"/>
    <x v="0"/>
    <x v="3"/>
    <x v="26"/>
    <n v="1"/>
    <n v="25.23"/>
    <n v="30"/>
    <n v="17.66"/>
    <n v="6.63"/>
    <n v="-1.58"/>
    <x v="2"/>
    <n v="25.23"/>
    <n v="-8.9467723669309177E-2"/>
    <n v="24.29"/>
  </r>
  <r>
    <x v="420"/>
    <x v="203"/>
    <s v="Mary Martin"/>
    <x v="0"/>
    <s v="Japan"/>
    <x v="3"/>
    <x v="2"/>
    <x v="5"/>
    <n v="3"/>
    <n v="116.76"/>
    <n v="20"/>
    <n v="280.22000000000003"/>
    <n v="14.72"/>
    <n v="55.33"/>
    <x v="1"/>
    <n v="350.28000000000003"/>
    <n v="0.19745200199842977"/>
    <n v="294.94000000000005"/>
  </r>
  <r>
    <x v="421"/>
    <x v="203"/>
    <s v="Priya Jackson"/>
    <x v="1"/>
    <s v="Mexico"/>
    <x v="0"/>
    <x v="1"/>
    <x v="2"/>
    <n v="4"/>
    <n v="13.92"/>
    <n v="5"/>
    <n v="52.9"/>
    <n v="10.83"/>
    <n v="17.010000000000002"/>
    <x v="1"/>
    <n v="55.68"/>
    <n v="0.32155009451795846"/>
    <n v="63.73"/>
  </r>
  <r>
    <x v="422"/>
    <x v="203"/>
    <s v="Mary Chen"/>
    <x v="2"/>
    <s v="Germany"/>
    <x v="1"/>
    <x v="0"/>
    <x v="22"/>
    <n v="5"/>
    <n v="76.290000000000006"/>
    <n v="5"/>
    <n v="362.38"/>
    <n v="19.14"/>
    <n v="133.44"/>
    <x v="2"/>
    <n v="381.45000000000005"/>
    <n v="0.36823224239748331"/>
    <n v="381.52"/>
  </r>
  <r>
    <x v="423"/>
    <x v="203"/>
    <s v="Omar Park"/>
    <x v="0"/>
    <s v="Mexico"/>
    <x v="0"/>
    <x v="0"/>
    <x v="3"/>
    <n v="1"/>
    <n v="37.56"/>
    <n v="5"/>
    <n v="35.68"/>
    <n v="5.59"/>
    <n v="9.43"/>
    <x v="2"/>
    <n v="37.56"/>
    <n v="0.26429372197309414"/>
    <n v="41.269999999999996"/>
  </r>
  <r>
    <x v="424"/>
    <x v="203"/>
    <s v="Clara Tanaka"/>
    <x v="0"/>
    <s v="UAE"/>
    <x v="2"/>
    <x v="0"/>
    <x v="29"/>
    <n v="3"/>
    <n v="20.28"/>
    <n v="0"/>
    <n v="60.84"/>
    <n v="15.83"/>
    <n v="11.55"/>
    <x v="1"/>
    <n v="60.84"/>
    <n v="0.1898422090729783"/>
    <n v="76.67"/>
  </r>
  <r>
    <x v="425"/>
    <x v="204"/>
    <s v="Clara Robinson"/>
    <x v="2"/>
    <s v="France"/>
    <x v="1"/>
    <x v="1"/>
    <x v="20"/>
    <n v="4"/>
    <n v="9.0500000000000007"/>
    <n v="0"/>
    <n v="36.200000000000003"/>
    <n v="10.130000000000001"/>
    <n v="9.7799999999999994"/>
    <x v="0"/>
    <n v="36.200000000000003"/>
    <n v="0.27016574585635356"/>
    <n v="46.330000000000005"/>
  </r>
  <r>
    <x v="426"/>
    <x v="205"/>
    <s v="Michael Ali"/>
    <x v="1"/>
    <s v="Germany"/>
    <x v="1"/>
    <x v="0"/>
    <x v="18"/>
    <n v="13"/>
    <n v="26.62"/>
    <n v="15"/>
    <n v="294.14999999999998"/>
    <n v="30.98"/>
    <n v="72.84"/>
    <x v="1"/>
    <n v="346.06"/>
    <n v="0.24762876083630803"/>
    <n v="325.13"/>
  </r>
  <r>
    <x v="427"/>
    <x v="206"/>
    <s v="Yuki Zhang"/>
    <x v="1"/>
    <s v="United States"/>
    <x v="0"/>
    <x v="3"/>
    <x v="26"/>
    <n v="1"/>
    <n v="17.03"/>
    <n v="25"/>
    <n v="12.77"/>
    <n v="6.99"/>
    <n v="-2.74"/>
    <x v="3"/>
    <n v="17.03"/>
    <n v="-0.21456538762725139"/>
    <n v="19.759999999999998"/>
  </r>
  <r>
    <x v="428"/>
    <x v="206"/>
    <s v="David Clark"/>
    <x v="1"/>
    <s v="Germany"/>
    <x v="1"/>
    <x v="2"/>
    <x v="8"/>
    <n v="10"/>
    <n v="67.099999999999994"/>
    <n v="10"/>
    <n v="603.9"/>
    <n v="14.47"/>
    <n v="186.83"/>
    <x v="0"/>
    <n v="671"/>
    <n v="0.30937241265110121"/>
    <n v="618.37"/>
  </r>
  <r>
    <x v="429"/>
    <x v="206"/>
    <s v="John Laurent"/>
    <x v="1"/>
    <s v="Mexico"/>
    <x v="0"/>
    <x v="2"/>
    <x v="5"/>
    <n v="2"/>
    <n v="199.2"/>
    <n v="10"/>
    <n v="358.56"/>
    <n v="9.5299999999999994"/>
    <n v="109.99"/>
    <x v="1"/>
    <n v="398.4"/>
    <n v="0.30675479696564034"/>
    <n v="368.09"/>
  </r>
  <r>
    <x v="430"/>
    <x v="207"/>
    <s v="Ethan Yamamoto"/>
    <x v="2"/>
    <s v="Australia"/>
    <x v="3"/>
    <x v="1"/>
    <x v="38"/>
    <n v="1"/>
    <n v="7.16"/>
    <n v="10"/>
    <n v="6.44"/>
    <n v="10.26"/>
    <n v="-7.04"/>
    <x v="1"/>
    <n v="7.16"/>
    <n v="-1.0931677018633539"/>
    <n v="16.7"/>
  </r>
  <r>
    <x v="431"/>
    <x v="207"/>
    <s v="Olga Leroy"/>
    <x v="1"/>
    <s v="India"/>
    <x v="3"/>
    <x v="1"/>
    <x v="2"/>
    <n v="1"/>
    <n v="12.17"/>
    <n v="15"/>
    <n v="10.34"/>
    <n v="11.21"/>
    <n v="-6.35"/>
    <x v="3"/>
    <n v="12.17"/>
    <n v="-0.61411992263056092"/>
    <n v="21.55"/>
  </r>
  <r>
    <x v="432"/>
    <x v="208"/>
    <s v="Noah Taylor"/>
    <x v="1"/>
    <s v="United States"/>
    <x v="0"/>
    <x v="1"/>
    <x v="17"/>
    <n v="5"/>
    <n v="19.47"/>
    <n v="5"/>
    <n v="92.48"/>
    <n v="11.28"/>
    <n v="37.39"/>
    <x v="0"/>
    <n v="97.35"/>
    <n v="0.40430363321799306"/>
    <n v="103.76"/>
  </r>
  <r>
    <x v="433"/>
    <x v="208"/>
    <s v="Amina Johansson"/>
    <x v="1"/>
    <s v="United Kingdom"/>
    <x v="1"/>
    <x v="3"/>
    <x v="30"/>
    <n v="2"/>
    <n v="14.43"/>
    <n v="10"/>
    <n v="25.97"/>
    <n v="9.92"/>
    <n v="1.62"/>
    <x v="2"/>
    <n v="28.86"/>
    <n v="6.2379668848671549E-2"/>
    <n v="35.89"/>
  </r>
  <r>
    <x v="434"/>
    <x v="209"/>
    <s v="Hans Smith"/>
    <x v="1"/>
    <s v="Australia"/>
    <x v="3"/>
    <x v="1"/>
    <x v="17"/>
    <n v="2"/>
    <n v="11.34"/>
    <n v="0"/>
    <n v="22.68"/>
    <n v="13.99"/>
    <n v="-1.52"/>
    <x v="2"/>
    <n v="22.68"/>
    <n v="-6.7019400352733682E-2"/>
    <n v="36.67"/>
  </r>
  <r>
    <x v="435"/>
    <x v="209"/>
    <s v="Yuki Rodriguez"/>
    <x v="0"/>
    <s v="Mexico"/>
    <x v="0"/>
    <x v="0"/>
    <x v="1"/>
    <n v="1"/>
    <n v="152.34"/>
    <n v="5"/>
    <n v="144.72"/>
    <n v="7.22"/>
    <n v="53.71"/>
    <x v="1"/>
    <n v="152.34"/>
    <n v="0.371130458817026"/>
    <n v="151.94"/>
  </r>
  <r>
    <x v="436"/>
    <x v="209"/>
    <s v="Jamal Clark"/>
    <x v="1"/>
    <s v="South Africa"/>
    <x v="2"/>
    <x v="0"/>
    <x v="18"/>
    <n v="1"/>
    <n v="27.11"/>
    <n v="5"/>
    <n v="25.75"/>
    <n v="13.15"/>
    <n v="-2.31"/>
    <x v="3"/>
    <n v="27.11"/>
    <n v="-8.9708737864077667E-2"/>
    <n v="38.9"/>
  </r>
  <r>
    <x v="437"/>
    <x v="209"/>
    <s v="Sarah Jackson"/>
    <x v="2"/>
    <s v="Brazil"/>
    <x v="4"/>
    <x v="2"/>
    <x v="15"/>
    <n v="2"/>
    <n v="426.27"/>
    <n v="10"/>
    <n v="767.29"/>
    <n v="12.53"/>
    <n v="243.24"/>
    <x v="1"/>
    <n v="852.54"/>
    <n v="0.31701182082393881"/>
    <n v="779.81999999999994"/>
  </r>
  <r>
    <x v="438"/>
    <x v="209"/>
    <s v="Thomas Santos"/>
    <x v="1"/>
    <s v="United States"/>
    <x v="0"/>
    <x v="3"/>
    <x v="11"/>
    <n v="1"/>
    <n v="42.55"/>
    <n v="5"/>
    <n v="40.42"/>
    <n v="7.38"/>
    <n v="11.77"/>
    <x v="1"/>
    <n v="42.55"/>
    <n v="0.29119247897080652"/>
    <n v="47.800000000000004"/>
  </r>
  <r>
    <x v="439"/>
    <x v="210"/>
    <s v="Chen Patel"/>
    <x v="2"/>
    <s v="Japan"/>
    <x v="3"/>
    <x v="0"/>
    <x v="28"/>
    <n v="5"/>
    <n v="28.98"/>
    <n v="0"/>
    <n v="144.9"/>
    <n v="12.42"/>
    <n v="52.78"/>
    <x v="0"/>
    <n v="144.9"/>
    <n v="0.36425120772946862"/>
    <n v="157.32"/>
  </r>
  <r>
    <x v="440"/>
    <x v="211"/>
    <s v="Maria Rodriguez"/>
    <x v="1"/>
    <s v="United States"/>
    <x v="0"/>
    <x v="3"/>
    <x v="24"/>
    <n v="1"/>
    <n v="79.27"/>
    <n v="10"/>
    <n v="71.34"/>
    <n v="6.56"/>
    <n v="25.15"/>
    <x v="1"/>
    <n v="79.27"/>
    <n v="0.35253714606111575"/>
    <n v="77.900000000000006"/>
  </r>
  <r>
    <x v="441"/>
    <x v="211"/>
    <s v="Olga Taylor"/>
    <x v="1"/>
    <s v="United States"/>
    <x v="0"/>
    <x v="2"/>
    <x v="32"/>
    <n v="6"/>
    <n v="47.47"/>
    <n v="0"/>
    <n v="284.82"/>
    <n v="11.93"/>
    <n v="102"/>
    <x v="1"/>
    <n v="284.82"/>
    <n v="0.35812091847482619"/>
    <n v="296.75"/>
  </r>
  <r>
    <x v="442"/>
    <x v="211"/>
    <s v="Omar Russo"/>
    <x v="2"/>
    <s v="Australia"/>
    <x v="3"/>
    <x v="1"/>
    <x v="10"/>
    <n v="4"/>
    <n v="4.1900000000000004"/>
    <n v="0"/>
    <n v="16.760000000000002"/>
    <n v="13.27"/>
    <n v="-4.05"/>
    <x v="1"/>
    <n v="16.760000000000002"/>
    <n v="-0.24164677804295939"/>
    <n v="30.03"/>
  </r>
  <r>
    <x v="443"/>
    <x v="212"/>
    <s v="Sakura Ali"/>
    <x v="1"/>
    <s v="Nigeria"/>
    <x v="2"/>
    <x v="0"/>
    <x v="18"/>
    <n v="2"/>
    <n v="61.26"/>
    <n v="10"/>
    <n v="110.27"/>
    <n v="14.33"/>
    <n v="28.55"/>
    <x v="1"/>
    <n v="122.52"/>
    <n v="0.25890994830869685"/>
    <n v="124.6"/>
  </r>
  <r>
    <x v="444"/>
    <x v="212"/>
    <s v="Marco Sato"/>
    <x v="1"/>
    <s v="Mexico"/>
    <x v="0"/>
    <x v="1"/>
    <x v="2"/>
    <n v="2"/>
    <n v="13.62"/>
    <n v="15"/>
    <n v="23.15"/>
    <n v="7.75"/>
    <n v="3.14"/>
    <x v="2"/>
    <n v="27.24"/>
    <n v="0.13563714902807777"/>
    <n v="30.9"/>
  </r>
  <r>
    <x v="445"/>
    <x v="213"/>
    <s v="Sophie Brown"/>
    <x v="0"/>
    <s v="Mexico"/>
    <x v="0"/>
    <x v="0"/>
    <x v="0"/>
    <n v="2"/>
    <n v="66.08"/>
    <n v="10"/>
    <n v="118.94"/>
    <n v="9.35"/>
    <n v="36.9"/>
    <x v="1"/>
    <n v="132.16"/>
    <n v="0.31024045737346562"/>
    <n v="128.29"/>
  </r>
  <r>
    <x v="446"/>
    <x v="213"/>
    <s v="Diego Harris"/>
    <x v="1"/>
    <s v="Italy"/>
    <x v="1"/>
    <x v="0"/>
    <x v="1"/>
    <n v="1"/>
    <n v="77.47"/>
    <n v="0"/>
    <n v="77.47"/>
    <n v="9.23"/>
    <n v="25.63"/>
    <x v="3"/>
    <n v="77.47"/>
    <n v="0.33083774364270041"/>
    <n v="86.7"/>
  </r>
  <r>
    <x v="447"/>
    <x v="213"/>
    <s v="Noah Moreau"/>
    <x v="0"/>
    <s v="Italy"/>
    <x v="1"/>
    <x v="2"/>
    <x v="39"/>
    <n v="10"/>
    <n v="83.62"/>
    <n v="20"/>
    <n v="668.96"/>
    <n v="31.2"/>
    <n v="136.04"/>
    <x v="0"/>
    <n v="836.2"/>
    <n v="0.20336044008610377"/>
    <n v="700.16000000000008"/>
  </r>
  <r>
    <x v="448"/>
    <x v="214"/>
    <s v="Chen Garcia"/>
    <x v="1"/>
    <s v="China"/>
    <x v="3"/>
    <x v="0"/>
    <x v="35"/>
    <n v="1"/>
    <n v="51.7"/>
    <n v="10"/>
    <n v="46.53"/>
    <n v="10.95"/>
    <n v="7.14"/>
    <x v="0"/>
    <n v="51.7"/>
    <n v="0.15344938749194068"/>
    <n v="57.480000000000004"/>
  </r>
  <r>
    <x v="449"/>
    <x v="214"/>
    <s v="Fatima Wang"/>
    <x v="1"/>
    <s v="India"/>
    <x v="3"/>
    <x v="1"/>
    <x v="25"/>
    <n v="4"/>
    <n v="7.5"/>
    <n v="10"/>
    <n v="27"/>
    <n v="11.42"/>
    <n v="2.08"/>
    <x v="2"/>
    <n v="30"/>
    <n v="7.7037037037037043E-2"/>
    <n v="38.42"/>
  </r>
  <r>
    <x v="450"/>
    <x v="214"/>
    <s v="Hanna Santos"/>
    <x v="2"/>
    <s v="South Korea"/>
    <x v="3"/>
    <x v="0"/>
    <x v="22"/>
    <n v="1"/>
    <n v="149.93"/>
    <n v="10"/>
    <n v="134.94"/>
    <n v="9.7899999999999991"/>
    <n v="42.69"/>
    <x v="1"/>
    <n v="149.93"/>
    <n v="0.31636282792352155"/>
    <n v="144.72999999999999"/>
  </r>
  <r>
    <x v="451"/>
    <x v="215"/>
    <s v="Ingrid Weber"/>
    <x v="0"/>
    <s v="United States"/>
    <x v="0"/>
    <x v="2"/>
    <x v="36"/>
    <n v="5"/>
    <n v="107.46"/>
    <n v="15"/>
    <n v="456.7"/>
    <n v="9.9"/>
    <n v="124.42"/>
    <x v="2"/>
    <n v="537.29999999999995"/>
    <n v="0.27243266914823738"/>
    <n v="466.59999999999997"/>
  </r>
  <r>
    <x v="452"/>
    <x v="216"/>
    <s v="Ali Johnson"/>
    <x v="0"/>
    <s v="Mexico"/>
    <x v="0"/>
    <x v="2"/>
    <x v="32"/>
    <n v="14"/>
    <n v="61.54"/>
    <n v="30"/>
    <n v="603.09"/>
    <n v="33.58"/>
    <n v="52.57"/>
    <x v="1"/>
    <n v="861.56"/>
    <n v="8.7167752740055379E-2"/>
    <n v="636.67000000000007"/>
  </r>
  <r>
    <x v="453"/>
    <x v="217"/>
    <s v="Hanna Khan"/>
    <x v="1"/>
    <s v="Colombia"/>
    <x v="4"/>
    <x v="0"/>
    <x v="29"/>
    <n v="2"/>
    <n v="25.4"/>
    <n v="0"/>
    <n v="50.8"/>
    <n v="12.94"/>
    <n v="9.92"/>
    <x v="1"/>
    <n v="50.8"/>
    <n v="0.1952755905511811"/>
    <n v="63.739999999999995"/>
  </r>
  <r>
    <x v="454"/>
    <x v="218"/>
    <s v="Liam Laurent"/>
    <x v="1"/>
    <s v="Mexico"/>
    <x v="0"/>
    <x v="2"/>
    <x v="8"/>
    <n v="6"/>
    <n v="110.59"/>
    <n v="10"/>
    <n v="597.19000000000005"/>
    <n v="11.12"/>
    <n v="187.95"/>
    <x v="2"/>
    <n v="663.54"/>
    <n v="0.31472395719955121"/>
    <n v="608.31000000000006"/>
  </r>
  <r>
    <x v="455"/>
    <x v="218"/>
    <s v="Elizabeth Martin"/>
    <x v="1"/>
    <s v="United Kingdom"/>
    <x v="1"/>
    <x v="0"/>
    <x v="35"/>
    <n v="5"/>
    <n v="25.73"/>
    <n v="15"/>
    <n v="109.35"/>
    <n v="11.76"/>
    <n v="26.83"/>
    <x v="3"/>
    <n v="128.65"/>
    <n v="0.24535893918609969"/>
    <n v="121.11"/>
  </r>
  <r>
    <x v="456"/>
    <x v="218"/>
    <s v="Joseph Martinez"/>
    <x v="2"/>
    <s v="Canada"/>
    <x v="0"/>
    <x v="1"/>
    <x v="2"/>
    <n v="1"/>
    <n v="12.82"/>
    <n v="20"/>
    <n v="10.26"/>
    <n v="6.98"/>
    <n v="-2.4900000000000002"/>
    <x v="3"/>
    <n v="12.82"/>
    <n v="-0.24269005847953218"/>
    <n v="17.240000000000002"/>
  </r>
  <r>
    <x v="457"/>
    <x v="219"/>
    <s v="Ali Johansson"/>
    <x v="0"/>
    <s v="United States"/>
    <x v="0"/>
    <x v="3"/>
    <x v="13"/>
    <n v="5"/>
    <n v="133.6"/>
    <n v="25"/>
    <n v="501"/>
    <n v="14.42"/>
    <n v="152.58000000000001"/>
    <x v="1"/>
    <n v="668"/>
    <n v="0.30455089820359282"/>
    <n v="515.41999999999996"/>
  </r>
  <r>
    <x v="458"/>
    <x v="219"/>
    <s v="Michael Li"/>
    <x v="0"/>
    <s v="Canada"/>
    <x v="0"/>
    <x v="2"/>
    <x v="32"/>
    <n v="7"/>
    <n v="67.53"/>
    <n v="5"/>
    <n v="449.07"/>
    <n v="22.4"/>
    <n v="143.04"/>
    <x v="1"/>
    <n v="472.71000000000004"/>
    <n v="0.3185249515665709"/>
    <n v="471.46999999999997"/>
  </r>
  <r>
    <x v="459"/>
    <x v="220"/>
    <s v="Lucas Thomas"/>
    <x v="0"/>
    <s v="China"/>
    <x v="3"/>
    <x v="3"/>
    <x v="11"/>
    <n v="2"/>
    <n v="36.08"/>
    <n v="30"/>
    <n v="50.51"/>
    <n v="12.81"/>
    <n v="1.62"/>
    <x v="2"/>
    <n v="72.16"/>
    <n v="3.2072856860027719E-2"/>
    <n v="63.32"/>
  </r>
  <r>
    <x v="460"/>
    <x v="221"/>
    <s v="Ahmed Sharma"/>
    <x v="2"/>
    <s v="United States"/>
    <x v="0"/>
    <x v="1"/>
    <x v="20"/>
    <n v="3"/>
    <n v="7.89"/>
    <n v="15"/>
    <n v="20.12"/>
    <n v="7.38"/>
    <n v="2.09"/>
    <x v="1"/>
    <n v="23.669999999999998"/>
    <n v="0.10387673956262425"/>
    <n v="27.5"/>
  </r>
  <r>
    <x v="461"/>
    <x v="221"/>
    <s v="Kenji Taylor"/>
    <x v="1"/>
    <s v="Japan"/>
    <x v="3"/>
    <x v="2"/>
    <x v="36"/>
    <n v="4"/>
    <n v="197.76"/>
    <n v="5"/>
    <n v="751.49"/>
    <n v="15.67"/>
    <n v="261.2"/>
    <x v="2"/>
    <n v="791.04"/>
    <n v="0.34757614871788045"/>
    <n v="767.16"/>
  </r>
  <r>
    <x v="462"/>
    <x v="222"/>
    <s v="James Clark"/>
    <x v="1"/>
    <s v="South Africa"/>
    <x v="2"/>
    <x v="2"/>
    <x v="21"/>
    <n v="4"/>
    <n v="55.59"/>
    <n v="10"/>
    <n v="200.12"/>
    <n v="16.82"/>
    <n v="49.88"/>
    <x v="3"/>
    <n v="222.36"/>
    <n v="0.24925044973016192"/>
    <n v="216.94"/>
  </r>
  <r>
    <x v="463"/>
    <x v="223"/>
    <s v="Xiao Wang"/>
    <x v="1"/>
    <s v="Argentina"/>
    <x v="4"/>
    <x v="2"/>
    <x v="5"/>
    <n v="2"/>
    <n v="115.98"/>
    <n v="0"/>
    <n v="231.96"/>
    <n v="13.7"/>
    <n v="79.08"/>
    <x v="0"/>
    <n v="231.96"/>
    <n v="0.34092084842214171"/>
    <n v="245.66"/>
  </r>
  <r>
    <x v="464"/>
    <x v="223"/>
    <s v="Layla Fischer"/>
    <x v="0"/>
    <s v="China"/>
    <x v="3"/>
    <x v="0"/>
    <x v="22"/>
    <n v="2"/>
    <n v="137.32"/>
    <n v="5"/>
    <n v="260.91000000000003"/>
    <n v="13.4"/>
    <n v="96.46"/>
    <x v="2"/>
    <n v="274.64"/>
    <n v="0.36970602889885396"/>
    <n v="274.31"/>
  </r>
  <r>
    <x v="465"/>
    <x v="223"/>
    <s v="Sarah Khan"/>
    <x v="2"/>
    <s v="Brazil"/>
    <x v="4"/>
    <x v="0"/>
    <x v="31"/>
    <n v="3"/>
    <n v="153.34"/>
    <n v="0"/>
    <n v="460.02"/>
    <n v="16.46"/>
    <n v="190.55"/>
    <x v="1"/>
    <n v="460.02"/>
    <n v="0.4142211208208339"/>
    <n v="476.47999999999996"/>
  </r>
  <r>
    <x v="466"/>
    <x v="224"/>
    <s v="Lucas Leroy"/>
    <x v="0"/>
    <s v="Spain"/>
    <x v="1"/>
    <x v="1"/>
    <x v="25"/>
    <n v="2"/>
    <n v="5.85"/>
    <n v="15"/>
    <n v="9.94"/>
    <n v="9.91"/>
    <n v="-5.24"/>
    <x v="2"/>
    <n v="11.7"/>
    <n v="-0.52716297786720323"/>
    <n v="19.850000000000001"/>
  </r>
  <r>
    <x v="467"/>
    <x v="225"/>
    <s v="Jessica Tanaka"/>
    <x v="1"/>
    <s v="Canada"/>
    <x v="0"/>
    <x v="0"/>
    <x v="22"/>
    <n v="3"/>
    <n v="60.51"/>
    <n v="20"/>
    <n v="145.22"/>
    <n v="6.74"/>
    <n v="38.64"/>
    <x v="0"/>
    <n v="181.53"/>
    <n v="0.26607905247211128"/>
    <n v="151.96"/>
  </r>
  <r>
    <x v="468"/>
    <x v="225"/>
    <s v="Jessica Wang"/>
    <x v="2"/>
    <s v="Mexico"/>
    <x v="0"/>
    <x v="2"/>
    <x v="8"/>
    <n v="1"/>
    <n v="112.29"/>
    <n v="0"/>
    <n v="112.29"/>
    <n v="5.87"/>
    <n v="39.049999999999997"/>
    <x v="1"/>
    <n v="112.29"/>
    <n v="0.34776026360317031"/>
    <n v="118.16000000000001"/>
  </r>
  <r>
    <x v="469"/>
    <x v="226"/>
    <s v="Sarah Davis"/>
    <x v="1"/>
    <s v="Saudi Arabia"/>
    <x v="2"/>
    <x v="0"/>
    <x v="18"/>
    <n v="4"/>
    <n v="43.61"/>
    <n v="10"/>
    <n v="157"/>
    <n v="17.66"/>
    <n v="43.4"/>
    <x v="1"/>
    <n v="174.44"/>
    <n v="0.27643312101910827"/>
    <n v="174.66"/>
  </r>
  <r>
    <x v="470"/>
    <x v="226"/>
    <s v="Sarah Thompson"/>
    <x v="1"/>
    <s v="Brazil"/>
    <x v="4"/>
    <x v="0"/>
    <x v="28"/>
    <n v="2"/>
    <n v="22.12"/>
    <n v="10"/>
    <n v="39.82"/>
    <n v="11.38"/>
    <n v="4.1100000000000003"/>
    <x v="2"/>
    <n v="44.24"/>
    <n v="0.10321446509291814"/>
    <n v="51.2"/>
  </r>
  <r>
    <x v="471"/>
    <x v="227"/>
    <s v="Isabella Patel"/>
    <x v="1"/>
    <s v="Canada"/>
    <x v="0"/>
    <x v="3"/>
    <x v="9"/>
    <n v="3"/>
    <n v="59.04"/>
    <n v="0"/>
    <n v="177.12"/>
    <n v="10.28"/>
    <n v="78.28"/>
    <x v="3"/>
    <n v="177.12"/>
    <n v="0.44196025293586266"/>
    <n v="187.4"/>
  </r>
  <r>
    <x v="472"/>
    <x v="227"/>
    <s v="Lucas Oliveira"/>
    <x v="1"/>
    <s v="Spain"/>
    <x v="1"/>
    <x v="3"/>
    <x v="26"/>
    <n v="4"/>
    <n v="42.94"/>
    <n v="15"/>
    <n v="146"/>
    <n v="13.44"/>
    <n v="46.68"/>
    <x v="0"/>
    <n v="171.76"/>
    <n v="0.31972602739726025"/>
    <n v="159.44"/>
  </r>
  <r>
    <x v="473"/>
    <x v="227"/>
    <s v="Olivia Ferrari"/>
    <x v="2"/>
    <s v="Australia"/>
    <x v="3"/>
    <x v="3"/>
    <x v="37"/>
    <n v="6"/>
    <n v="77.510000000000005"/>
    <n v="10"/>
    <n v="418.55"/>
    <n v="20.82"/>
    <n v="165.2"/>
    <x v="3"/>
    <n v="465.06000000000006"/>
    <n v="0.39469597419663122"/>
    <n v="439.37"/>
  </r>
  <r>
    <x v="474"/>
    <x v="227"/>
    <s v="Xiao Ferrari"/>
    <x v="2"/>
    <s v="France"/>
    <x v="1"/>
    <x v="0"/>
    <x v="7"/>
    <n v="1"/>
    <n v="52.59"/>
    <n v="15"/>
    <n v="44.7"/>
    <n v="8.76"/>
    <n v="7.02"/>
    <x v="2"/>
    <n v="52.59"/>
    <n v="0.15704697986577179"/>
    <n v="53.46"/>
  </r>
  <r>
    <x v="475"/>
    <x v="228"/>
    <s v="Marco Nilsson"/>
    <x v="1"/>
    <s v="Japan"/>
    <x v="3"/>
    <x v="0"/>
    <x v="1"/>
    <n v="1"/>
    <n v="126.55"/>
    <n v="0"/>
    <n v="126.55"/>
    <n v="9.75"/>
    <n v="47.2"/>
    <x v="2"/>
    <n v="126.55"/>
    <n v="0.37297510865270644"/>
    <n v="136.30000000000001"/>
  </r>
  <r>
    <x v="476"/>
    <x v="229"/>
    <s v="Mary Smith"/>
    <x v="0"/>
    <s v="Nigeria"/>
    <x v="2"/>
    <x v="2"/>
    <x v="39"/>
    <n v="5"/>
    <n v="145.12"/>
    <n v="0"/>
    <n v="725.6"/>
    <n v="16.63"/>
    <n v="273.61"/>
    <x v="0"/>
    <n v="725.6"/>
    <n v="0.37708103638368246"/>
    <n v="742.23"/>
  </r>
  <r>
    <x v="477"/>
    <x v="229"/>
    <s v="John Patel"/>
    <x v="1"/>
    <s v="Japan"/>
    <x v="3"/>
    <x v="3"/>
    <x v="24"/>
    <n v="4"/>
    <n v="26.2"/>
    <n v="5"/>
    <n v="99.56"/>
    <n v="17.25"/>
    <n v="29.91"/>
    <x v="1"/>
    <n v="104.8"/>
    <n v="0.3004218561671354"/>
    <n v="116.81"/>
  </r>
  <r>
    <x v="478"/>
    <x v="230"/>
    <s v="Ayumi Ali"/>
    <x v="0"/>
    <s v="Spain"/>
    <x v="1"/>
    <x v="1"/>
    <x v="12"/>
    <n v="5"/>
    <n v="18.82"/>
    <n v="15"/>
    <n v="79.98"/>
    <n v="10.99"/>
    <n v="26.65"/>
    <x v="3"/>
    <n v="94.1"/>
    <n v="0.33320830207551883"/>
    <n v="90.97"/>
  </r>
  <r>
    <x v="479"/>
    <x v="230"/>
    <s v="Sophie Clark"/>
    <x v="2"/>
    <s v="China"/>
    <x v="3"/>
    <x v="2"/>
    <x v="36"/>
    <n v="1"/>
    <n v="238.24"/>
    <n v="0"/>
    <n v="238.24"/>
    <n v="10.130000000000001"/>
    <n v="85.17"/>
    <x v="1"/>
    <n v="238.24"/>
    <n v="0.35749664204163867"/>
    <n v="248.37"/>
  </r>
  <r>
    <x v="480"/>
    <x v="230"/>
    <s v="Priya Garcia"/>
    <x v="0"/>
    <s v="Japan"/>
    <x v="3"/>
    <x v="2"/>
    <x v="15"/>
    <n v="1"/>
    <n v="222.71"/>
    <n v="15"/>
    <n v="189.3"/>
    <n v="10.45"/>
    <n v="45.22"/>
    <x v="1"/>
    <n v="222.71"/>
    <n v="0.23888008452192286"/>
    <n v="199.75"/>
  </r>
  <r>
    <x v="481"/>
    <x v="230"/>
    <s v="Emma Martinez"/>
    <x v="2"/>
    <s v="Nigeria"/>
    <x v="2"/>
    <x v="0"/>
    <x v="29"/>
    <n v="4"/>
    <n v="36.61"/>
    <n v="15"/>
    <n v="124.47"/>
    <n v="16.07"/>
    <n v="27.86"/>
    <x v="1"/>
    <n v="146.44"/>
    <n v="0.22382903510886157"/>
    <n v="140.54"/>
  </r>
  <r>
    <x v="482"/>
    <x v="231"/>
    <s v="Fatima Martin"/>
    <x v="2"/>
    <s v="Australia"/>
    <x v="3"/>
    <x v="2"/>
    <x v="34"/>
    <n v="4"/>
    <n v="59.01"/>
    <n v="0"/>
    <n v="236.04"/>
    <n v="11.14"/>
    <n v="83.28"/>
    <x v="0"/>
    <n v="236.04"/>
    <n v="0.3528215556685308"/>
    <n v="247.18"/>
  </r>
  <r>
    <x v="483"/>
    <x v="232"/>
    <s v="Jamal Robinson"/>
    <x v="0"/>
    <s v="Nigeria"/>
    <x v="2"/>
    <x v="3"/>
    <x v="16"/>
    <n v="2"/>
    <n v="49.37"/>
    <n v="10"/>
    <n v="88.87"/>
    <n v="14.28"/>
    <n v="25.22"/>
    <x v="1"/>
    <n v="98.74"/>
    <n v="0.28378530437718014"/>
    <n v="103.15"/>
  </r>
  <r>
    <x v="484"/>
    <x v="232"/>
    <s v="Carlos Santos"/>
    <x v="0"/>
    <s v="UAE"/>
    <x v="2"/>
    <x v="2"/>
    <x v="39"/>
    <n v="1"/>
    <n v="131.91"/>
    <n v="15"/>
    <n v="112.12"/>
    <n v="12.52"/>
    <n v="20.45"/>
    <x v="2"/>
    <n v="131.91"/>
    <n v="0.18239386371744559"/>
    <n v="124.64"/>
  </r>
  <r>
    <x v="485"/>
    <x v="232"/>
    <s v="Omar Li"/>
    <x v="0"/>
    <s v="Colombia"/>
    <x v="4"/>
    <x v="0"/>
    <x v="3"/>
    <n v="2"/>
    <n v="79.63"/>
    <n v="10"/>
    <n v="143.33000000000001"/>
    <n v="11.45"/>
    <n v="44.29"/>
    <x v="1"/>
    <n v="159.26"/>
    <n v="0.30900718621363282"/>
    <n v="154.78"/>
  </r>
  <r>
    <x v="486"/>
    <x v="233"/>
    <s v="Noah Johansson"/>
    <x v="2"/>
    <s v="Italy"/>
    <x v="1"/>
    <x v="2"/>
    <x v="14"/>
    <n v="2"/>
    <n v="399.1"/>
    <n v="5"/>
    <n v="758.29"/>
    <n v="10.3"/>
    <n v="269.07"/>
    <x v="2"/>
    <n v="798.2"/>
    <n v="0.35483785886666053"/>
    <n v="768.58999999999992"/>
  </r>
  <r>
    <x v="487"/>
    <x v="233"/>
    <s v="Hanna Yamamoto"/>
    <x v="1"/>
    <s v="Japan"/>
    <x v="3"/>
    <x v="2"/>
    <x v="15"/>
    <n v="6"/>
    <n v="241.8"/>
    <n v="5"/>
    <n v="1378.26"/>
    <n v="22.07"/>
    <n v="485.71"/>
    <x v="0"/>
    <n v="1450.8000000000002"/>
    <n v="0.35240810877483203"/>
    <n v="1400.33"/>
  </r>
  <r>
    <x v="488"/>
    <x v="234"/>
    <s v="William Yamamoto"/>
    <x v="0"/>
    <s v="China"/>
    <x v="3"/>
    <x v="2"/>
    <x v="39"/>
    <n v="4"/>
    <n v="162.94"/>
    <n v="5"/>
    <n v="619.16999999999996"/>
    <n v="15.93"/>
    <n v="212.18"/>
    <x v="3"/>
    <n v="651.76"/>
    <n v="0.34268456159051636"/>
    <n v="635.09999999999991"/>
  </r>
  <r>
    <x v="489"/>
    <x v="234"/>
    <s v="Joseph Leroy"/>
    <x v="1"/>
    <s v="Colombia"/>
    <x v="4"/>
    <x v="0"/>
    <x v="28"/>
    <n v="1"/>
    <n v="44.26"/>
    <n v="0"/>
    <n v="44.26"/>
    <n v="12.32"/>
    <n v="7.6"/>
    <x v="2"/>
    <n v="44.26"/>
    <n v="0.17171260732037957"/>
    <n v="56.58"/>
  </r>
  <r>
    <x v="490"/>
    <x v="234"/>
    <s v="Giulia Khan"/>
    <x v="2"/>
    <s v="United States"/>
    <x v="0"/>
    <x v="1"/>
    <x v="20"/>
    <n v="4"/>
    <n v="6.82"/>
    <n v="5"/>
    <n v="25.92"/>
    <n v="9.89"/>
    <n v="3.75"/>
    <x v="2"/>
    <n v="27.28"/>
    <n v="0.14467592592592593"/>
    <n v="35.81"/>
  </r>
  <r>
    <x v="491"/>
    <x v="234"/>
    <s v="Diego Pereira"/>
    <x v="2"/>
    <s v="Nigeria"/>
    <x v="2"/>
    <x v="3"/>
    <x v="16"/>
    <n v="3"/>
    <n v="59.55"/>
    <n v="0"/>
    <n v="178.65"/>
    <n v="14.68"/>
    <n v="74.650000000000006"/>
    <x v="2"/>
    <n v="178.64999999999998"/>
    <n v="0.41785614329694937"/>
    <n v="193.33"/>
  </r>
  <r>
    <x v="492"/>
    <x v="235"/>
    <s v="Raj Oliveira"/>
    <x v="0"/>
    <s v="Brazil"/>
    <x v="4"/>
    <x v="3"/>
    <x v="37"/>
    <n v="13"/>
    <n v="74.959999999999994"/>
    <n v="20"/>
    <n v="779.58"/>
    <n v="19.8"/>
    <n v="272.54000000000002"/>
    <x v="0"/>
    <n v="974.4799999999999"/>
    <n v="0.34959850175735652"/>
    <n v="799.38"/>
  </r>
  <r>
    <x v="493"/>
    <x v="235"/>
    <s v="Ayumi Garcia"/>
    <x v="0"/>
    <s v="Mexico"/>
    <x v="0"/>
    <x v="2"/>
    <x v="34"/>
    <n v="1"/>
    <n v="35.29"/>
    <n v="10"/>
    <n v="31.76"/>
    <n v="6.93"/>
    <n v="3.66"/>
    <x v="1"/>
    <n v="35.29"/>
    <n v="0.11523929471032746"/>
    <n v="38.69"/>
  </r>
  <r>
    <x v="494"/>
    <x v="235"/>
    <s v="Felix Kim"/>
    <x v="0"/>
    <s v="Canada"/>
    <x v="0"/>
    <x v="2"/>
    <x v="39"/>
    <n v="4"/>
    <n v="129.80000000000001"/>
    <n v="10"/>
    <n v="467.28"/>
    <n v="10.02"/>
    <n v="145.74"/>
    <x v="2"/>
    <n v="519.20000000000005"/>
    <n v="0.31189008731381618"/>
    <n v="477.29999999999995"/>
  </r>
  <r>
    <x v="495"/>
    <x v="235"/>
    <s v="Zara Moreau"/>
    <x v="1"/>
    <s v="Brazil"/>
    <x v="4"/>
    <x v="1"/>
    <x v="20"/>
    <n v="1"/>
    <n v="6.83"/>
    <n v="0"/>
    <n v="6.83"/>
    <n v="12.47"/>
    <n v="-8.7100000000000009"/>
    <x v="2"/>
    <n v="6.83"/>
    <n v="-1.2752562225475843"/>
    <n v="19.3"/>
  </r>
  <r>
    <x v="496"/>
    <x v="235"/>
    <s v="Richard Romano"/>
    <x v="0"/>
    <s v="Brazil"/>
    <x v="4"/>
    <x v="2"/>
    <x v="14"/>
    <n v="1"/>
    <n v="340.77"/>
    <n v="30"/>
    <n v="238.54"/>
    <n v="11.54"/>
    <n v="22.54"/>
    <x v="3"/>
    <n v="340.77"/>
    <n v="9.4491489896872644E-2"/>
    <n v="250.07999999999998"/>
  </r>
  <r>
    <x v="497"/>
    <x v="236"/>
    <s v="Patricia Kim"/>
    <x v="1"/>
    <s v="Australia"/>
    <x v="3"/>
    <x v="0"/>
    <x v="1"/>
    <n v="2"/>
    <n v="131.68"/>
    <n v="0"/>
    <n v="263.36"/>
    <n v="10.63"/>
    <n v="107.88"/>
    <x v="2"/>
    <n v="263.36"/>
    <n v="0.40962940461725389"/>
    <n v="273.99"/>
  </r>
  <r>
    <x v="498"/>
    <x v="237"/>
    <s v="Patricia Martinez"/>
    <x v="2"/>
    <s v="UAE"/>
    <x v="2"/>
    <x v="1"/>
    <x v="19"/>
    <n v="3"/>
    <n v="12.07"/>
    <n v="15"/>
    <n v="30.78"/>
    <n v="17.690000000000001"/>
    <n v="-3.2"/>
    <x v="2"/>
    <n v="36.21"/>
    <n v="-0.10396361273554257"/>
    <n v="48.47"/>
  </r>
  <r>
    <x v="499"/>
    <x v="238"/>
    <s v="Richard Moreau"/>
    <x v="0"/>
    <s v="UAE"/>
    <x v="2"/>
    <x v="2"/>
    <x v="34"/>
    <n v="2"/>
    <n v="50.05"/>
    <n v="25"/>
    <n v="75.069999999999993"/>
    <n v="12.65"/>
    <n v="2.36"/>
    <x v="1"/>
    <n v="100.1"/>
    <n v="3.1437325163181033E-2"/>
    <n v="87.72"/>
  </r>
  <r>
    <x v="500"/>
    <x v="238"/>
    <s v="Hanna Kumar"/>
    <x v="1"/>
    <s v="Argentina"/>
    <x v="4"/>
    <x v="1"/>
    <x v="12"/>
    <n v="3"/>
    <n v="21.94"/>
    <n v="5"/>
    <n v="62.53"/>
    <n v="17.25"/>
    <n v="15.66"/>
    <x v="0"/>
    <n v="65.820000000000007"/>
    <n v="0.25043978890132734"/>
    <n v="79.78"/>
  </r>
  <r>
    <x v="501"/>
    <x v="238"/>
    <s v="Jessica MÃ¼ller"/>
    <x v="2"/>
    <s v="United Kingdom"/>
    <x v="1"/>
    <x v="3"/>
    <x v="27"/>
    <n v="5"/>
    <n v="68.42"/>
    <n v="10"/>
    <n v="307.89"/>
    <n v="11.72"/>
    <n v="125.12"/>
    <x v="1"/>
    <n v="342.1"/>
    <n v="0.40637890155575046"/>
    <n v="319.61"/>
  </r>
  <r>
    <x v="502"/>
    <x v="238"/>
    <s v="Sarah Li"/>
    <x v="1"/>
    <s v="Saudi Arabia"/>
    <x v="2"/>
    <x v="2"/>
    <x v="21"/>
    <n v="5"/>
    <n v="85.91"/>
    <n v="5"/>
    <n v="408.07"/>
    <n v="19.75"/>
    <n v="130.59"/>
    <x v="2"/>
    <n v="429.54999999999995"/>
    <n v="0.32001862425564243"/>
    <n v="427.82"/>
  </r>
  <r>
    <x v="503"/>
    <x v="238"/>
    <s v="Ingrid Moreau"/>
    <x v="1"/>
    <s v="United States"/>
    <x v="0"/>
    <x v="0"/>
    <x v="3"/>
    <n v="1"/>
    <n v="43.09"/>
    <n v="15"/>
    <n v="36.630000000000003"/>
    <n v="7.3"/>
    <n v="5.63"/>
    <x v="1"/>
    <n v="43.09"/>
    <n v="0.15369915369915368"/>
    <n v="43.93"/>
  </r>
  <r>
    <x v="504"/>
    <x v="239"/>
    <s v="Robert Taylor"/>
    <x v="2"/>
    <s v="Brazil"/>
    <x v="4"/>
    <x v="2"/>
    <x v="4"/>
    <n v="1"/>
    <n v="184.6"/>
    <n v="5"/>
    <n v="175.37"/>
    <n v="11.24"/>
    <n v="53.37"/>
    <x v="1"/>
    <n v="184.6"/>
    <n v="0.30432799224496776"/>
    <n v="186.61"/>
  </r>
  <r>
    <x v="505"/>
    <x v="239"/>
    <s v="Layla Oliveira"/>
    <x v="2"/>
    <s v="Italy"/>
    <x v="1"/>
    <x v="2"/>
    <x v="4"/>
    <n v="11"/>
    <n v="272.86"/>
    <n v="10"/>
    <n v="2701.31"/>
    <n v="26.06"/>
    <n v="874.37"/>
    <x v="1"/>
    <n v="3001.46"/>
    <n v="0.32368369420762522"/>
    <n v="2727.37"/>
  </r>
  <r>
    <x v="506"/>
    <x v="240"/>
    <s v="Sophie Martinez"/>
    <x v="0"/>
    <s v="Germany"/>
    <x v="1"/>
    <x v="3"/>
    <x v="37"/>
    <n v="7"/>
    <n v="74.92"/>
    <n v="25"/>
    <n v="393.33"/>
    <n v="17.73"/>
    <n v="113.38"/>
    <x v="2"/>
    <n v="524.44000000000005"/>
    <n v="0.28825668014135714"/>
    <n v="411.06"/>
  </r>
  <r>
    <x v="507"/>
    <x v="240"/>
    <s v="Liam Davis"/>
    <x v="1"/>
    <s v="United Kingdom"/>
    <x v="1"/>
    <x v="2"/>
    <x v="36"/>
    <n v="5"/>
    <n v="216.45"/>
    <n v="0"/>
    <n v="1082.25"/>
    <n v="16.23"/>
    <n v="416.67"/>
    <x v="3"/>
    <n v="1082.25"/>
    <n v="0.385003465003465"/>
    <n v="1098.48"/>
  </r>
  <r>
    <x v="508"/>
    <x v="240"/>
    <s v="Christopher Thompson"/>
    <x v="1"/>
    <s v="Australia"/>
    <x v="3"/>
    <x v="2"/>
    <x v="5"/>
    <n v="3"/>
    <n v="82.78"/>
    <n v="5"/>
    <n v="235.92"/>
    <n v="13.57"/>
    <n v="73.349999999999994"/>
    <x v="1"/>
    <n v="248.34"/>
    <n v="0.31091047812817901"/>
    <n v="249.48999999999998"/>
  </r>
  <r>
    <x v="509"/>
    <x v="240"/>
    <s v="Olga MÃ¼ller"/>
    <x v="1"/>
    <s v="United States"/>
    <x v="0"/>
    <x v="0"/>
    <x v="0"/>
    <n v="4"/>
    <n v="211.07"/>
    <n v="5"/>
    <n v="802.07"/>
    <n v="7.73"/>
    <n v="329.99"/>
    <x v="2"/>
    <n v="844.28"/>
    <n v="0.41142294313463912"/>
    <n v="809.80000000000007"/>
  </r>
  <r>
    <x v="510"/>
    <x v="240"/>
    <s v="James Harris"/>
    <x v="0"/>
    <s v="Canada"/>
    <x v="0"/>
    <x v="2"/>
    <x v="34"/>
    <n v="1"/>
    <n v="19.95"/>
    <n v="0"/>
    <n v="19.95"/>
    <n v="6.89"/>
    <n v="1.0900000000000001"/>
    <x v="1"/>
    <n v="19.95"/>
    <n v="5.4636591478696747E-2"/>
    <n v="26.84"/>
  </r>
  <r>
    <x v="511"/>
    <x v="241"/>
    <s v="Maria Tanaka"/>
    <x v="0"/>
    <s v="UAE"/>
    <x v="2"/>
    <x v="2"/>
    <x v="34"/>
    <n v="4"/>
    <n v="37.67"/>
    <n v="10"/>
    <n v="135.61000000000001"/>
    <n v="15.83"/>
    <n v="29.37"/>
    <x v="2"/>
    <n v="150.68"/>
    <n v="0.21657694860261043"/>
    <n v="151.44000000000003"/>
  </r>
  <r>
    <x v="512"/>
    <x v="241"/>
    <s v="Isabella Li"/>
    <x v="1"/>
    <s v="France"/>
    <x v="1"/>
    <x v="1"/>
    <x v="12"/>
    <n v="3"/>
    <n v="24.08"/>
    <n v="0"/>
    <n v="72.239999999999995"/>
    <n v="8.67"/>
    <n v="31.06"/>
    <x v="2"/>
    <n v="72.239999999999995"/>
    <n v="0.42995570321151716"/>
    <n v="80.91"/>
  </r>
  <r>
    <x v="513"/>
    <x v="241"/>
    <s v="Kenji Romano"/>
    <x v="0"/>
    <s v="Canada"/>
    <x v="0"/>
    <x v="0"/>
    <x v="29"/>
    <n v="2"/>
    <n v="19.41"/>
    <n v="15"/>
    <n v="33"/>
    <n v="7.48"/>
    <n v="4.17"/>
    <x v="1"/>
    <n v="38.82"/>
    <n v="0.12636363636363637"/>
    <n v="40.480000000000004"/>
  </r>
  <r>
    <x v="514"/>
    <x v="242"/>
    <s v="Oscar Thompson"/>
    <x v="1"/>
    <s v="Germany"/>
    <x v="1"/>
    <x v="3"/>
    <x v="24"/>
    <n v="4"/>
    <n v="37.35"/>
    <n v="10"/>
    <n v="134.46"/>
    <n v="13.42"/>
    <n v="46.34"/>
    <x v="1"/>
    <n v="149.4"/>
    <n v="0.3446378105012643"/>
    <n v="147.88"/>
  </r>
  <r>
    <x v="515"/>
    <x v="243"/>
    <s v="Amir Park"/>
    <x v="1"/>
    <s v="UAE"/>
    <x v="2"/>
    <x v="1"/>
    <x v="23"/>
    <n v="2"/>
    <n v="18.53"/>
    <n v="15"/>
    <n v="31.5"/>
    <n v="15.09"/>
    <n v="-0.27"/>
    <x v="2"/>
    <n v="37.06"/>
    <n v="-8.5714285714285719E-3"/>
    <n v="46.59"/>
  </r>
  <r>
    <x v="516"/>
    <x v="243"/>
    <s v="Ethan Clark"/>
    <x v="1"/>
    <s v="South Korea"/>
    <x v="3"/>
    <x v="1"/>
    <x v="12"/>
    <n v="1"/>
    <n v="20.54"/>
    <n v="5"/>
    <n v="19.510000000000002"/>
    <n v="9.89"/>
    <n v="0.38"/>
    <x v="3"/>
    <n v="20.54"/>
    <n v="1.9477191184008199E-2"/>
    <n v="29.400000000000002"/>
  </r>
  <r>
    <x v="517"/>
    <x v="244"/>
    <s v="Barbara Weber"/>
    <x v="2"/>
    <s v="United Kingdom"/>
    <x v="1"/>
    <x v="0"/>
    <x v="29"/>
    <n v="2"/>
    <n v="34.81"/>
    <n v="0"/>
    <n v="69.62"/>
    <n v="8.7200000000000006"/>
    <n v="22.61"/>
    <x v="1"/>
    <n v="69.62"/>
    <n v="0.32476299913817863"/>
    <n v="78.34"/>
  </r>
  <r>
    <x v="518"/>
    <x v="245"/>
    <s v="Susan Jackson"/>
    <x v="0"/>
    <s v="France"/>
    <x v="1"/>
    <x v="3"/>
    <x v="24"/>
    <n v="1"/>
    <n v="62.32"/>
    <n v="5"/>
    <n v="59.2"/>
    <n v="9.2799999999999994"/>
    <n v="18.760000000000002"/>
    <x v="2"/>
    <n v="62.32"/>
    <n v="0.31689189189189193"/>
    <n v="68.48"/>
  </r>
  <r>
    <x v="519"/>
    <x v="245"/>
    <s v="Maria Costa"/>
    <x v="0"/>
    <s v="South Africa"/>
    <x v="2"/>
    <x v="1"/>
    <x v="2"/>
    <n v="3"/>
    <n v="9.4499999999999993"/>
    <n v="25"/>
    <n v="21.26"/>
    <n v="14.95"/>
    <n v="-6.45"/>
    <x v="2"/>
    <n v="28.349999999999998"/>
    <n v="-0.30338664158043271"/>
    <n v="36.21"/>
  </r>
  <r>
    <x v="520"/>
    <x v="245"/>
    <s v="Joseph Chen"/>
    <x v="0"/>
    <s v="Italy"/>
    <x v="1"/>
    <x v="3"/>
    <x v="26"/>
    <n v="2"/>
    <n v="34.22"/>
    <n v="0"/>
    <n v="68.44"/>
    <n v="9.61"/>
    <n v="24.61"/>
    <x v="3"/>
    <n v="68.44"/>
    <n v="0.35958503798947983"/>
    <n v="78.05"/>
  </r>
  <r>
    <x v="521"/>
    <x v="246"/>
    <s v="Robert Clark"/>
    <x v="0"/>
    <s v="South Africa"/>
    <x v="2"/>
    <x v="0"/>
    <x v="1"/>
    <n v="4"/>
    <n v="65.64"/>
    <n v="25"/>
    <n v="196.92"/>
    <n v="19.34"/>
    <n v="33.17"/>
    <x v="0"/>
    <n v="262.56"/>
    <n v="0.1684440381880967"/>
    <n v="216.26"/>
  </r>
  <r>
    <x v="522"/>
    <x v="246"/>
    <s v="Jessica Weber"/>
    <x v="2"/>
    <s v="Saudi Arabia"/>
    <x v="2"/>
    <x v="3"/>
    <x v="27"/>
    <n v="3"/>
    <n v="38.42"/>
    <n v="0"/>
    <n v="115.26"/>
    <n v="18.100000000000001"/>
    <n v="39.53"/>
    <x v="1"/>
    <n v="115.26"/>
    <n v="0.34296373416623288"/>
    <n v="133.36000000000001"/>
  </r>
  <r>
    <x v="523"/>
    <x v="246"/>
    <s v="Liam Jones"/>
    <x v="1"/>
    <s v="South Korea"/>
    <x v="3"/>
    <x v="0"/>
    <x v="18"/>
    <n v="1"/>
    <n v="46.22"/>
    <n v="15"/>
    <n v="39.29"/>
    <n v="10.54"/>
    <n v="3.33"/>
    <x v="1"/>
    <n v="46.22"/>
    <n v="8.4754390430134899E-2"/>
    <n v="49.83"/>
  </r>
  <r>
    <x v="524"/>
    <x v="247"/>
    <s v="Li Sharma"/>
    <x v="1"/>
    <s v="Nigeria"/>
    <x v="2"/>
    <x v="0"/>
    <x v="1"/>
    <n v="3"/>
    <n v="146.85"/>
    <n v="10"/>
    <n v="396.49"/>
    <n v="15.07"/>
    <n v="139.12"/>
    <x v="2"/>
    <n v="440.54999999999995"/>
    <n v="0.35087896289944259"/>
    <n v="411.56"/>
  </r>
  <r>
    <x v="525"/>
    <x v="247"/>
    <s v="Sarah Tanaka"/>
    <x v="0"/>
    <s v="China"/>
    <x v="3"/>
    <x v="0"/>
    <x v="29"/>
    <n v="4"/>
    <n v="15.34"/>
    <n v="10"/>
    <n v="55.22"/>
    <n v="16.78"/>
    <n v="4.6900000000000004"/>
    <x v="2"/>
    <n v="61.36"/>
    <n v="8.4932995291561036E-2"/>
    <n v="72"/>
  </r>
  <r>
    <x v="526"/>
    <x v="247"/>
    <s v="Susan Weber"/>
    <x v="0"/>
    <s v="Spain"/>
    <x v="1"/>
    <x v="1"/>
    <x v="12"/>
    <n v="2"/>
    <n v="22.13"/>
    <n v="25"/>
    <n v="33.200000000000003"/>
    <n v="8.4600000000000009"/>
    <n v="4.82"/>
    <x v="1"/>
    <n v="44.26"/>
    <n v="0.14518072289156625"/>
    <n v="41.660000000000004"/>
  </r>
  <r>
    <x v="527"/>
    <x v="247"/>
    <s v="Nadia Tanaka"/>
    <x v="0"/>
    <s v="Italy"/>
    <x v="1"/>
    <x v="0"/>
    <x v="31"/>
    <n v="5"/>
    <n v="68.150000000000006"/>
    <n v="20"/>
    <n v="272.60000000000002"/>
    <n v="12.18"/>
    <n v="73.010000000000005"/>
    <x v="1"/>
    <n v="340.75"/>
    <n v="0.26782831988261191"/>
    <n v="284.78000000000003"/>
  </r>
  <r>
    <x v="528"/>
    <x v="247"/>
    <s v="Sakura Rodriguez"/>
    <x v="0"/>
    <s v="United States"/>
    <x v="0"/>
    <x v="2"/>
    <x v="8"/>
    <n v="1"/>
    <n v="129.24"/>
    <n v="20"/>
    <n v="103.39"/>
    <n v="5.96"/>
    <n v="19.89"/>
    <x v="1"/>
    <n v="129.24"/>
    <n v="0.19237837315020795"/>
    <n v="109.35"/>
  </r>
  <r>
    <x v="529"/>
    <x v="247"/>
    <s v="Michael Sato"/>
    <x v="0"/>
    <s v="Japan"/>
    <x v="3"/>
    <x v="3"/>
    <x v="11"/>
    <n v="1"/>
    <n v="82.52"/>
    <n v="20"/>
    <n v="66.02"/>
    <n v="9.64"/>
    <n v="15.12"/>
    <x v="0"/>
    <n v="82.52"/>
    <n v="0.22902150863374734"/>
    <n v="75.66"/>
  </r>
  <r>
    <x v="530"/>
    <x v="248"/>
    <s v="Felix MÃ¼ller"/>
    <x v="0"/>
    <s v="Japan"/>
    <x v="3"/>
    <x v="2"/>
    <x v="8"/>
    <n v="5"/>
    <n v="127.98"/>
    <n v="20"/>
    <n v="511.92"/>
    <n v="13.19"/>
    <n v="114.79"/>
    <x v="1"/>
    <n v="639.9"/>
    <n v="0.22423425535239883"/>
    <n v="525.11"/>
  </r>
  <r>
    <x v="531"/>
    <x v="249"/>
    <s v="Barbara Davis"/>
    <x v="2"/>
    <s v="France"/>
    <x v="1"/>
    <x v="0"/>
    <x v="7"/>
    <n v="9"/>
    <n v="33.479999999999997"/>
    <n v="10"/>
    <n v="271.19"/>
    <n v="12.56"/>
    <n v="92.9"/>
    <x v="0"/>
    <n v="301.32"/>
    <n v="0.34256425384416833"/>
    <n v="283.75"/>
  </r>
  <r>
    <x v="532"/>
    <x v="249"/>
    <s v="Lucas Suzuki"/>
    <x v="1"/>
    <s v="Canada"/>
    <x v="0"/>
    <x v="1"/>
    <x v="6"/>
    <n v="1"/>
    <n v="20.53"/>
    <n v="0"/>
    <n v="20.53"/>
    <n v="6.24"/>
    <n v="5.05"/>
    <x v="1"/>
    <n v="20.53"/>
    <n v="0.24598149050170481"/>
    <n v="26.770000000000003"/>
  </r>
  <r>
    <x v="533"/>
    <x v="250"/>
    <s v="Nadia Tanaka"/>
    <x v="0"/>
    <s v="Argentina"/>
    <x v="4"/>
    <x v="2"/>
    <x v="39"/>
    <n v="7"/>
    <n v="151.91999999999999"/>
    <n v="15"/>
    <n v="903.92"/>
    <n v="23.57"/>
    <n v="242.29"/>
    <x v="1"/>
    <n v="1063.4399999999998"/>
    <n v="0.26804363217983895"/>
    <n v="927.49"/>
  </r>
  <r>
    <x v="534"/>
    <x v="250"/>
    <s v="Linda Russo"/>
    <x v="1"/>
    <s v="Japan"/>
    <x v="3"/>
    <x v="0"/>
    <x v="22"/>
    <n v="3"/>
    <n v="108.96"/>
    <n v="10"/>
    <n v="294.19"/>
    <n v="14.91"/>
    <n v="99.5"/>
    <x v="2"/>
    <n v="326.88"/>
    <n v="0.3382167986675278"/>
    <n v="309.10000000000002"/>
  </r>
  <r>
    <x v="535"/>
    <x v="250"/>
    <s v="Thomas Rodriguez"/>
    <x v="0"/>
    <s v="Argentina"/>
    <x v="4"/>
    <x v="1"/>
    <x v="2"/>
    <n v="7"/>
    <n v="11.09"/>
    <n v="10"/>
    <n v="69.87"/>
    <n v="22.14"/>
    <n v="12.8"/>
    <x v="1"/>
    <n v="77.63"/>
    <n v="0.18319736653785601"/>
    <n v="92.01"/>
  </r>
  <r>
    <x v="536"/>
    <x v="251"/>
    <s v="Ayumi Garcia"/>
    <x v="1"/>
    <s v="Mexico"/>
    <x v="0"/>
    <x v="3"/>
    <x v="16"/>
    <n v="4"/>
    <n v="33.979999999999997"/>
    <n v="5"/>
    <n v="129.12"/>
    <n v="14.26"/>
    <n v="46.9"/>
    <x v="1"/>
    <n v="135.91999999999999"/>
    <n v="0.36322800495662949"/>
    <n v="143.38"/>
  </r>
  <r>
    <x v="537"/>
    <x v="251"/>
    <s v="Karen Robinson"/>
    <x v="2"/>
    <s v="China"/>
    <x v="3"/>
    <x v="0"/>
    <x v="35"/>
    <n v="11"/>
    <n v="52.9"/>
    <n v="0"/>
    <n v="581.9"/>
    <n v="17.52"/>
    <n v="244.33"/>
    <x v="3"/>
    <n v="581.9"/>
    <n v="0.41988314143323596"/>
    <n v="599.41999999999996"/>
  </r>
  <r>
    <x v="538"/>
    <x v="251"/>
    <s v="Elizabeth Fischer"/>
    <x v="0"/>
    <s v="Canada"/>
    <x v="0"/>
    <x v="0"/>
    <x v="29"/>
    <n v="2"/>
    <n v="33.200000000000003"/>
    <n v="0"/>
    <n v="66.400000000000006"/>
    <n v="8.8800000000000008"/>
    <n v="21"/>
    <x v="2"/>
    <n v="66.400000000000006"/>
    <n v="0.31626506024096385"/>
    <n v="75.28"/>
  </r>
  <r>
    <x v="539"/>
    <x v="252"/>
    <s v="Fatima Williams"/>
    <x v="1"/>
    <s v="Colombia"/>
    <x v="4"/>
    <x v="1"/>
    <x v="12"/>
    <n v="5"/>
    <n v="18.760000000000002"/>
    <n v="15"/>
    <n v="79.73"/>
    <n v="18.239999999999998"/>
    <n v="19.28"/>
    <x v="0"/>
    <n v="93.800000000000011"/>
    <n v="0.24181612943684938"/>
    <n v="97.97"/>
  </r>
  <r>
    <x v="540"/>
    <x v="253"/>
    <s v="Layla Anderson"/>
    <x v="2"/>
    <s v="Australia"/>
    <x v="3"/>
    <x v="2"/>
    <x v="39"/>
    <n v="2"/>
    <n v="113.95"/>
    <n v="15"/>
    <n v="193.72"/>
    <n v="13.41"/>
    <n v="43.57"/>
    <x v="1"/>
    <n v="227.9"/>
    <n v="0.2249122444765641"/>
    <n v="207.13"/>
  </r>
  <r>
    <x v="541"/>
    <x v="253"/>
    <s v="Ali Li"/>
    <x v="0"/>
    <s v="Italy"/>
    <x v="1"/>
    <x v="0"/>
    <x v="22"/>
    <n v="2"/>
    <n v="81.19"/>
    <n v="5"/>
    <n v="154.26"/>
    <n v="10.33"/>
    <n v="54.62"/>
    <x v="2"/>
    <n v="162.38"/>
    <n v="0.35407753144042525"/>
    <n v="164.59"/>
  </r>
  <r>
    <x v="542"/>
    <x v="254"/>
    <s v="Fatima Kim"/>
    <x v="0"/>
    <s v="Germany"/>
    <x v="1"/>
    <x v="1"/>
    <x v="38"/>
    <n v="1"/>
    <n v="13.39"/>
    <n v="15"/>
    <n v="11.38"/>
    <n v="7.96"/>
    <n v="-2.61"/>
    <x v="1"/>
    <n v="13.39"/>
    <n v="-0.22934973637961334"/>
    <n v="19.34"/>
  </r>
  <r>
    <x v="543"/>
    <x v="255"/>
    <s v="Elizabeth Johansson"/>
    <x v="1"/>
    <s v="Brazil"/>
    <x v="4"/>
    <x v="2"/>
    <x v="36"/>
    <n v="5"/>
    <n v="183.81"/>
    <n v="25"/>
    <n v="689.29"/>
    <n v="20.65"/>
    <n v="117.21"/>
    <x v="1"/>
    <n v="919.05"/>
    <n v="0.17004453858317981"/>
    <n v="709.93999999999994"/>
  </r>
  <r>
    <x v="544"/>
    <x v="255"/>
    <s v="Sarah Suzuki"/>
    <x v="2"/>
    <s v="Canada"/>
    <x v="0"/>
    <x v="0"/>
    <x v="18"/>
    <n v="8"/>
    <n v="58.27"/>
    <n v="10"/>
    <n v="419.54"/>
    <n v="24.05"/>
    <n v="139.1"/>
    <x v="2"/>
    <n v="466.16"/>
    <n v="0.33155360633074316"/>
    <n v="443.59000000000003"/>
  </r>
  <r>
    <x v="545"/>
    <x v="256"/>
    <s v="Jamal Robinson"/>
    <x v="2"/>
    <s v="South Korea"/>
    <x v="3"/>
    <x v="1"/>
    <x v="38"/>
    <n v="1"/>
    <n v="7.39"/>
    <n v="5"/>
    <n v="7.02"/>
    <n v="9.58"/>
    <n v="-5.89"/>
    <x v="2"/>
    <n v="7.39"/>
    <n v="-0.83903133903133909"/>
    <n v="16.600000000000001"/>
  </r>
  <r>
    <x v="546"/>
    <x v="257"/>
    <s v="Susan Chen"/>
    <x v="0"/>
    <s v="China"/>
    <x v="3"/>
    <x v="0"/>
    <x v="28"/>
    <n v="2"/>
    <n v="38.06"/>
    <n v="5"/>
    <n v="72.31"/>
    <n v="10.58"/>
    <n v="19.86"/>
    <x v="1"/>
    <n v="76.12"/>
    <n v="0.2746508090167335"/>
    <n v="82.89"/>
  </r>
  <r>
    <x v="547"/>
    <x v="257"/>
    <s v="Kenji Martin"/>
    <x v="2"/>
    <s v="Nigeria"/>
    <x v="2"/>
    <x v="0"/>
    <x v="29"/>
    <n v="1"/>
    <n v="17.559999999999999"/>
    <n v="0"/>
    <n v="17.559999999999999"/>
    <n v="13.21"/>
    <n v="-5.31"/>
    <x v="1"/>
    <n v="17.559999999999999"/>
    <n v="-0.30239179954441914"/>
    <n v="30.77"/>
  </r>
  <r>
    <x v="548"/>
    <x v="257"/>
    <s v="Zara Miller"/>
    <x v="1"/>
    <s v="United Kingdom"/>
    <x v="1"/>
    <x v="0"/>
    <x v="22"/>
    <n v="3"/>
    <n v="145.72999999999999"/>
    <n v="10"/>
    <n v="393.47"/>
    <n v="9.99"/>
    <n v="143.03"/>
    <x v="3"/>
    <n v="437.18999999999994"/>
    <n v="0.36350928914529695"/>
    <n v="403.46000000000004"/>
  </r>
  <r>
    <x v="549"/>
    <x v="258"/>
    <s v="Diego Jones"/>
    <x v="0"/>
    <s v="China"/>
    <x v="3"/>
    <x v="3"/>
    <x v="24"/>
    <n v="1"/>
    <n v="30.54"/>
    <n v="10"/>
    <n v="27.49"/>
    <n v="10.33"/>
    <n v="1.89"/>
    <x v="2"/>
    <n v="30.54"/>
    <n v="6.8752273554019638E-2"/>
    <n v="37.82"/>
  </r>
  <r>
    <x v="550"/>
    <x v="258"/>
    <s v="Fatima Brown"/>
    <x v="1"/>
    <s v="France"/>
    <x v="1"/>
    <x v="0"/>
    <x v="3"/>
    <n v="3"/>
    <n v="40.21"/>
    <n v="0"/>
    <n v="120.63"/>
    <n v="11.66"/>
    <n v="42.62"/>
    <x v="3"/>
    <n v="120.63"/>
    <n v="0.35331177982259804"/>
    <n v="132.29"/>
  </r>
  <r>
    <x v="551"/>
    <x v="258"/>
    <s v="Hanna Johnson"/>
    <x v="2"/>
    <s v="Australia"/>
    <x v="3"/>
    <x v="2"/>
    <x v="15"/>
    <n v="6"/>
    <n v="302.02999999999997"/>
    <n v="20"/>
    <n v="1449.74"/>
    <n v="13.81"/>
    <n v="348.62"/>
    <x v="0"/>
    <n v="1812.1799999999998"/>
    <n v="0.24047070509194751"/>
    <n v="1463.55"/>
  </r>
  <r>
    <x v="552"/>
    <x v="258"/>
    <s v="Ahmed Pereira"/>
    <x v="1"/>
    <s v="India"/>
    <x v="3"/>
    <x v="0"/>
    <x v="29"/>
    <n v="2"/>
    <n v="34.799999999999997"/>
    <n v="5"/>
    <n v="66.12"/>
    <n v="10.050000000000001"/>
    <n v="17.79"/>
    <x v="0"/>
    <n v="69.599999999999994"/>
    <n v="0.26905626134301269"/>
    <n v="76.17"/>
  </r>
  <r>
    <x v="553"/>
    <x v="258"/>
    <s v="Fatima Yamamoto"/>
    <x v="1"/>
    <s v="South Africa"/>
    <x v="2"/>
    <x v="1"/>
    <x v="2"/>
    <n v="6"/>
    <n v="14.97"/>
    <n v="5"/>
    <n v="85.33"/>
    <n v="22.3"/>
    <n v="22.61"/>
    <x v="2"/>
    <n v="89.820000000000007"/>
    <n v="0.26497128794093522"/>
    <n v="107.63"/>
  </r>
  <r>
    <x v="554"/>
    <x v="259"/>
    <s v="Joseph Romano"/>
    <x v="1"/>
    <s v="Argentina"/>
    <x v="4"/>
    <x v="0"/>
    <x v="3"/>
    <n v="1"/>
    <n v="83.28"/>
    <n v="0"/>
    <n v="83.28"/>
    <n v="12.13"/>
    <n v="25.35"/>
    <x v="1"/>
    <n v="83.28"/>
    <n v="0.30439481268011531"/>
    <n v="95.41"/>
  </r>
  <r>
    <x v="555"/>
    <x v="259"/>
    <s v="Sarah Sharma"/>
    <x v="1"/>
    <s v="France"/>
    <x v="1"/>
    <x v="0"/>
    <x v="31"/>
    <n v="7"/>
    <n v="95.46"/>
    <n v="5"/>
    <n v="634.80999999999995"/>
    <n v="20.14"/>
    <n v="247.15"/>
    <x v="0"/>
    <n v="668.21999999999991"/>
    <n v="0.38932909059403603"/>
    <n v="654.94999999999993"/>
  </r>
  <r>
    <x v="556"/>
    <x v="260"/>
    <s v="Linda Laurent"/>
    <x v="1"/>
    <s v="Germany"/>
    <x v="1"/>
    <x v="1"/>
    <x v="10"/>
    <n v="2"/>
    <n v="8.91"/>
    <n v="15"/>
    <n v="15.15"/>
    <n v="11.64"/>
    <n v="-4.51"/>
    <x v="2"/>
    <n v="17.82"/>
    <n v="-0.2976897689768977"/>
    <n v="26.79"/>
  </r>
  <r>
    <x v="557"/>
    <x v="261"/>
    <s v="Ahmed Taylor"/>
    <x v="1"/>
    <s v="Colombia"/>
    <x v="4"/>
    <x v="3"/>
    <x v="9"/>
    <n v="3"/>
    <n v="64.75"/>
    <n v="0"/>
    <n v="194.25"/>
    <n v="14.63"/>
    <n v="82.5"/>
    <x v="1"/>
    <n v="194.25"/>
    <n v="0.42471042471042469"/>
    <n v="208.88"/>
  </r>
  <r>
    <x v="558"/>
    <x v="261"/>
    <s v="Diego Robinson"/>
    <x v="0"/>
    <s v="China"/>
    <x v="3"/>
    <x v="2"/>
    <x v="8"/>
    <n v="4"/>
    <n v="127.45"/>
    <n v="15"/>
    <n v="433.33"/>
    <n v="12.43"/>
    <n v="115.02"/>
    <x v="1"/>
    <n v="509.8"/>
    <n v="0.26543281102162325"/>
    <n v="445.76"/>
  </r>
  <r>
    <x v="559"/>
    <x v="262"/>
    <s v="Ethan Wang"/>
    <x v="0"/>
    <s v="Germany"/>
    <x v="1"/>
    <x v="2"/>
    <x v="8"/>
    <n v="4"/>
    <n v="70.540000000000006"/>
    <n v="15"/>
    <n v="239.84"/>
    <n v="11.23"/>
    <n v="59.31"/>
    <x v="3"/>
    <n v="282.16000000000003"/>
    <n v="0.2472898599066044"/>
    <n v="251.07"/>
  </r>
  <r>
    <x v="560"/>
    <x v="262"/>
    <s v="Wei Smith"/>
    <x v="2"/>
    <s v="Japan"/>
    <x v="3"/>
    <x v="1"/>
    <x v="17"/>
    <n v="7"/>
    <n v="9.27"/>
    <n v="5"/>
    <n v="61.65"/>
    <n v="19.21"/>
    <n v="13.24"/>
    <x v="1"/>
    <n v="64.89"/>
    <n v="0.21476074614760746"/>
    <n v="80.86"/>
  </r>
  <r>
    <x v="561"/>
    <x v="263"/>
    <s v="Jennifer Kim"/>
    <x v="1"/>
    <s v="United States"/>
    <x v="0"/>
    <x v="0"/>
    <x v="35"/>
    <n v="3"/>
    <n v="53.47"/>
    <n v="0"/>
    <n v="160.41"/>
    <n v="10.7"/>
    <n v="61.48"/>
    <x v="3"/>
    <n v="160.41"/>
    <n v="0.38326787606757684"/>
    <n v="171.10999999999999"/>
  </r>
  <r>
    <x v="562"/>
    <x v="263"/>
    <s v="Jessica Park"/>
    <x v="1"/>
    <s v="China"/>
    <x v="3"/>
    <x v="2"/>
    <x v="5"/>
    <n v="1"/>
    <n v="94.39"/>
    <n v="15"/>
    <n v="80.23"/>
    <n v="11.03"/>
    <n v="12.57"/>
    <x v="2"/>
    <n v="94.39"/>
    <n v="0.15667456063816526"/>
    <n v="91.26"/>
  </r>
  <r>
    <x v="563"/>
    <x v="264"/>
    <s v="Emma Jackson"/>
    <x v="1"/>
    <s v="United States"/>
    <x v="0"/>
    <x v="0"/>
    <x v="31"/>
    <n v="1"/>
    <n v="187.3"/>
    <n v="5"/>
    <n v="177.94"/>
    <n v="6.98"/>
    <n v="67.94"/>
    <x v="1"/>
    <n v="187.3"/>
    <n v="0.38181409463864224"/>
    <n v="184.92"/>
  </r>
  <r>
    <x v="564"/>
    <x v="265"/>
    <s v="Zara Nilsson"/>
    <x v="1"/>
    <s v="Canada"/>
    <x v="0"/>
    <x v="2"/>
    <x v="5"/>
    <n v="2"/>
    <n v="163.55000000000001"/>
    <n v="0"/>
    <n v="327.10000000000002"/>
    <n v="6.02"/>
    <n v="124.82"/>
    <x v="1"/>
    <n v="327.10000000000002"/>
    <n v="0.38159584225007637"/>
    <n v="333.12"/>
  </r>
  <r>
    <x v="565"/>
    <x v="265"/>
    <s v="Oscar Thomas"/>
    <x v="1"/>
    <s v="India"/>
    <x v="3"/>
    <x v="3"/>
    <x v="30"/>
    <n v="1"/>
    <n v="22.15"/>
    <n v="0"/>
    <n v="22.15"/>
    <n v="10.89"/>
    <n v="0.18"/>
    <x v="3"/>
    <n v="22.15"/>
    <n v="8.1264108352144468E-3"/>
    <n v="33.04"/>
  </r>
  <r>
    <x v="566"/>
    <x v="266"/>
    <s v="Priya Leroy"/>
    <x v="0"/>
    <s v="South Korea"/>
    <x v="3"/>
    <x v="0"/>
    <x v="35"/>
    <n v="1"/>
    <n v="37.78"/>
    <n v="10"/>
    <n v="34"/>
    <n v="10.66"/>
    <n v="2.56"/>
    <x v="1"/>
    <n v="37.78"/>
    <n v="7.5294117647058831E-2"/>
    <n v="44.66"/>
  </r>
  <r>
    <x v="567"/>
    <x v="266"/>
    <s v="Christopher Leroy"/>
    <x v="0"/>
    <s v="Germany"/>
    <x v="1"/>
    <x v="2"/>
    <x v="32"/>
    <n v="8"/>
    <n v="64.55"/>
    <n v="20"/>
    <n v="413.12"/>
    <n v="20.98"/>
    <n v="82.3"/>
    <x v="1"/>
    <n v="516.4"/>
    <n v="0.19921572424477149"/>
    <n v="434.1"/>
  </r>
  <r>
    <x v="568"/>
    <x v="267"/>
    <s v="Jennifer Romano"/>
    <x v="0"/>
    <s v="Spain"/>
    <x v="1"/>
    <x v="2"/>
    <x v="4"/>
    <n v="3"/>
    <n v="162.18"/>
    <n v="15"/>
    <n v="413.56"/>
    <n v="10.53"/>
    <n v="111.11"/>
    <x v="0"/>
    <n v="486.54"/>
    <n v="0.26866718251281557"/>
    <n v="424.09"/>
  </r>
  <r>
    <x v="569"/>
    <x v="268"/>
    <s v="Felix Laurent"/>
    <x v="0"/>
    <s v="Canada"/>
    <x v="0"/>
    <x v="0"/>
    <x v="18"/>
    <n v="1"/>
    <n v="40.47"/>
    <n v="5"/>
    <n v="38.450000000000003"/>
    <n v="6.75"/>
    <n v="9.44"/>
    <x v="1"/>
    <n v="40.47"/>
    <n v="0.24551365409622883"/>
    <n v="45.2"/>
  </r>
  <r>
    <x v="570"/>
    <x v="268"/>
    <s v="Raj Anderson"/>
    <x v="1"/>
    <s v="Argentina"/>
    <x v="4"/>
    <x v="1"/>
    <x v="6"/>
    <n v="2"/>
    <n v="10.67"/>
    <n v="15"/>
    <n v="18.14"/>
    <n v="14.02"/>
    <n v="-5.48"/>
    <x v="1"/>
    <n v="21.34"/>
    <n v="-0.30209481808158767"/>
    <n v="32.159999999999997"/>
  </r>
  <r>
    <x v="571"/>
    <x v="269"/>
    <s v="Fatima Patel"/>
    <x v="1"/>
    <s v="Canada"/>
    <x v="0"/>
    <x v="1"/>
    <x v="38"/>
    <n v="3"/>
    <n v="11.62"/>
    <n v="15"/>
    <n v="29.63"/>
    <n v="7.43"/>
    <n v="6.51"/>
    <x v="1"/>
    <n v="34.86"/>
    <n v="0.21970975362807965"/>
    <n v="37.06"/>
  </r>
  <r>
    <x v="572"/>
    <x v="269"/>
    <s v="Giulia Rossi"/>
    <x v="0"/>
    <s v="Australia"/>
    <x v="3"/>
    <x v="0"/>
    <x v="7"/>
    <n v="11"/>
    <n v="53.68"/>
    <n v="0"/>
    <n v="590.48"/>
    <n v="19.16"/>
    <n v="246.56"/>
    <x v="2"/>
    <n v="590.48"/>
    <n v="0.41755859639615228"/>
    <n v="609.64"/>
  </r>
  <r>
    <x v="573"/>
    <x v="270"/>
    <s v="Kenji Moreau"/>
    <x v="0"/>
    <s v="Canada"/>
    <x v="0"/>
    <x v="1"/>
    <x v="17"/>
    <n v="7"/>
    <n v="7.45"/>
    <n v="5"/>
    <n v="49.54"/>
    <n v="14.62"/>
    <n v="11.45"/>
    <x v="2"/>
    <n v="52.15"/>
    <n v="0.23112636253532498"/>
    <n v="64.16"/>
  </r>
  <r>
    <x v="574"/>
    <x v="271"/>
    <s v="Karen Khan"/>
    <x v="1"/>
    <s v="China"/>
    <x v="3"/>
    <x v="1"/>
    <x v="20"/>
    <n v="3"/>
    <n v="10.56"/>
    <n v="5"/>
    <n v="30.1"/>
    <n v="14.07"/>
    <n v="1.77"/>
    <x v="2"/>
    <n v="31.68"/>
    <n v="5.880398671096345E-2"/>
    <n v="44.17"/>
  </r>
  <r>
    <x v="575"/>
    <x v="271"/>
    <s v="Olga Thompson"/>
    <x v="1"/>
    <s v="Colombia"/>
    <x v="4"/>
    <x v="0"/>
    <x v="29"/>
    <n v="2"/>
    <n v="53.62"/>
    <n v="0"/>
    <n v="107.24"/>
    <n v="11.75"/>
    <n v="36.51"/>
    <x v="3"/>
    <n v="107.24"/>
    <n v="0.34045132413278628"/>
    <n v="118.99"/>
  </r>
  <r>
    <x v="576"/>
    <x v="272"/>
    <s v="Wei Fischer"/>
    <x v="1"/>
    <s v="Argentina"/>
    <x v="4"/>
    <x v="1"/>
    <x v="6"/>
    <n v="3"/>
    <n v="20.66"/>
    <n v="0"/>
    <n v="61.98"/>
    <n v="14.39"/>
    <n v="19.7"/>
    <x v="1"/>
    <n v="61.980000000000004"/>
    <n v="0.31784446595676025"/>
    <n v="76.37"/>
  </r>
  <r>
    <x v="577"/>
    <x v="272"/>
    <s v="Ali Romano"/>
    <x v="0"/>
    <s v="Japan"/>
    <x v="3"/>
    <x v="1"/>
    <x v="20"/>
    <n v="1"/>
    <n v="18.510000000000002"/>
    <n v="10"/>
    <n v="16.66"/>
    <n v="11.16"/>
    <n v="-2.83"/>
    <x v="2"/>
    <n v="18.510000000000002"/>
    <n v="-0.16986794717887155"/>
    <n v="27.82"/>
  </r>
  <r>
    <x v="578"/>
    <x v="273"/>
    <s v="Omar Costa"/>
    <x v="0"/>
    <s v="United States"/>
    <x v="0"/>
    <x v="2"/>
    <x v="15"/>
    <n v="1"/>
    <n v="209.98"/>
    <n v="5"/>
    <n v="199.48"/>
    <n v="7.19"/>
    <n v="66.3"/>
    <x v="2"/>
    <n v="209.98"/>
    <n v="0.33236414678163223"/>
    <n v="206.67"/>
  </r>
  <r>
    <x v="579"/>
    <x v="274"/>
    <s v="Diego Hassan"/>
    <x v="1"/>
    <s v="France"/>
    <x v="1"/>
    <x v="3"/>
    <x v="16"/>
    <n v="1"/>
    <n v="15.72"/>
    <n v="5"/>
    <n v="14.93"/>
    <n v="8.51"/>
    <n v="-1.44"/>
    <x v="2"/>
    <n v="15.72"/>
    <n v="-9.6450100468854646E-2"/>
    <n v="23.439999999999998"/>
  </r>
  <r>
    <x v="580"/>
    <x v="275"/>
    <s v="Xiao Rodriguez"/>
    <x v="2"/>
    <s v="Italy"/>
    <x v="1"/>
    <x v="0"/>
    <x v="35"/>
    <n v="2"/>
    <n v="29.09"/>
    <n v="5"/>
    <n v="55.27"/>
    <n v="9.82"/>
    <n v="13.45"/>
    <x v="1"/>
    <n v="58.18"/>
    <n v="0.24335082323140941"/>
    <n v="65.09"/>
  </r>
  <r>
    <x v="581"/>
    <x v="275"/>
    <s v="Ethan Khan"/>
    <x v="0"/>
    <s v="Mexico"/>
    <x v="0"/>
    <x v="0"/>
    <x v="28"/>
    <n v="6"/>
    <n v="40.22"/>
    <n v="10"/>
    <n v="217.19"/>
    <n v="13.45"/>
    <n v="71.010000000000005"/>
    <x v="3"/>
    <n v="241.32"/>
    <n v="0.3269487545467103"/>
    <n v="230.64"/>
  </r>
  <r>
    <x v="582"/>
    <x v="275"/>
    <s v="Oscar Costa"/>
    <x v="1"/>
    <s v="United Kingdom"/>
    <x v="1"/>
    <x v="1"/>
    <x v="12"/>
    <n v="2"/>
    <n v="9.1300000000000008"/>
    <n v="10"/>
    <n v="16.43"/>
    <n v="10.19"/>
    <n v="-1.98"/>
    <x v="1"/>
    <n v="18.260000000000002"/>
    <n v="-0.12051125989044431"/>
    <n v="26.619999999999997"/>
  </r>
  <r>
    <x v="583"/>
    <x v="275"/>
    <s v="Jessica Hassan"/>
    <x v="0"/>
    <s v="Italy"/>
    <x v="1"/>
    <x v="1"/>
    <x v="20"/>
    <n v="1"/>
    <n v="15.28"/>
    <n v="10"/>
    <n v="13.75"/>
    <n v="9.42"/>
    <n v="-2.5499999999999998"/>
    <x v="3"/>
    <n v="15.28"/>
    <n v="-0.18545454545454546"/>
    <n v="23.17"/>
  </r>
  <r>
    <x v="584"/>
    <x v="276"/>
    <s v="Linda Kumar"/>
    <x v="1"/>
    <s v="Mexico"/>
    <x v="0"/>
    <x v="2"/>
    <x v="8"/>
    <n v="6"/>
    <n v="90.7"/>
    <n v="20"/>
    <n v="435.36"/>
    <n v="10.26"/>
    <n v="98.58"/>
    <x v="2"/>
    <n v="544.20000000000005"/>
    <n v="0.2264332965821389"/>
    <n v="445.62"/>
  </r>
  <r>
    <x v="585"/>
    <x v="276"/>
    <s v="Isabella Harris"/>
    <x v="1"/>
    <s v="Colombia"/>
    <x v="4"/>
    <x v="0"/>
    <x v="35"/>
    <n v="5"/>
    <n v="24.47"/>
    <n v="0"/>
    <n v="122.35"/>
    <n v="17.010000000000002"/>
    <n v="38.049999999999997"/>
    <x v="1"/>
    <n v="122.35"/>
    <n v="0.31099305271761341"/>
    <n v="139.35999999999999"/>
  </r>
  <r>
    <x v="586"/>
    <x v="277"/>
    <s v="Joseph Suzuki"/>
    <x v="1"/>
    <s v="United States"/>
    <x v="0"/>
    <x v="3"/>
    <x v="27"/>
    <n v="1"/>
    <n v="45.68"/>
    <n v="10"/>
    <n v="41.11"/>
    <n v="5.64"/>
    <n v="12.63"/>
    <x v="3"/>
    <n v="45.68"/>
    <n v="0.30722451958161034"/>
    <n v="46.75"/>
  </r>
  <r>
    <x v="587"/>
    <x v="278"/>
    <s v="Xiao Harris"/>
    <x v="1"/>
    <s v="China"/>
    <x v="3"/>
    <x v="1"/>
    <x v="6"/>
    <n v="2"/>
    <n v="9.14"/>
    <n v="0"/>
    <n v="18.28"/>
    <n v="11.84"/>
    <n v="-1.79"/>
    <x v="3"/>
    <n v="18.28"/>
    <n v="-9.7921225382932159E-2"/>
    <n v="30.12"/>
  </r>
  <r>
    <x v="588"/>
    <x v="278"/>
    <s v="Pierre Leroy"/>
    <x v="0"/>
    <s v="Colombia"/>
    <x v="4"/>
    <x v="3"/>
    <x v="11"/>
    <n v="5"/>
    <n v="43.67"/>
    <n v="15"/>
    <n v="185.6"/>
    <n v="13.12"/>
    <n v="63.3"/>
    <x v="2"/>
    <n v="218.35000000000002"/>
    <n v="0.34105603448275862"/>
    <n v="198.72"/>
  </r>
  <r>
    <x v="589"/>
    <x v="279"/>
    <s v="Sarah Khan"/>
    <x v="1"/>
    <s v="Spain"/>
    <x v="1"/>
    <x v="2"/>
    <x v="39"/>
    <n v="4"/>
    <n v="182.4"/>
    <n v="10"/>
    <n v="656.64"/>
    <n v="9.07"/>
    <n v="209.81"/>
    <x v="2"/>
    <n v="729.6"/>
    <n v="0.31952058966861602"/>
    <n v="665.71"/>
  </r>
  <r>
    <x v="590"/>
    <x v="279"/>
    <s v="Zara Nilsson"/>
    <x v="0"/>
    <s v="India"/>
    <x v="3"/>
    <x v="1"/>
    <x v="17"/>
    <n v="3"/>
    <n v="9.44"/>
    <n v="10"/>
    <n v="25.49"/>
    <n v="16.13"/>
    <n v="-3.38"/>
    <x v="1"/>
    <n v="28.32"/>
    <n v="-0.13260102000784621"/>
    <n v="41.62"/>
  </r>
  <r>
    <x v="591"/>
    <x v="280"/>
    <s v="Susan Leroy"/>
    <x v="1"/>
    <s v="Brazil"/>
    <x v="4"/>
    <x v="1"/>
    <x v="6"/>
    <n v="1"/>
    <n v="8.8000000000000007"/>
    <n v="10"/>
    <n v="7.92"/>
    <n v="11.94"/>
    <n v="-7.98"/>
    <x v="3"/>
    <n v="8.8000000000000007"/>
    <n v="-1.0075757575757576"/>
    <n v="19.86"/>
  </r>
  <r>
    <x v="592"/>
    <x v="281"/>
    <s v="Christopher Khan"/>
    <x v="1"/>
    <s v="India"/>
    <x v="3"/>
    <x v="0"/>
    <x v="3"/>
    <n v="8"/>
    <n v="55.17"/>
    <n v="5"/>
    <n v="419.29"/>
    <n v="17.64"/>
    <n v="158.9"/>
    <x v="2"/>
    <n v="441.36"/>
    <n v="0.37897397982303416"/>
    <n v="436.93"/>
  </r>
  <r>
    <x v="593"/>
    <x v="281"/>
    <s v="Ivan Jones"/>
    <x v="0"/>
    <s v="Mexico"/>
    <x v="0"/>
    <x v="2"/>
    <x v="4"/>
    <n v="4"/>
    <n v="336.19"/>
    <n v="25"/>
    <n v="1008.57"/>
    <n v="8.15"/>
    <n v="193.56"/>
    <x v="1"/>
    <n v="1344.76"/>
    <n v="0.19191528599898866"/>
    <n v="1016.72"/>
  </r>
  <r>
    <x v="594"/>
    <x v="282"/>
    <s v="Fatima Ferrari"/>
    <x v="0"/>
    <s v="Japan"/>
    <x v="3"/>
    <x v="3"/>
    <x v="27"/>
    <n v="8"/>
    <n v="48.93"/>
    <n v="10"/>
    <n v="352.3"/>
    <n v="27.53"/>
    <n v="129.05000000000001"/>
    <x v="1"/>
    <n v="391.44"/>
    <n v="0.36630712460970766"/>
    <n v="379.83000000000004"/>
  </r>
  <r>
    <x v="595"/>
    <x v="282"/>
    <s v="Amir Laurent"/>
    <x v="2"/>
    <s v="Canada"/>
    <x v="0"/>
    <x v="2"/>
    <x v="5"/>
    <n v="6"/>
    <n v="191.06"/>
    <n v="20"/>
    <n v="917.09"/>
    <n v="19.84"/>
    <n v="209.43"/>
    <x v="1"/>
    <n v="1146.3600000000001"/>
    <n v="0.22836362843341437"/>
    <n v="936.93000000000006"/>
  </r>
  <r>
    <x v="596"/>
    <x v="283"/>
    <s v="Zara Leroy"/>
    <x v="0"/>
    <s v="Japan"/>
    <x v="3"/>
    <x v="2"/>
    <x v="36"/>
    <n v="4"/>
    <n v="112.46"/>
    <n v="5"/>
    <n v="427.35"/>
    <n v="18.440000000000001"/>
    <n v="139.01"/>
    <x v="1"/>
    <n v="449.84"/>
    <n v="0.32528372528372523"/>
    <n v="445.79"/>
  </r>
  <r>
    <x v="597"/>
    <x v="283"/>
    <s v="Felix Laurent"/>
    <x v="2"/>
    <s v="Australia"/>
    <x v="3"/>
    <x v="3"/>
    <x v="26"/>
    <n v="2"/>
    <n v="16.62"/>
    <n v="5"/>
    <n v="31.58"/>
    <n v="12.84"/>
    <n v="2.12"/>
    <x v="2"/>
    <n v="33.24"/>
    <n v="6.7131095630145673E-2"/>
    <n v="44.42"/>
  </r>
  <r>
    <x v="598"/>
    <x v="283"/>
    <s v="Chen Nilsson"/>
    <x v="2"/>
    <s v="United Kingdom"/>
    <x v="1"/>
    <x v="2"/>
    <x v="32"/>
    <n v="4"/>
    <n v="42.01"/>
    <n v="5"/>
    <n v="159.63999999999999"/>
    <n v="12.21"/>
    <n v="46.61"/>
    <x v="2"/>
    <n v="168.04"/>
    <n v="0.2919694312202456"/>
    <n v="171.85"/>
  </r>
  <r>
    <x v="599"/>
    <x v="283"/>
    <s v="Emma Sharma"/>
    <x v="1"/>
    <s v="Mexico"/>
    <x v="0"/>
    <x v="2"/>
    <x v="32"/>
    <n v="2"/>
    <n v="43.95"/>
    <n v="20"/>
    <n v="70.319999999999993"/>
    <n v="6.77"/>
    <n v="10.81"/>
    <x v="1"/>
    <n v="87.9"/>
    <n v="0.15372582480091015"/>
    <n v="77.089999999999989"/>
  </r>
  <r>
    <x v="600"/>
    <x v="283"/>
    <s v="Isabella Rossi"/>
    <x v="2"/>
    <s v="Canada"/>
    <x v="0"/>
    <x v="2"/>
    <x v="15"/>
    <n v="5"/>
    <n v="233.71"/>
    <n v="0"/>
    <n v="1168.55"/>
    <n v="8.94"/>
    <n v="458.48"/>
    <x v="3"/>
    <n v="1168.55"/>
    <n v="0.3923494929613624"/>
    <n v="1177.49"/>
  </r>
  <r>
    <x v="601"/>
    <x v="284"/>
    <s v="Hans Martin"/>
    <x v="1"/>
    <s v="Japan"/>
    <x v="3"/>
    <x v="2"/>
    <x v="21"/>
    <n v="2"/>
    <n v="55.94"/>
    <n v="0"/>
    <n v="111.88"/>
    <n v="10.95"/>
    <n v="33.799999999999997"/>
    <x v="3"/>
    <n v="111.88"/>
    <n v="0.30210940293171251"/>
    <n v="122.83"/>
  </r>
  <r>
    <x v="602"/>
    <x v="285"/>
    <s v="Jennifer Santos"/>
    <x v="1"/>
    <s v="United States"/>
    <x v="0"/>
    <x v="2"/>
    <x v="14"/>
    <n v="1"/>
    <n v="263.20999999999998"/>
    <n v="20"/>
    <n v="210.57"/>
    <n v="6.52"/>
    <n v="46.12"/>
    <x v="2"/>
    <n v="263.20999999999998"/>
    <n v="0.21902455240537588"/>
    <n v="217.09"/>
  </r>
  <r>
    <x v="603"/>
    <x v="285"/>
    <s v="Nadia Rossi"/>
    <x v="1"/>
    <s v="Japan"/>
    <x v="3"/>
    <x v="2"/>
    <x v="32"/>
    <n v="2"/>
    <n v="67.5"/>
    <n v="0"/>
    <n v="135"/>
    <n v="13.37"/>
    <n v="40.630000000000003"/>
    <x v="1"/>
    <n v="135"/>
    <n v="0.30096296296296299"/>
    <n v="148.37"/>
  </r>
  <r>
    <x v="604"/>
    <x v="285"/>
    <s v="John Ferrari"/>
    <x v="1"/>
    <s v="Canada"/>
    <x v="0"/>
    <x v="1"/>
    <x v="6"/>
    <n v="1"/>
    <n v="8.8699999999999992"/>
    <n v="0"/>
    <n v="8.8699999999999992"/>
    <n v="7.47"/>
    <n v="-2.59"/>
    <x v="2"/>
    <n v="8.8699999999999992"/>
    <n v="-0.29199549041713641"/>
    <n v="16.34"/>
  </r>
  <r>
    <x v="605"/>
    <x v="286"/>
    <s v="Thomas Ferrari"/>
    <x v="1"/>
    <s v="Mexico"/>
    <x v="0"/>
    <x v="1"/>
    <x v="6"/>
    <n v="4"/>
    <n v="14.98"/>
    <n v="0"/>
    <n v="59.92"/>
    <n v="10.55"/>
    <n v="22.41"/>
    <x v="1"/>
    <n v="59.92"/>
    <n v="0.37399866488651534"/>
    <n v="70.47"/>
  </r>
  <r>
    <x v="606"/>
    <x v="286"/>
    <s v="Amina Jones"/>
    <x v="1"/>
    <s v="Mexico"/>
    <x v="0"/>
    <x v="0"/>
    <x v="7"/>
    <n v="4"/>
    <n v="33.03"/>
    <n v="0"/>
    <n v="132.12"/>
    <n v="7.2"/>
    <n v="52.25"/>
    <x v="1"/>
    <n v="132.12"/>
    <n v="0.39547381168634571"/>
    <n v="139.32"/>
  </r>
  <r>
    <x v="607"/>
    <x v="286"/>
    <s v="Richard Yamamoto"/>
    <x v="1"/>
    <s v="UAE"/>
    <x v="2"/>
    <x v="2"/>
    <x v="32"/>
    <n v="3"/>
    <n v="66.28"/>
    <n v="0"/>
    <n v="198.84"/>
    <n v="16.2"/>
    <n v="63.34"/>
    <x v="2"/>
    <n v="198.84"/>
    <n v="0.31854757594045463"/>
    <n v="215.04"/>
  </r>
  <r>
    <x v="608"/>
    <x v="286"/>
    <s v="Lucas Li"/>
    <x v="0"/>
    <s v="India"/>
    <x v="3"/>
    <x v="2"/>
    <x v="14"/>
    <n v="3"/>
    <n v="216.54"/>
    <n v="0"/>
    <n v="649.62"/>
    <n v="16.39"/>
    <n v="243.46"/>
    <x v="1"/>
    <n v="649.62"/>
    <n v="0.37477294418275298"/>
    <n v="666.01"/>
  </r>
  <r>
    <x v="609"/>
    <x v="287"/>
    <s v="William Miller"/>
    <x v="0"/>
    <s v="India"/>
    <x v="3"/>
    <x v="1"/>
    <x v="6"/>
    <n v="4"/>
    <n v="17.57"/>
    <n v="15"/>
    <n v="59.74"/>
    <n v="18.73"/>
    <n v="9.3800000000000008"/>
    <x v="1"/>
    <n v="70.28"/>
    <n v="0.15701372614663542"/>
    <n v="78.47"/>
  </r>
  <r>
    <x v="610"/>
    <x v="287"/>
    <s v="Wei Hassan"/>
    <x v="0"/>
    <s v="India"/>
    <x v="3"/>
    <x v="3"/>
    <x v="11"/>
    <n v="2"/>
    <n v="68.14"/>
    <n v="25"/>
    <n v="102.21"/>
    <n v="10.95"/>
    <n v="23.12"/>
    <x v="1"/>
    <n v="136.28"/>
    <n v="0.22620095881029256"/>
    <n v="113.16"/>
  </r>
  <r>
    <x v="611"/>
    <x v="287"/>
    <s v="Olivia Laurent"/>
    <x v="1"/>
    <s v="Canada"/>
    <x v="0"/>
    <x v="1"/>
    <x v="38"/>
    <n v="1"/>
    <n v="9.23"/>
    <n v="0"/>
    <n v="9.23"/>
    <n v="6.44"/>
    <n v="-1.36"/>
    <x v="3"/>
    <n v="9.23"/>
    <n v="-0.14734561213434452"/>
    <n v="15.670000000000002"/>
  </r>
  <r>
    <x v="612"/>
    <x v="287"/>
    <s v="Raj Khan"/>
    <x v="2"/>
    <s v="United States"/>
    <x v="0"/>
    <x v="1"/>
    <x v="25"/>
    <n v="1"/>
    <n v="9.6"/>
    <n v="5"/>
    <n v="9.1199999999999992"/>
    <n v="5.52"/>
    <n v="-0.72"/>
    <x v="1"/>
    <n v="9.6"/>
    <n v="-7.8947368421052641E-2"/>
    <n v="14.639999999999999"/>
  </r>
  <r>
    <x v="613"/>
    <x v="287"/>
    <s v="Ava Garcia"/>
    <x v="1"/>
    <s v="Mexico"/>
    <x v="0"/>
    <x v="3"/>
    <x v="11"/>
    <n v="2"/>
    <n v="57.77"/>
    <n v="5"/>
    <n v="109.76"/>
    <n v="9.89"/>
    <n v="42.1"/>
    <x v="1"/>
    <n v="115.54"/>
    <n v="0.38356413994169097"/>
    <n v="119.65"/>
  </r>
  <r>
    <x v="614"/>
    <x v="287"/>
    <s v="Wei Fischer"/>
    <x v="1"/>
    <s v="Mexico"/>
    <x v="0"/>
    <x v="1"/>
    <x v="6"/>
    <n v="2"/>
    <n v="24.03"/>
    <n v="10"/>
    <n v="43.25"/>
    <n v="9.26"/>
    <n v="12.36"/>
    <x v="0"/>
    <n v="48.06"/>
    <n v="0.28578034682080922"/>
    <n v="52.51"/>
  </r>
  <r>
    <x v="615"/>
    <x v="287"/>
    <s v="Ayumi Kumar"/>
    <x v="0"/>
    <s v="Mexico"/>
    <x v="0"/>
    <x v="3"/>
    <x v="30"/>
    <n v="3"/>
    <n v="21.32"/>
    <n v="15"/>
    <n v="54.37"/>
    <n v="7.01"/>
    <n v="15.38"/>
    <x v="1"/>
    <n v="63.96"/>
    <n v="0.28287658635276808"/>
    <n v="61.379999999999995"/>
  </r>
  <r>
    <x v="616"/>
    <x v="288"/>
    <s v="Elizabeth Weber"/>
    <x v="1"/>
    <s v="Italy"/>
    <x v="1"/>
    <x v="2"/>
    <x v="32"/>
    <n v="7"/>
    <n v="67.53"/>
    <n v="10"/>
    <n v="425.44"/>
    <n v="12.11"/>
    <n v="129.69999999999999"/>
    <x v="3"/>
    <n v="472.71000000000004"/>
    <n v="0.30486084994358781"/>
    <n v="437.55"/>
  </r>
  <r>
    <x v="617"/>
    <x v="288"/>
    <s v="Liam Costa"/>
    <x v="1"/>
    <s v="Colombia"/>
    <x v="4"/>
    <x v="1"/>
    <x v="10"/>
    <n v="1"/>
    <n v="9.18"/>
    <n v="5"/>
    <n v="8.7200000000000006"/>
    <n v="11.53"/>
    <n v="-6.94"/>
    <x v="2"/>
    <n v="9.18"/>
    <n v="-0.79587155963302747"/>
    <n v="20.25"/>
  </r>
  <r>
    <x v="618"/>
    <x v="289"/>
    <s v="Sarah Thompson"/>
    <x v="1"/>
    <s v="United Kingdom"/>
    <x v="1"/>
    <x v="2"/>
    <x v="36"/>
    <n v="5"/>
    <n v="152.94999999999999"/>
    <n v="5"/>
    <n v="726.51"/>
    <n v="18.940000000000001"/>
    <n v="248.72"/>
    <x v="3"/>
    <n v="764.75"/>
    <n v="0.34234903855418369"/>
    <n v="745.45"/>
  </r>
  <r>
    <x v="619"/>
    <x v="289"/>
    <s v="Elizabeth Dubois"/>
    <x v="1"/>
    <s v="Japan"/>
    <x v="3"/>
    <x v="2"/>
    <x v="34"/>
    <n v="4"/>
    <n v="52.21"/>
    <n v="5"/>
    <n v="198.4"/>
    <n v="16.48"/>
    <n v="56.62"/>
    <x v="2"/>
    <n v="208.84"/>
    <n v="0.28538306451612899"/>
    <n v="214.88"/>
  </r>
  <r>
    <x v="620"/>
    <x v="289"/>
    <s v="Robert Dubois"/>
    <x v="0"/>
    <s v="United States"/>
    <x v="0"/>
    <x v="0"/>
    <x v="28"/>
    <n v="1"/>
    <n v="58.09"/>
    <n v="15"/>
    <n v="49.38"/>
    <n v="6.23"/>
    <n v="11.2"/>
    <x v="3"/>
    <n v="58.09"/>
    <n v="0.22681247468610771"/>
    <n v="55.61"/>
  </r>
  <r>
    <x v="621"/>
    <x v="289"/>
    <s v="Liam Rossi"/>
    <x v="0"/>
    <s v="Australia"/>
    <x v="3"/>
    <x v="1"/>
    <x v="25"/>
    <n v="3"/>
    <n v="9.9600000000000009"/>
    <n v="15"/>
    <n v="25.4"/>
    <n v="15"/>
    <n v="-3.05"/>
    <x v="3"/>
    <n v="29.880000000000003"/>
    <n v="-0.12007874015748031"/>
    <n v="40.4"/>
  </r>
  <r>
    <x v="622"/>
    <x v="290"/>
    <s v="David White"/>
    <x v="2"/>
    <s v="Mexico"/>
    <x v="0"/>
    <x v="1"/>
    <x v="6"/>
    <n v="1"/>
    <n v="15.07"/>
    <n v="5"/>
    <n v="14.32"/>
    <n v="6.62"/>
    <n v="0.92"/>
    <x v="1"/>
    <n v="15.07"/>
    <n v="6.4245810055865923E-2"/>
    <n v="20.94"/>
  </r>
  <r>
    <x v="623"/>
    <x v="290"/>
    <s v="Oscar Martinez"/>
    <x v="0"/>
    <s v="Mexico"/>
    <x v="0"/>
    <x v="3"/>
    <x v="24"/>
    <n v="10"/>
    <n v="38.590000000000003"/>
    <n v="10"/>
    <n v="347.31"/>
    <n v="26.11"/>
    <n v="128.25"/>
    <x v="1"/>
    <n v="385.90000000000003"/>
    <n v="0.36926664939103393"/>
    <n v="373.42"/>
  </r>
  <r>
    <x v="624"/>
    <x v="291"/>
    <s v="Hans Robinson"/>
    <x v="1"/>
    <s v="Canada"/>
    <x v="0"/>
    <x v="1"/>
    <x v="23"/>
    <n v="5"/>
    <n v="16.649999999999999"/>
    <n v="5"/>
    <n v="79.09"/>
    <n v="8.6300000000000008"/>
    <n v="33"/>
    <x v="1"/>
    <n v="83.25"/>
    <n v="0.41724617524339358"/>
    <n v="87.72"/>
  </r>
  <r>
    <x v="625"/>
    <x v="291"/>
    <s v="Carlos Ali"/>
    <x v="1"/>
    <s v="Canada"/>
    <x v="0"/>
    <x v="1"/>
    <x v="12"/>
    <n v="1"/>
    <n v="10.81"/>
    <n v="10"/>
    <n v="9.73"/>
    <n v="5.77"/>
    <n v="-0.9"/>
    <x v="3"/>
    <n v="10.81"/>
    <n v="-9.249743062692703E-2"/>
    <n v="15.5"/>
  </r>
  <r>
    <x v="626"/>
    <x v="291"/>
    <s v="Isabella Johansson"/>
    <x v="1"/>
    <s v="Nigeria"/>
    <x v="2"/>
    <x v="3"/>
    <x v="27"/>
    <n v="3"/>
    <n v="44.11"/>
    <n v="0"/>
    <n v="132.33000000000001"/>
    <n v="13.52"/>
    <n v="52.65"/>
    <x v="0"/>
    <n v="132.32999999999998"/>
    <n v="0.39786896395375193"/>
    <n v="145.85000000000002"/>
  </r>
  <r>
    <x v="627"/>
    <x v="291"/>
    <s v="Ava Li"/>
    <x v="0"/>
    <s v="Argentina"/>
    <x v="4"/>
    <x v="1"/>
    <x v="10"/>
    <n v="3"/>
    <n v="6.13"/>
    <n v="5"/>
    <n v="17.47"/>
    <n v="16.059999999999999"/>
    <n v="-6.87"/>
    <x v="0"/>
    <n v="18.39"/>
    <n v="-0.3932455638236978"/>
    <n v="33.53"/>
  </r>
  <r>
    <x v="628"/>
    <x v="291"/>
    <s v="Noah Chen"/>
    <x v="1"/>
    <s v="Germany"/>
    <x v="1"/>
    <x v="0"/>
    <x v="7"/>
    <n v="5"/>
    <n v="30.27"/>
    <n v="0"/>
    <n v="151.35"/>
    <n v="13.59"/>
    <n v="54.52"/>
    <x v="1"/>
    <n v="151.35"/>
    <n v="0.36022464486290062"/>
    <n v="164.94"/>
  </r>
  <r>
    <x v="629"/>
    <x v="291"/>
    <s v="Giulia Williams"/>
    <x v="0"/>
    <s v="United Kingdom"/>
    <x v="1"/>
    <x v="3"/>
    <x v="37"/>
    <n v="3"/>
    <n v="43.37"/>
    <n v="15"/>
    <n v="110.59"/>
    <n v="14.43"/>
    <n v="31.11"/>
    <x v="3"/>
    <n v="130.10999999999999"/>
    <n v="0.28130934080839132"/>
    <n v="125.02000000000001"/>
  </r>
  <r>
    <x v="630"/>
    <x v="291"/>
    <s v="Wei Santos"/>
    <x v="1"/>
    <s v="Australia"/>
    <x v="3"/>
    <x v="3"/>
    <x v="13"/>
    <n v="3"/>
    <n v="126.07"/>
    <n v="0"/>
    <n v="378.21"/>
    <n v="16.14"/>
    <n v="172.96"/>
    <x v="3"/>
    <n v="378.21"/>
    <n v="0.4573120753020809"/>
    <n v="394.34999999999997"/>
  </r>
  <r>
    <x v="631"/>
    <x v="291"/>
    <s v="Sophie Miller"/>
    <x v="2"/>
    <s v="United States"/>
    <x v="0"/>
    <x v="1"/>
    <x v="17"/>
    <n v="2"/>
    <n v="19.32"/>
    <n v="0"/>
    <n v="38.64"/>
    <n v="9.4700000000000006"/>
    <n v="11.78"/>
    <x v="2"/>
    <n v="38.64"/>
    <n v="0.3048654244306418"/>
    <n v="48.11"/>
  </r>
  <r>
    <x v="632"/>
    <x v="292"/>
    <s v="Linda Martin"/>
    <x v="1"/>
    <s v="United States"/>
    <x v="0"/>
    <x v="2"/>
    <x v="21"/>
    <n v="3"/>
    <n v="47.08"/>
    <n v="10"/>
    <n v="127.12"/>
    <n v="11.82"/>
    <n v="30.56"/>
    <x v="3"/>
    <n v="141.24"/>
    <n v="0.24040276903713026"/>
    <n v="138.94"/>
  </r>
  <r>
    <x v="633"/>
    <x v="292"/>
    <s v="Karen Smith"/>
    <x v="1"/>
    <s v="Spain"/>
    <x v="1"/>
    <x v="2"/>
    <x v="39"/>
    <n v="5"/>
    <n v="109.55"/>
    <n v="10"/>
    <n v="492.98"/>
    <n v="16.350000000000001"/>
    <n v="147.97999999999999"/>
    <x v="1"/>
    <n v="547.75"/>
    <n v="0.30017444926771875"/>
    <n v="509.33000000000004"/>
  </r>
  <r>
    <x v="634"/>
    <x v="293"/>
    <s v="William Chen"/>
    <x v="1"/>
    <s v="France"/>
    <x v="1"/>
    <x v="0"/>
    <x v="3"/>
    <n v="4"/>
    <n v="32.24"/>
    <n v="5"/>
    <n v="122.51"/>
    <n v="13.12"/>
    <n v="38.46"/>
    <x v="2"/>
    <n v="128.96"/>
    <n v="0.31393355644437188"/>
    <n v="135.63"/>
  </r>
  <r>
    <x v="635"/>
    <x v="293"/>
    <s v="Diego Anderson"/>
    <x v="1"/>
    <s v="Nigeria"/>
    <x v="2"/>
    <x v="3"/>
    <x v="9"/>
    <n v="1"/>
    <n v="32.68"/>
    <n v="5"/>
    <n v="31.05"/>
    <n v="13.1"/>
    <n v="1.61"/>
    <x v="1"/>
    <n v="32.68"/>
    <n v="5.185185185185185E-2"/>
    <n v="44.15"/>
  </r>
  <r>
    <x v="636"/>
    <x v="294"/>
    <s v="Ingrid Zhang"/>
    <x v="0"/>
    <s v="Australia"/>
    <x v="3"/>
    <x v="0"/>
    <x v="1"/>
    <n v="8"/>
    <n v="85.21"/>
    <n v="15"/>
    <n v="579.42999999999995"/>
    <n v="13.75"/>
    <n v="190.76"/>
    <x v="2"/>
    <n v="681.68"/>
    <n v="0.32922009561120413"/>
    <n v="593.17999999999995"/>
  </r>
  <r>
    <x v="637"/>
    <x v="295"/>
    <s v="Giulia Johnson"/>
    <x v="0"/>
    <s v="South Korea"/>
    <x v="3"/>
    <x v="0"/>
    <x v="0"/>
    <n v="3"/>
    <n v="166.63"/>
    <n v="0"/>
    <n v="499.89"/>
    <n v="14.84"/>
    <n v="210.11"/>
    <x v="3"/>
    <n v="499.89"/>
    <n v="0.4203124687431235"/>
    <n v="514.73"/>
  </r>
  <r>
    <x v="638"/>
    <x v="296"/>
    <s v="Kenji Schmidt"/>
    <x v="1"/>
    <s v="Canada"/>
    <x v="0"/>
    <x v="1"/>
    <x v="19"/>
    <n v="10"/>
    <n v="9.33"/>
    <n v="15"/>
    <n v="79.3"/>
    <n v="10.95"/>
    <n v="26.36"/>
    <x v="1"/>
    <n v="93.3"/>
    <n v="0.33240857503152588"/>
    <n v="90.25"/>
  </r>
  <r>
    <x v="639"/>
    <x v="296"/>
    <s v="Mary Laurent"/>
    <x v="1"/>
    <s v="Canada"/>
    <x v="0"/>
    <x v="3"/>
    <x v="30"/>
    <n v="5"/>
    <n v="8.1"/>
    <n v="20"/>
    <n v="32.4"/>
    <n v="16.7"/>
    <n v="-4.55"/>
    <x v="0"/>
    <n v="40.5"/>
    <n v="-0.14043209876543211"/>
    <n v="49.099999999999994"/>
  </r>
  <r>
    <x v="640"/>
    <x v="296"/>
    <s v="Maria Miller"/>
    <x v="0"/>
    <s v="Canada"/>
    <x v="0"/>
    <x v="1"/>
    <x v="17"/>
    <n v="3"/>
    <n v="17.75"/>
    <n v="15"/>
    <n v="45.26"/>
    <n v="10.14"/>
    <n v="11.16"/>
    <x v="1"/>
    <n v="53.25"/>
    <n v="0.24657534246575344"/>
    <n v="55.4"/>
  </r>
  <r>
    <x v="641"/>
    <x v="296"/>
    <s v="Amina Taylor"/>
    <x v="2"/>
    <s v="Germany"/>
    <x v="1"/>
    <x v="2"/>
    <x v="8"/>
    <n v="4"/>
    <n v="59.95"/>
    <n v="5"/>
    <n v="227.81"/>
    <n v="13.86"/>
    <n v="70.069999999999993"/>
    <x v="2"/>
    <n v="239.8"/>
    <n v="0.30758087880251084"/>
    <n v="241.67000000000002"/>
  </r>
  <r>
    <x v="642"/>
    <x v="296"/>
    <s v="Zara Smith"/>
    <x v="0"/>
    <s v="United States"/>
    <x v="0"/>
    <x v="1"/>
    <x v="10"/>
    <n v="4"/>
    <n v="3.66"/>
    <n v="20"/>
    <n v="11.71"/>
    <n v="13.72"/>
    <n v="-8.6"/>
    <x v="1"/>
    <n v="14.64"/>
    <n v="-0.73441502988898366"/>
    <n v="25.43"/>
  </r>
  <r>
    <x v="643"/>
    <x v="297"/>
    <s v="Diego Thomas"/>
    <x v="1"/>
    <s v="Nigeria"/>
    <x v="2"/>
    <x v="3"/>
    <x v="9"/>
    <n v="6"/>
    <n v="64.86"/>
    <n v="20"/>
    <n v="311.33"/>
    <n v="25.84"/>
    <n v="90.91"/>
    <x v="2"/>
    <n v="389.15999999999997"/>
    <n v="0.29200526772235247"/>
    <n v="337.16999999999996"/>
  </r>
  <r>
    <x v="644"/>
    <x v="297"/>
    <s v="Isabella Johnson"/>
    <x v="1"/>
    <s v="Saudi Arabia"/>
    <x v="2"/>
    <x v="2"/>
    <x v="21"/>
    <n v="4"/>
    <n v="94.69"/>
    <n v="10"/>
    <n v="340.88"/>
    <n v="14.7"/>
    <n v="98.92"/>
    <x v="1"/>
    <n v="378.76"/>
    <n v="0.29019009622154424"/>
    <n v="355.58"/>
  </r>
  <r>
    <x v="645"/>
    <x v="297"/>
    <s v="Elizabeth Harris"/>
    <x v="2"/>
    <s v="Australia"/>
    <x v="3"/>
    <x v="0"/>
    <x v="3"/>
    <n v="1"/>
    <n v="36.01"/>
    <n v="5"/>
    <n v="34.21"/>
    <n v="9.6999999999999993"/>
    <n v="4.7"/>
    <x v="1"/>
    <n v="36.01"/>
    <n v="0.1373867290266004"/>
    <n v="43.91"/>
  </r>
  <r>
    <x v="646"/>
    <x v="298"/>
    <s v="Sarah Rossi"/>
    <x v="1"/>
    <s v="Mexico"/>
    <x v="0"/>
    <x v="1"/>
    <x v="38"/>
    <n v="1"/>
    <n v="6.89"/>
    <n v="15"/>
    <n v="5.86"/>
    <n v="6.74"/>
    <n v="-3.98"/>
    <x v="0"/>
    <n v="6.89"/>
    <n v="-0.67918088737201365"/>
    <n v="12.600000000000001"/>
  </r>
  <r>
    <x v="647"/>
    <x v="298"/>
    <s v="Felix Davis"/>
    <x v="2"/>
    <s v="Mexico"/>
    <x v="0"/>
    <x v="0"/>
    <x v="22"/>
    <n v="1"/>
    <n v="98.38"/>
    <n v="0"/>
    <n v="98.38"/>
    <n v="6.62"/>
    <n v="37.65"/>
    <x v="2"/>
    <n v="98.38"/>
    <n v="0.38269973571864202"/>
    <n v="105"/>
  </r>
  <r>
    <x v="648"/>
    <x v="299"/>
    <s v="Hans Rossi"/>
    <x v="2"/>
    <s v="India"/>
    <x v="3"/>
    <x v="0"/>
    <x v="29"/>
    <n v="5"/>
    <n v="27.72"/>
    <n v="5"/>
    <n v="131.66999999999999"/>
    <n v="17.420000000000002"/>
    <n v="38.020000000000003"/>
    <x v="3"/>
    <n v="138.6"/>
    <n v="0.28875218348902565"/>
    <n v="149.08999999999997"/>
  </r>
  <r>
    <x v="649"/>
    <x v="299"/>
    <s v="James Ferrari"/>
    <x v="1"/>
    <s v="Colombia"/>
    <x v="4"/>
    <x v="2"/>
    <x v="14"/>
    <n v="3"/>
    <n v="371.61"/>
    <n v="15"/>
    <n v="947.61"/>
    <n v="15.39"/>
    <n v="263.32"/>
    <x v="1"/>
    <n v="1114.83"/>
    <n v="0.27787802999124112"/>
    <n v="963"/>
  </r>
  <r>
    <x v="650"/>
    <x v="299"/>
    <s v="Joseph Martinez"/>
    <x v="1"/>
    <s v="South Korea"/>
    <x v="3"/>
    <x v="2"/>
    <x v="15"/>
    <n v="2"/>
    <n v="288.74"/>
    <n v="20"/>
    <n v="461.98"/>
    <n v="11.82"/>
    <n v="103.67"/>
    <x v="3"/>
    <n v="577.48"/>
    <n v="0.22440365383782848"/>
    <n v="473.8"/>
  </r>
  <r>
    <x v="651"/>
    <x v="300"/>
    <s v="David Leroy"/>
    <x v="0"/>
    <s v="Saudi Arabia"/>
    <x v="2"/>
    <x v="1"/>
    <x v="12"/>
    <n v="12"/>
    <n v="11.81"/>
    <n v="15"/>
    <n v="120.46"/>
    <n v="22.68"/>
    <n v="34.01"/>
    <x v="2"/>
    <n v="141.72"/>
    <n v="0.28233438485804419"/>
    <n v="143.13999999999999"/>
  </r>
  <r>
    <x v="652"/>
    <x v="300"/>
    <s v="Ava Yamamoto"/>
    <x v="0"/>
    <s v="India"/>
    <x v="3"/>
    <x v="0"/>
    <x v="18"/>
    <n v="3"/>
    <n v="67.73"/>
    <n v="10"/>
    <n v="182.87"/>
    <n v="11.07"/>
    <n v="60.05"/>
    <x v="1"/>
    <n v="203.19"/>
    <n v="0.32837534860830098"/>
    <n v="193.94"/>
  </r>
  <r>
    <x v="653"/>
    <x v="300"/>
    <s v="Priya Costa"/>
    <x v="0"/>
    <s v="South Korea"/>
    <x v="3"/>
    <x v="2"/>
    <x v="36"/>
    <n v="4"/>
    <n v="166.71"/>
    <n v="20"/>
    <n v="533.47"/>
    <n v="15.13"/>
    <n v="118.24"/>
    <x v="1"/>
    <n v="666.84"/>
    <n v="0.22164320392899317"/>
    <n v="548.6"/>
  </r>
  <r>
    <x v="654"/>
    <x v="301"/>
    <s v="Priya Martin"/>
    <x v="2"/>
    <s v="Mexico"/>
    <x v="0"/>
    <x v="0"/>
    <x v="29"/>
    <n v="1"/>
    <n v="41.24"/>
    <n v="10"/>
    <n v="37.119999999999997"/>
    <n v="5.87"/>
    <n v="8.57"/>
    <x v="2"/>
    <n v="41.24"/>
    <n v="0.23087284482758624"/>
    <n v="42.989999999999995"/>
  </r>
  <r>
    <x v="655"/>
    <x v="301"/>
    <s v="Olivia Patel"/>
    <x v="2"/>
    <s v="France"/>
    <x v="1"/>
    <x v="0"/>
    <x v="22"/>
    <n v="5"/>
    <n v="81.099999999999994"/>
    <n v="10"/>
    <n v="364.95"/>
    <n v="17.850000000000001"/>
    <n v="124.07"/>
    <x v="1"/>
    <n v="405.5"/>
    <n v="0.33996437868201124"/>
    <n v="382.8"/>
  </r>
  <r>
    <x v="656"/>
    <x v="302"/>
    <s v="Barbara Sharma"/>
    <x v="0"/>
    <s v="United Kingdom"/>
    <x v="1"/>
    <x v="2"/>
    <x v="5"/>
    <n v="1"/>
    <n v="190.75"/>
    <n v="20"/>
    <n v="152.6"/>
    <n v="9.08"/>
    <n v="29.07"/>
    <x v="1"/>
    <n v="190.75"/>
    <n v="0.19049803407601573"/>
    <n v="161.68"/>
  </r>
  <r>
    <x v="657"/>
    <x v="302"/>
    <s v="Liam Romano"/>
    <x v="2"/>
    <s v="France"/>
    <x v="1"/>
    <x v="0"/>
    <x v="7"/>
    <n v="1"/>
    <n v="69.13"/>
    <n v="15"/>
    <n v="58.76"/>
    <n v="7.83"/>
    <n v="12.91"/>
    <x v="1"/>
    <n v="69.13"/>
    <n v="0.21970728386657593"/>
    <n v="66.59"/>
  </r>
  <r>
    <x v="658"/>
    <x v="303"/>
    <s v="Olga Davis"/>
    <x v="1"/>
    <s v="India"/>
    <x v="3"/>
    <x v="0"/>
    <x v="28"/>
    <n v="1"/>
    <n v="51.57"/>
    <n v="20"/>
    <n v="41.26"/>
    <n v="10.55"/>
    <n v="2.35"/>
    <x v="3"/>
    <n v="51.57"/>
    <n v="5.6955889481337861E-2"/>
    <n v="51.81"/>
  </r>
  <r>
    <x v="659"/>
    <x v="303"/>
    <s v="Noah Ali"/>
    <x v="1"/>
    <s v="Japan"/>
    <x v="3"/>
    <x v="0"/>
    <x v="3"/>
    <n v="3"/>
    <n v="85.34"/>
    <n v="5"/>
    <n v="243.22"/>
    <n v="10.71"/>
    <n v="91.7"/>
    <x v="1"/>
    <n v="256.02"/>
    <n v="0.37702491571416824"/>
    <n v="253.93"/>
  </r>
  <r>
    <x v="660"/>
    <x v="303"/>
    <s v="Ayumi Tanaka"/>
    <x v="0"/>
    <s v="Colombia"/>
    <x v="4"/>
    <x v="1"/>
    <x v="2"/>
    <n v="4"/>
    <n v="11.72"/>
    <n v="5"/>
    <n v="44.54"/>
    <n v="14.16"/>
    <n v="9.2799999999999994"/>
    <x v="3"/>
    <n v="46.88"/>
    <n v="0.20835204310731925"/>
    <n v="58.7"/>
  </r>
  <r>
    <x v="661"/>
    <x v="303"/>
    <s v="Isabella Anderson"/>
    <x v="0"/>
    <s v="South Korea"/>
    <x v="3"/>
    <x v="0"/>
    <x v="28"/>
    <n v="1"/>
    <n v="53.57"/>
    <n v="25"/>
    <n v="40.18"/>
    <n v="11.21"/>
    <n v="-0.49"/>
    <x v="0"/>
    <n v="53.57"/>
    <n v="-1.2195121951219513E-2"/>
    <n v="51.39"/>
  </r>
  <r>
    <x v="662"/>
    <x v="303"/>
    <s v="Raj Singh"/>
    <x v="1"/>
    <s v="South Korea"/>
    <x v="3"/>
    <x v="1"/>
    <x v="10"/>
    <n v="2"/>
    <n v="8.93"/>
    <n v="0"/>
    <n v="17.86"/>
    <n v="10.039999999999999"/>
    <n v="-0.22"/>
    <x v="1"/>
    <n v="17.86"/>
    <n v="-1.2318029115341547E-2"/>
    <n v="27.9"/>
  </r>
  <r>
    <x v="663"/>
    <x v="303"/>
    <s v="Ali Weber"/>
    <x v="0"/>
    <s v="China"/>
    <x v="3"/>
    <x v="3"/>
    <x v="24"/>
    <n v="5"/>
    <n v="57.59"/>
    <n v="5"/>
    <n v="273.55"/>
    <n v="16.190000000000001"/>
    <n v="113.38"/>
    <x v="2"/>
    <n v="287.95000000000005"/>
    <n v="0.41447632973862181"/>
    <n v="289.74"/>
  </r>
  <r>
    <x v="664"/>
    <x v="303"/>
    <s v="John Miller"/>
    <x v="2"/>
    <s v="Canada"/>
    <x v="0"/>
    <x v="0"/>
    <x v="29"/>
    <n v="3"/>
    <n v="25.88"/>
    <n v="15"/>
    <n v="65.989999999999995"/>
    <n v="6.99"/>
    <n v="16.3"/>
    <x v="1"/>
    <n v="77.64"/>
    <n v="0.24700712229125629"/>
    <n v="72.97999999999999"/>
  </r>
  <r>
    <x v="665"/>
    <x v="304"/>
    <s v="Ahmed Jackson"/>
    <x v="1"/>
    <s v="Argentina"/>
    <x v="4"/>
    <x v="2"/>
    <x v="21"/>
    <n v="2"/>
    <n v="85.83"/>
    <n v="15"/>
    <n v="145.91"/>
    <n v="13.6"/>
    <n v="29.31"/>
    <x v="2"/>
    <n v="171.66"/>
    <n v="0.20087725310122678"/>
    <n v="159.51"/>
  </r>
  <r>
    <x v="666"/>
    <x v="304"/>
    <s v="Hanna Dubois"/>
    <x v="0"/>
    <s v="Australia"/>
    <x v="3"/>
    <x v="2"/>
    <x v="5"/>
    <n v="2"/>
    <n v="139.66999999999999"/>
    <n v="15"/>
    <n v="237.44"/>
    <n v="13.84"/>
    <n v="56"/>
    <x v="1"/>
    <n v="279.33999999999997"/>
    <n v="0.23584905660377359"/>
    <n v="251.28"/>
  </r>
  <r>
    <x v="667"/>
    <x v="304"/>
    <s v="Priya Li"/>
    <x v="1"/>
    <s v="Colombia"/>
    <x v="4"/>
    <x v="1"/>
    <x v="38"/>
    <n v="5"/>
    <n v="8.83"/>
    <n v="0"/>
    <n v="44.15"/>
    <n v="19.010000000000002"/>
    <n v="5.27"/>
    <x v="3"/>
    <n v="44.15"/>
    <n v="0.11936579841449603"/>
    <n v="63.16"/>
  </r>
  <r>
    <x v="668"/>
    <x v="305"/>
    <s v="Priya Johansson"/>
    <x v="1"/>
    <s v="India"/>
    <x v="3"/>
    <x v="2"/>
    <x v="39"/>
    <n v="1"/>
    <n v="172.7"/>
    <n v="0"/>
    <n v="172.7"/>
    <n v="11.33"/>
    <n v="57.75"/>
    <x v="3"/>
    <n v="172.7"/>
    <n v="0.33439490445859876"/>
    <n v="184.03"/>
  </r>
  <r>
    <x v="669"/>
    <x v="306"/>
    <s v="Sarah Johnson"/>
    <x v="1"/>
    <s v="Germany"/>
    <x v="1"/>
    <x v="2"/>
    <x v="5"/>
    <n v="1"/>
    <n v="162.05000000000001"/>
    <n v="5"/>
    <n v="153.94999999999999"/>
    <n v="9.3800000000000008"/>
    <n v="47.34"/>
    <x v="2"/>
    <n v="162.05000000000001"/>
    <n v="0.3075024358557974"/>
    <n v="163.32999999999998"/>
  </r>
  <r>
    <x v="670"/>
    <x v="307"/>
    <s v="James Li"/>
    <x v="2"/>
    <s v="Mexico"/>
    <x v="0"/>
    <x v="0"/>
    <x v="22"/>
    <n v="3"/>
    <n v="135.75"/>
    <n v="0"/>
    <n v="407.25"/>
    <n v="8.74"/>
    <n v="174.52"/>
    <x v="1"/>
    <n v="407.25"/>
    <n v="0.42853284223449972"/>
    <n v="415.99"/>
  </r>
  <r>
    <x v="671"/>
    <x v="307"/>
    <s v="Olga Pereira"/>
    <x v="1"/>
    <s v="Italy"/>
    <x v="1"/>
    <x v="3"/>
    <x v="27"/>
    <n v="2"/>
    <n v="50.45"/>
    <n v="0"/>
    <n v="100.9"/>
    <n v="10.54"/>
    <n v="39.909999999999997"/>
    <x v="2"/>
    <n v="100.9"/>
    <n v="0.39554013875123878"/>
    <n v="111.44"/>
  </r>
  <r>
    <x v="672"/>
    <x v="308"/>
    <s v="Ali Miller"/>
    <x v="2"/>
    <s v="Canada"/>
    <x v="0"/>
    <x v="1"/>
    <x v="20"/>
    <n v="11"/>
    <n v="9.84"/>
    <n v="10"/>
    <n v="97.42"/>
    <n v="25.84"/>
    <n v="22.87"/>
    <x v="1"/>
    <n v="108.24"/>
    <n v="0.23475672346540752"/>
    <n v="123.26"/>
  </r>
  <r>
    <x v="673"/>
    <x v="309"/>
    <s v="Chen Johansson"/>
    <x v="0"/>
    <s v="Colombia"/>
    <x v="4"/>
    <x v="2"/>
    <x v="14"/>
    <n v="1"/>
    <n v="246.96"/>
    <n v="10"/>
    <n v="222.26"/>
    <n v="10.51"/>
    <n v="63.57"/>
    <x v="2"/>
    <n v="246.96"/>
    <n v="0.28601637721587331"/>
    <n v="232.76999999999998"/>
  </r>
  <r>
    <x v="674"/>
    <x v="309"/>
    <s v="Jamal Patel"/>
    <x v="1"/>
    <s v="United Kingdom"/>
    <x v="1"/>
    <x v="1"/>
    <x v="23"/>
    <n v="2"/>
    <n v="17.170000000000002"/>
    <n v="5"/>
    <n v="32.619999999999997"/>
    <n v="10.14"/>
    <n v="7.03"/>
    <x v="3"/>
    <n v="34.340000000000003"/>
    <n v="0.21551195585530353"/>
    <n v="42.76"/>
  </r>
  <r>
    <x v="675"/>
    <x v="309"/>
    <s v="Diego Nilsson"/>
    <x v="1"/>
    <s v="Italy"/>
    <x v="1"/>
    <x v="1"/>
    <x v="23"/>
    <n v="1"/>
    <n v="11.89"/>
    <n v="0"/>
    <n v="11.89"/>
    <n v="7.53"/>
    <n v="-0.99"/>
    <x v="3"/>
    <n v="11.89"/>
    <n v="-8.3263246425567705E-2"/>
    <n v="19.420000000000002"/>
  </r>
  <r>
    <x v="676"/>
    <x v="310"/>
    <s v="Jessica Kim"/>
    <x v="0"/>
    <s v="Brazil"/>
    <x v="4"/>
    <x v="1"/>
    <x v="6"/>
    <n v="5"/>
    <n v="17.43"/>
    <n v="0"/>
    <n v="87.15"/>
    <n v="13.79"/>
    <n v="34.14"/>
    <x v="1"/>
    <n v="87.15"/>
    <n v="0.39173838209982786"/>
    <n v="100.94"/>
  </r>
  <r>
    <x v="677"/>
    <x v="311"/>
    <s v="Olga Ahmed"/>
    <x v="1"/>
    <s v="Italy"/>
    <x v="1"/>
    <x v="3"/>
    <x v="33"/>
    <n v="3"/>
    <n v="22.55"/>
    <n v="10"/>
    <n v="60.89"/>
    <n v="12.39"/>
    <n v="14.67"/>
    <x v="1"/>
    <n v="67.650000000000006"/>
    <n v="0.24092626046969945"/>
    <n v="73.28"/>
  </r>
  <r>
    <x v="678"/>
    <x v="312"/>
    <s v="Hans Costa"/>
    <x v="1"/>
    <s v="Mexico"/>
    <x v="0"/>
    <x v="2"/>
    <x v="5"/>
    <n v="2"/>
    <n v="161.38999999999999"/>
    <n v="5"/>
    <n v="306.64"/>
    <n v="8.36"/>
    <n v="104.61"/>
    <x v="1"/>
    <n v="322.77999999999997"/>
    <n v="0.3411492303678581"/>
    <n v="315"/>
  </r>
  <r>
    <x v="679"/>
    <x v="312"/>
    <s v="Carlos Ahmed"/>
    <x v="1"/>
    <s v="Canada"/>
    <x v="0"/>
    <x v="0"/>
    <x v="29"/>
    <n v="1"/>
    <n v="47.57"/>
    <n v="0"/>
    <n v="47.57"/>
    <n v="5.87"/>
    <n v="15.54"/>
    <x v="3"/>
    <n v="47.57"/>
    <n v="0.3266764767710742"/>
    <n v="53.44"/>
  </r>
  <r>
    <x v="680"/>
    <x v="312"/>
    <s v="Ivan Li"/>
    <x v="1"/>
    <s v="United States"/>
    <x v="0"/>
    <x v="2"/>
    <x v="14"/>
    <n v="4"/>
    <n v="259.86"/>
    <n v="5"/>
    <n v="987.47"/>
    <n v="13.35"/>
    <n v="350.46"/>
    <x v="1"/>
    <n v="1039.44"/>
    <n v="0.35490698451598529"/>
    <n v="1000.82"/>
  </r>
  <r>
    <x v="681"/>
    <x v="313"/>
    <s v="Ayumi Suzuki"/>
    <x v="0"/>
    <s v="Colombia"/>
    <x v="4"/>
    <x v="3"/>
    <x v="30"/>
    <n v="6"/>
    <n v="12.29"/>
    <n v="5"/>
    <n v="70.05"/>
    <n v="13.2"/>
    <n v="19.98"/>
    <x v="3"/>
    <n v="73.739999999999995"/>
    <n v="0.28522483940042831"/>
    <n v="83.25"/>
  </r>
  <r>
    <x v="682"/>
    <x v="313"/>
    <s v="Hanna Taylor"/>
    <x v="2"/>
    <s v="Mexico"/>
    <x v="0"/>
    <x v="2"/>
    <x v="15"/>
    <n v="3"/>
    <n v="192.53"/>
    <n v="0"/>
    <n v="577.59"/>
    <n v="10.09"/>
    <n v="220.95"/>
    <x v="1"/>
    <n v="577.59"/>
    <n v="0.38253778631901519"/>
    <n v="587.68000000000006"/>
  </r>
  <r>
    <x v="683"/>
    <x v="314"/>
    <s v="Linda MÃ¼ller"/>
    <x v="0"/>
    <s v="Canada"/>
    <x v="0"/>
    <x v="1"/>
    <x v="19"/>
    <n v="4"/>
    <n v="6.51"/>
    <n v="5"/>
    <n v="24.74"/>
    <n v="14.84"/>
    <n v="-1.82"/>
    <x v="1"/>
    <n v="26.04"/>
    <n v="-7.3565076798706552E-2"/>
    <n v="39.58"/>
  </r>
  <r>
    <x v="684"/>
    <x v="314"/>
    <s v="Priya Smith"/>
    <x v="1"/>
    <s v="Spain"/>
    <x v="1"/>
    <x v="0"/>
    <x v="35"/>
    <n v="1"/>
    <n v="32.020000000000003"/>
    <n v="5"/>
    <n v="30.42"/>
    <n v="8.2799999999999994"/>
    <n v="4.53"/>
    <x v="0"/>
    <n v="32.020000000000003"/>
    <n v="0.14891518737672585"/>
    <n v="38.700000000000003"/>
  </r>
  <r>
    <x v="685"/>
    <x v="314"/>
    <s v="William Ahmed"/>
    <x v="2"/>
    <s v="Mexico"/>
    <x v="0"/>
    <x v="0"/>
    <x v="0"/>
    <n v="2"/>
    <n v="155.87"/>
    <n v="15"/>
    <n v="264.98"/>
    <n v="6.43"/>
    <n v="87.09"/>
    <x v="2"/>
    <n v="311.74"/>
    <n v="0.32866631443882555"/>
    <n v="271.41000000000003"/>
  </r>
  <r>
    <x v="686"/>
    <x v="315"/>
    <s v="Nadia Martin"/>
    <x v="2"/>
    <s v="China"/>
    <x v="3"/>
    <x v="0"/>
    <x v="35"/>
    <n v="5"/>
    <n v="62.1"/>
    <n v="0"/>
    <n v="310.5"/>
    <n v="11.64"/>
    <n v="128.08000000000001"/>
    <x v="3"/>
    <n v="310.5"/>
    <n v="0.4124959742351047"/>
    <n v="322.14"/>
  </r>
  <r>
    <x v="687"/>
    <x v="316"/>
    <s v="Jennifer Khan"/>
    <x v="0"/>
    <s v="France"/>
    <x v="1"/>
    <x v="1"/>
    <x v="17"/>
    <n v="1"/>
    <n v="21.65"/>
    <n v="10"/>
    <n v="19.48"/>
    <n v="9.4499999999999993"/>
    <n v="0.28999999999999998"/>
    <x v="2"/>
    <n v="21.65"/>
    <n v="1.4887063655030799E-2"/>
    <n v="28.93"/>
  </r>
  <r>
    <x v="688"/>
    <x v="316"/>
    <s v="Karen Wang"/>
    <x v="2"/>
    <s v="Colombia"/>
    <x v="4"/>
    <x v="3"/>
    <x v="37"/>
    <n v="1"/>
    <n v="21.54"/>
    <n v="15"/>
    <n v="18.309999999999999"/>
    <n v="12.49"/>
    <n v="-4.95"/>
    <x v="1"/>
    <n v="21.54"/>
    <n v="-0.27034407427635176"/>
    <n v="30.799999999999997"/>
  </r>
  <r>
    <x v="689"/>
    <x v="316"/>
    <s v="Maria Khan"/>
    <x v="2"/>
    <s v="South Africa"/>
    <x v="2"/>
    <x v="0"/>
    <x v="22"/>
    <n v="2"/>
    <n v="75.67"/>
    <n v="0"/>
    <n v="151.34"/>
    <n v="12.13"/>
    <n v="55.97"/>
    <x v="1"/>
    <n v="151.34"/>
    <n v="0.36982952292850535"/>
    <n v="163.47"/>
  </r>
  <r>
    <x v="690"/>
    <x v="316"/>
    <s v="Olivia Miller"/>
    <x v="1"/>
    <s v="Mexico"/>
    <x v="0"/>
    <x v="3"/>
    <x v="27"/>
    <n v="6"/>
    <n v="51.47"/>
    <n v="20"/>
    <n v="247.06"/>
    <n v="17.98"/>
    <n v="74.67"/>
    <x v="3"/>
    <n v="308.82"/>
    <n v="0.3022342750748806"/>
    <n v="265.04000000000002"/>
  </r>
  <r>
    <x v="691"/>
    <x v="317"/>
    <s v="Ivan Dubois"/>
    <x v="1"/>
    <s v="United Kingdom"/>
    <x v="1"/>
    <x v="2"/>
    <x v="39"/>
    <n v="2"/>
    <n v="81.16"/>
    <n v="5"/>
    <n v="154.19999999999999"/>
    <n v="9.07"/>
    <n v="47.74"/>
    <x v="1"/>
    <n v="162.32"/>
    <n v="0.30959792477302206"/>
    <n v="163.26999999999998"/>
  </r>
  <r>
    <x v="692"/>
    <x v="317"/>
    <s v="Thomas Miller"/>
    <x v="1"/>
    <s v="South Korea"/>
    <x v="3"/>
    <x v="1"/>
    <x v="2"/>
    <n v="3"/>
    <n v="11.12"/>
    <n v="15"/>
    <n v="28.36"/>
    <n v="13.43"/>
    <n v="-0.08"/>
    <x v="2"/>
    <n v="33.36"/>
    <n v="-2.8208744710860366E-3"/>
    <n v="41.79"/>
  </r>
  <r>
    <x v="693"/>
    <x v="318"/>
    <s v="Barbara Davis"/>
    <x v="2"/>
    <s v="United States"/>
    <x v="0"/>
    <x v="1"/>
    <x v="6"/>
    <n v="5"/>
    <n v="21.03"/>
    <n v="0"/>
    <n v="105.15"/>
    <n v="11.25"/>
    <n v="46.58"/>
    <x v="1"/>
    <n v="105.15"/>
    <n v="0.44298621017593909"/>
    <n v="116.4"/>
  </r>
  <r>
    <x v="694"/>
    <x v="318"/>
    <s v="Ayumi Martinez"/>
    <x v="1"/>
    <s v="South Africa"/>
    <x v="2"/>
    <x v="2"/>
    <x v="21"/>
    <n v="7"/>
    <n v="34.67"/>
    <n v="10"/>
    <n v="218.42"/>
    <n v="22.52"/>
    <n v="50.29"/>
    <x v="3"/>
    <n v="242.69"/>
    <n v="0.2302444831059427"/>
    <n v="240.94"/>
  </r>
  <r>
    <x v="695"/>
    <x v="319"/>
    <s v="Felix Taylor"/>
    <x v="2"/>
    <s v="Mexico"/>
    <x v="0"/>
    <x v="1"/>
    <x v="38"/>
    <n v="2"/>
    <n v="11.84"/>
    <n v="10"/>
    <n v="21.31"/>
    <n v="9.8699999999999992"/>
    <n v="0.78"/>
    <x v="1"/>
    <n v="23.68"/>
    <n v="3.6602534021586114E-2"/>
    <n v="31.18"/>
  </r>
  <r>
    <x v="696"/>
    <x v="319"/>
    <s v="Mia Clark"/>
    <x v="1"/>
    <s v="Japan"/>
    <x v="3"/>
    <x v="0"/>
    <x v="18"/>
    <n v="4"/>
    <n v="27.55"/>
    <n v="20"/>
    <n v="88.16"/>
    <n v="14.39"/>
    <n v="13.16"/>
    <x v="3"/>
    <n v="110.2"/>
    <n v="0.14927404718693285"/>
    <n v="102.55"/>
  </r>
  <r>
    <x v="697"/>
    <x v="320"/>
    <s v="William Kim"/>
    <x v="1"/>
    <s v="South Korea"/>
    <x v="3"/>
    <x v="1"/>
    <x v="10"/>
    <n v="1"/>
    <n v="9.9600000000000009"/>
    <n v="15"/>
    <n v="8.4700000000000006"/>
    <n v="9.9"/>
    <n v="-5.91"/>
    <x v="3"/>
    <n v="9.9600000000000009"/>
    <n v="-0.69775678866587953"/>
    <n v="18.37"/>
  </r>
  <r>
    <x v="698"/>
    <x v="321"/>
    <s v="Ivan Smith"/>
    <x v="0"/>
    <s v="Canada"/>
    <x v="0"/>
    <x v="0"/>
    <x v="3"/>
    <n v="3"/>
    <n v="34.06"/>
    <n v="10"/>
    <n v="91.96"/>
    <n v="12.43"/>
    <n v="23.33"/>
    <x v="2"/>
    <n v="102.18"/>
    <n v="0.2536972596781209"/>
    <n v="104.38999999999999"/>
  </r>
  <r>
    <x v="699"/>
    <x v="321"/>
    <s v="Susan Zhang"/>
    <x v="1"/>
    <s v="Canada"/>
    <x v="0"/>
    <x v="2"/>
    <x v="21"/>
    <n v="2"/>
    <n v="61.68"/>
    <n v="20"/>
    <n v="98.69"/>
    <n v="6.34"/>
    <n v="18.329999999999998"/>
    <x v="2"/>
    <n v="123.36"/>
    <n v="0.18573310365791873"/>
    <n v="105.03"/>
  </r>
  <r>
    <x v="700"/>
    <x v="321"/>
    <s v="Yuki Chen"/>
    <x v="1"/>
    <s v="China"/>
    <x v="3"/>
    <x v="1"/>
    <x v="19"/>
    <n v="4"/>
    <n v="5.79"/>
    <n v="10"/>
    <n v="20.84"/>
    <n v="15.81"/>
    <n v="-5.39"/>
    <x v="2"/>
    <n v="23.16"/>
    <n v="-0.25863723608445294"/>
    <n v="36.65"/>
  </r>
  <r>
    <x v="701"/>
    <x v="322"/>
    <s v="Jamal Jones"/>
    <x v="2"/>
    <s v="Mexico"/>
    <x v="0"/>
    <x v="0"/>
    <x v="35"/>
    <n v="1"/>
    <n v="36.549999999999997"/>
    <n v="5"/>
    <n v="34.72"/>
    <n v="5.81"/>
    <n v="8.81"/>
    <x v="1"/>
    <n v="36.549999999999997"/>
    <n v="0.25374423963133641"/>
    <n v="40.53"/>
  </r>
  <r>
    <x v="702"/>
    <x v="322"/>
    <s v="James Kumar"/>
    <x v="0"/>
    <s v="Mexico"/>
    <x v="0"/>
    <x v="0"/>
    <x v="18"/>
    <n v="4"/>
    <n v="35.549999999999997"/>
    <n v="5"/>
    <n v="135.09"/>
    <n v="11.22"/>
    <n v="45.66"/>
    <x v="1"/>
    <n v="142.19999999999999"/>
    <n v="0.33799689096158114"/>
    <n v="146.31"/>
  </r>
  <r>
    <x v="703"/>
    <x v="323"/>
    <s v="Zara MÃ¼ller"/>
    <x v="0"/>
    <s v="Japan"/>
    <x v="3"/>
    <x v="2"/>
    <x v="4"/>
    <n v="1"/>
    <n v="197.67"/>
    <n v="25"/>
    <n v="148.25"/>
    <n v="9.65"/>
    <n v="20"/>
    <x v="1"/>
    <n v="197.67"/>
    <n v="0.13490725126475547"/>
    <n v="157.9"/>
  </r>
  <r>
    <x v="704"/>
    <x v="323"/>
    <s v="Thomas Rodriguez"/>
    <x v="1"/>
    <s v="United States"/>
    <x v="0"/>
    <x v="0"/>
    <x v="28"/>
    <n v="2"/>
    <n v="49.24"/>
    <n v="10"/>
    <n v="88.63"/>
    <n v="9.16"/>
    <n v="25.31"/>
    <x v="1"/>
    <n v="98.48"/>
    <n v="0.28556922035428184"/>
    <n v="97.789999999999992"/>
  </r>
  <r>
    <x v="705"/>
    <x v="323"/>
    <s v="Richard Rodriguez"/>
    <x v="0"/>
    <s v="United Kingdom"/>
    <x v="1"/>
    <x v="3"/>
    <x v="24"/>
    <n v="3"/>
    <n v="74.459999999999994"/>
    <n v="20"/>
    <n v="178.7"/>
    <n v="12.62"/>
    <n v="54.39"/>
    <x v="2"/>
    <n v="223.38"/>
    <n v="0.30436485730274204"/>
    <n v="191.32"/>
  </r>
  <r>
    <x v="706"/>
    <x v="324"/>
    <s v="Noah Leroy"/>
    <x v="0"/>
    <s v="France"/>
    <x v="1"/>
    <x v="0"/>
    <x v="18"/>
    <n v="5"/>
    <n v="36.68"/>
    <n v="0"/>
    <n v="183.4"/>
    <n v="16.95"/>
    <n v="65.58"/>
    <x v="3"/>
    <n v="183.4"/>
    <n v="0.35757906215921481"/>
    <n v="200.35"/>
  </r>
  <r>
    <x v="707"/>
    <x v="324"/>
    <s v="Kenji White"/>
    <x v="0"/>
    <s v="Canada"/>
    <x v="0"/>
    <x v="3"/>
    <x v="9"/>
    <n v="2"/>
    <n v="61.95"/>
    <n v="0"/>
    <n v="123.9"/>
    <n v="8.6999999999999993"/>
    <n v="53.25"/>
    <x v="2"/>
    <n v="123.9"/>
    <n v="0.42978208232445519"/>
    <n v="132.6"/>
  </r>
  <r>
    <x v="708"/>
    <x v="325"/>
    <s v="Nadia Zhang"/>
    <x v="1"/>
    <s v="South Korea"/>
    <x v="3"/>
    <x v="1"/>
    <x v="12"/>
    <n v="3"/>
    <n v="18.850000000000001"/>
    <n v="20"/>
    <n v="45.24"/>
    <n v="12.65"/>
    <n v="7.14"/>
    <x v="1"/>
    <n v="56.550000000000004"/>
    <n v="0.15782493368700265"/>
    <n v="57.89"/>
  </r>
  <r>
    <x v="709"/>
    <x v="325"/>
    <s v="Liam Tanaka"/>
    <x v="0"/>
    <s v="United States"/>
    <x v="0"/>
    <x v="3"/>
    <x v="16"/>
    <n v="5"/>
    <n v="49.71"/>
    <n v="25"/>
    <n v="186.41"/>
    <n v="8.76"/>
    <n v="53.37"/>
    <x v="2"/>
    <n v="248.55"/>
    <n v="0.28630438281208087"/>
    <n v="195.17"/>
  </r>
  <r>
    <x v="710"/>
    <x v="326"/>
    <s v="Clara Rodriguez"/>
    <x v="0"/>
    <s v="United States"/>
    <x v="0"/>
    <x v="3"/>
    <x v="11"/>
    <n v="3"/>
    <n v="59.07"/>
    <n v="20"/>
    <n v="141.77000000000001"/>
    <n v="11.25"/>
    <n v="41.92"/>
    <x v="1"/>
    <n v="177.21"/>
    <n v="0.29569020244057276"/>
    <n v="153.02000000000001"/>
  </r>
  <r>
    <x v="711"/>
    <x v="326"/>
    <s v="Oscar Pereira"/>
    <x v="0"/>
    <s v="China"/>
    <x v="3"/>
    <x v="1"/>
    <x v="6"/>
    <n v="2"/>
    <n v="21.61"/>
    <n v="15"/>
    <n v="36.74"/>
    <n v="13.06"/>
    <n v="4.2300000000000004"/>
    <x v="3"/>
    <n v="43.22"/>
    <n v="0.1151333696243876"/>
    <n v="49.800000000000004"/>
  </r>
  <r>
    <x v="712"/>
    <x v="327"/>
    <s v="Oscar Khan"/>
    <x v="1"/>
    <s v="United States"/>
    <x v="0"/>
    <x v="3"/>
    <x v="33"/>
    <n v="2"/>
    <n v="39.619999999999997"/>
    <n v="5"/>
    <n v="75.28"/>
    <n v="6"/>
    <n v="29.66"/>
    <x v="1"/>
    <n v="79.239999999999995"/>
    <n v="0.39399574920297553"/>
    <n v="81.28"/>
  </r>
  <r>
    <x v="713"/>
    <x v="328"/>
    <s v="Amir Garcia"/>
    <x v="0"/>
    <s v="South Africa"/>
    <x v="2"/>
    <x v="0"/>
    <x v="1"/>
    <n v="12"/>
    <n v="150.5"/>
    <n v="20"/>
    <n v="1444.8"/>
    <n v="37.799999999999997"/>
    <n v="413.7"/>
    <x v="1"/>
    <n v="1806"/>
    <n v="0.28633720930232559"/>
    <n v="1482.6"/>
  </r>
  <r>
    <x v="714"/>
    <x v="329"/>
    <s v="Chen Thompson"/>
    <x v="1"/>
    <s v="Mexico"/>
    <x v="0"/>
    <x v="1"/>
    <x v="20"/>
    <n v="5"/>
    <n v="8.68"/>
    <n v="0"/>
    <n v="43.4"/>
    <n v="13.4"/>
    <n v="10.47"/>
    <x v="3"/>
    <n v="43.4"/>
    <n v="0.24124423963133643"/>
    <n v="56.8"/>
  </r>
  <r>
    <x v="715"/>
    <x v="330"/>
    <s v="Clara Sato"/>
    <x v="2"/>
    <s v="Japan"/>
    <x v="3"/>
    <x v="2"/>
    <x v="32"/>
    <n v="2"/>
    <n v="29.62"/>
    <n v="5"/>
    <n v="56.28"/>
    <n v="10.79"/>
    <n v="9.9499999999999993"/>
    <x v="2"/>
    <n v="59.24"/>
    <n v="0.17679459843638948"/>
    <n v="67.069999999999993"/>
  </r>
  <r>
    <x v="716"/>
    <x v="330"/>
    <s v="Thomas Suzuki"/>
    <x v="0"/>
    <s v="United States"/>
    <x v="0"/>
    <x v="0"/>
    <x v="1"/>
    <n v="2"/>
    <n v="96.97"/>
    <n v="15"/>
    <n v="164.85"/>
    <n v="9.27"/>
    <n v="48.91"/>
    <x v="3"/>
    <n v="193.94"/>
    <n v="0.29669396420988775"/>
    <n v="174.12"/>
  </r>
  <r>
    <x v="717"/>
    <x v="330"/>
    <s v="Mary Russo"/>
    <x v="2"/>
    <s v="Argentina"/>
    <x v="4"/>
    <x v="1"/>
    <x v="2"/>
    <n v="1"/>
    <n v="15.66"/>
    <n v="0"/>
    <n v="15.66"/>
    <n v="10.77"/>
    <n v="-2.16"/>
    <x v="1"/>
    <n v="15.66"/>
    <n v="-0.13793103448275862"/>
    <n v="26.43"/>
  </r>
  <r>
    <x v="718"/>
    <x v="331"/>
    <s v="Fatima Jones"/>
    <x v="0"/>
    <s v="Mexico"/>
    <x v="0"/>
    <x v="2"/>
    <x v="5"/>
    <n v="1"/>
    <n v="93.08"/>
    <n v="5"/>
    <n v="88.43"/>
    <n v="6.7"/>
    <n v="25.88"/>
    <x v="3"/>
    <n v="93.08"/>
    <n v="0.29266086169851857"/>
    <n v="95.13000000000001"/>
  </r>
  <r>
    <x v="719"/>
    <x v="331"/>
    <s v="Ayumi White"/>
    <x v="0"/>
    <s v="Italy"/>
    <x v="1"/>
    <x v="3"/>
    <x v="9"/>
    <n v="2"/>
    <n v="38.08"/>
    <n v="10"/>
    <n v="68.540000000000006"/>
    <n v="10.11"/>
    <n v="20.350000000000001"/>
    <x v="0"/>
    <n v="76.16"/>
    <n v="0.29690691566968191"/>
    <n v="78.650000000000006"/>
  </r>
  <r>
    <x v="720"/>
    <x v="332"/>
    <s v="Olga Pereira"/>
    <x v="2"/>
    <s v="Australia"/>
    <x v="3"/>
    <x v="1"/>
    <x v="38"/>
    <n v="1"/>
    <n v="13.92"/>
    <n v="5"/>
    <n v="13.22"/>
    <n v="10.039999999999999"/>
    <n v="-3.08"/>
    <x v="2"/>
    <n v="13.92"/>
    <n v="-0.2329803328290469"/>
    <n v="23.259999999999998"/>
  </r>
  <r>
    <x v="721"/>
    <x v="332"/>
    <s v="Kenji Dubois"/>
    <x v="2"/>
    <s v="Spain"/>
    <x v="1"/>
    <x v="2"/>
    <x v="36"/>
    <n v="2"/>
    <n v="297.8"/>
    <n v="0"/>
    <n v="595.6"/>
    <n v="11.67"/>
    <n v="226.57"/>
    <x v="2"/>
    <n v="595.6"/>
    <n v="0.38040631296171923"/>
    <n v="607.27"/>
  </r>
  <r>
    <x v="722"/>
    <x v="333"/>
    <s v="Marco Sharma"/>
    <x v="0"/>
    <s v="Germany"/>
    <x v="1"/>
    <x v="1"/>
    <x v="20"/>
    <n v="1"/>
    <n v="10.39"/>
    <n v="0"/>
    <n v="10.39"/>
    <n v="7.64"/>
    <n v="-1.93"/>
    <x v="2"/>
    <n v="10.39"/>
    <n v="-0.18575553416746871"/>
    <n v="18.03"/>
  </r>
  <r>
    <x v="723"/>
    <x v="333"/>
    <s v="Yuki Ferrari"/>
    <x v="0"/>
    <s v="United States"/>
    <x v="0"/>
    <x v="2"/>
    <x v="39"/>
    <n v="2"/>
    <n v="214.42"/>
    <n v="20"/>
    <n v="343.07"/>
    <n v="6.04"/>
    <n v="79.73"/>
    <x v="1"/>
    <n v="428.84"/>
    <n v="0.23240155070393798"/>
    <n v="349.11"/>
  </r>
  <r>
    <x v="724"/>
    <x v="333"/>
    <s v="Ahmed Singh"/>
    <x v="0"/>
    <s v="United States"/>
    <x v="0"/>
    <x v="0"/>
    <x v="22"/>
    <n v="4"/>
    <n v="96.59"/>
    <n v="0"/>
    <n v="386.36"/>
    <n v="8.86"/>
    <n v="165"/>
    <x v="2"/>
    <n v="386.36"/>
    <n v="0.42706284294440416"/>
    <n v="395.22"/>
  </r>
  <r>
    <x v="725"/>
    <x v="334"/>
    <s v="Hans Patel"/>
    <x v="0"/>
    <s v="South Korea"/>
    <x v="3"/>
    <x v="3"/>
    <x v="24"/>
    <n v="12"/>
    <n v="54.17"/>
    <n v="0"/>
    <n v="650.04"/>
    <n v="38.1"/>
    <n v="286.92"/>
    <x v="3"/>
    <n v="650.04"/>
    <n v="0.44138822226324537"/>
    <n v="688.14"/>
  </r>
  <r>
    <x v="726"/>
    <x v="334"/>
    <s v="Priya Laurent"/>
    <x v="1"/>
    <s v="Spain"/>
    <x v="1"/>
    <x v="3"/>
    <x v="13"/>
    <n v="4"/>
    <n v="90.04"/>
    <n v="5"/>
    <n v="342.15"/>
    <n v="13.31"/>
    <n v="148.76"/>
    <x v="3"/>
    <n v="360.16"/>
    <n v="0.43478006722197865"/>
    <n v="355.46"/>
  </r>
  <r>
    <x v="727"/>
    <x v="334"/>
    <s v="Clara Miller"/>
    <x v="1"/>
    <s v="Italy"/>
    <x v="1"/>
    <x v="0"/>
    <x v="3"/>
    <n v="2"/>
    <n v="33.729999999999997"/>
    <n v="15"/>
    <n v="57.34"/>
    <n v="11.05"/>
    <n v="9.19"/>
    <x v="1"/>
    <n v="67.459999999999994"/>
    <n v="0.16027206138821065"/>
    <n v="68.39"/>
  </r>
  <r>
    <x v="728"/>
    <x v="335"/>
    <s v="Yuki Martin"/>
    <x v="1"/>
    <s v="Spain"/>
    <x v="1"/>
    <x v="0"/>
    <x v="3"/>
    <n v="4"/>
    <n v="67.39"/>
    <n v="0"/>
    <n v="269.56"/>
    <n v="16.2"/>
    <n v="105.1"/>
    <x v="2"/>
    <n v="269.56"/>
    <n v="0.38989464312212491"/>
    <n v="285.76"/>
  </r>
  <r>
    <x v="729"/>
    <x v="335"/>
    <s v="Hans Martinez"/>
    <x v="1"/>
    <s v="Japan"/>
    <x v="3"/>
    <x v="2"/>
    <x v="15"/>
    <n v="6"/>
    <n v="443.99"/>
    <n v="15"/>
    <n v="2264.35"/>
    <n v="18.29"/>
    <n v="647.70000000000005"/>
    <x v="1"/>
    <n v="2663.94"/>
    <n v="0.28604235210987705"/>
    <n v="2282.64"/>
  </r>
  <r>
    <x v="730"/>
    <x v="336"/>
    <s v="John Zhang"/>
    <x v="2"/>
    <s v="United Kingdom"/>
    <x v="1"/>
    <x v="0"/>
    <x v="0"/>
    <n v="1"/>
    <n v="216.25"/>
    <n v="5"/>
    <n v="205.44"/>
    <n v="7.52"/>
    <n v="78.98"/>
    <x v="2"/>
    <n v="216.25"/>
    <n v="0.38444314641744548"/>
    <n v="212.96"/>
  </r>
  <r>
    <x v="731"/>
    <x v="336"/>
    <s v="Nadia Martin"/>
    <x v="1"/>
    <s v="South Korea"/>
    <x v="3"/>
    <x v="3"/>
    <x v="13"/>
    <n v="2"/>
    <n v="89.21"/>
    <n v="15"/>
    <n v="151.66"/>
    <n v="13.6"/>
    <n v="48.85"/>
    <x v="1"/>
    <n v="178.42"/>
    <n v="0.32210207042067784"/>
    <n v="165.26"/>
  </r>
  <r>
    <x v="732"/>
    <x v="337"/>
    <s v="Jennifer Ali"/>
    <x v="0"/>
    <s v="Argentina"/>
    <x v="4"/>
    <x v="2"/>
    <x v="14"/>
    <n v="8"/>
    <n v="180.57"/>
    <n v="10"/>
    <n v="1300.0999999999999"/>
    <n v="17.579999999999998"/>
    <n v="415.78"/>
    <x v="1"/>
    <n v="1444.56"/>
    <n v="0.31980616875624951"/>
    <n v="1317.6799999999998"/>
  </r>
  <r>
    <x v="733"/>
    <x v="337"/>
    <s v="Jennifer Martinez"/>
    <x v="0"/>
    <s v="UAE"/>
    <x v="2"/>
    <x v="0"/>
    <x v="35"/>
    <n v="2"/>
    <n v="22.02"/>
    <n v="5"/>
    <n v="41.84"/>
    <n v="13.18"/>
    <n v="4.4400000000000004"/>
    <x v="0"/>
    <n v="44.04"/>
    <n v="0.10611854684512428"/>
    <n v="55.02"/>
  </r>
  <r>
    <x v="734"/>
    <x v="338"/>
    <s v="Marco Hassan"/>
    <x v="1"/>
    <s v="Mexico"/>
    <x v="0"/>
    <x v="1"/>
    <x v="12"/>
    <n v="5"/>
    <n v="10.97"/>
    <n v="5"/>
    <n v="52.11"/>
    <n v="14.23"/>
    <n v="13.2"/>
    <x v="2"/>
    <n v="54.85"/>
    <n v="0.25331030512377661"/>
    <n v="66.34"/>
  </r>
  <r>
    <x v="735"/>
    <x v="339"/>
    <s v="Maria Zhang"/>
    <x v="0"/>
    <s v="Argentina"/>
    <x v="4"/>
    <x v="0"/>
    <x v="22"/>
    <n v="1"/>
    <n v="78.61"/>
    <n v="5"/>
    <n v="74.680000000000007"/>
    <n v="11.74"/>
    <n v="19.7"/>
    <x v="1"/>
    <n v="78.61"/>
    <n v="0.26379217996786286"/>
    <n v="86.42"/>
  </r>
  <r>
    <x v="736"/>
    <x v="339"/>
    <s v="Patricia Khan"/>
    <x v="1"/>
    <s v="Spain"/>
    <x v="1"/>
    <x v="1"/>
    <x v="38"/>
    <n v="1"/>
    <n v="12.56"/>
    <n v="0"/>
    <n v="12.56"/>
    <n v="8.15"/>
    <n v="-1.24"/>
    <x v="2"/>
    <n v="12.56"/>
    <n v="-9.8726114649681521E-2"/>
    <n v="20.71"/>
  </r>
  <r>
    <x v="737"/>
    <x v="340"/>
    <s v="Susan Zhang"/>
    <x v="1"/>
    <s v="Saudi Arabia"/>
    <x v="2"/>
    <x v="3"/>
    <x v="13"/>
    <n v="4"/>
    <n v="108.96"/>
    <n v="0"/>
    <n v="435.84"/>
    <n v="18.91"/>
    <n v="199.01"/>
    <x v="0"/>
    <n v="435.84"/>
    <n v="0.45661251835535976"/>
    <n v="454.75"/>
  </r>
  <r>
    <x v="738"/>
    <x v="340"/>
    <s v="Lucas Rodriguez"/>
    <x v="1"/>
    <s v="United States"/>
    <x v="0"/>
    <x v="2"/>
    <x v="34"/>
    <n v="4"/>
    <n v="40.58"/>
    <n v="5"/>
    <n v="154.19999999999999"/>
    <n v="13.86"/>
    <n v="42.95"/>
    <x v="2"/>
    <n v="162.32"/>
    <n v="0.27853437094682237"/>
    <n v="168.06"/>
  </r>
  <r>
    <x v="739"/>
    <x v="341"/>
    <s v="Chen Garcia"/>
    <x v="1"/>
    <s v="China"/>
    <x v="3"/>
    <x v="0"/>
    <x v="18"/>
    <n v="1"/>
    <n v="28.43"/>
    <n v="0"/>
    <n v="28.43"/>
    <n v="11.31"/>
    <n v="1.48"/>
    <x v="0"/>
    <n v="28.43"/>
    <n v="5.2057685543440028E-2"/>
    <n v="39.74"/>
  </r>
  <r>
    <x v="740"/>
    <x v="342"/>
    <s v="Omar Costa"/>
    <x v="0"/>
    <s v="Saudi Arabia"/>
    <x v="2"/>
    <x v="1"/>
    <x v="17"/>
    <n v="1"/>
    <n v="20.74"/>
    <n v="15"/>
    <n v="17.63"/>
    <n v="13.45"/>
    <n v="-5.15"/>
    <x v="1"/>
    <n v="20.74"/>
    <n v="-0.29211571185479301"/>
    <n v="31.08"/>
  </r>
  <r>
    <x v="741"/>
    <x v="343"/>
    <s v="Omar Williams"/>
    <x v="1"/>
    <s v="South Korea"/>
    <x v="3"/>
    <x v="3"/>
    <x v="33"/>
    <n v="5"/>
    <n v="48.34"/>
    <n v="25"/>
    <n v="181.28"/>
    <n v="14.29"/>
    <n v="46.14"/>
    <x v="1"/>
    <n v="241.70000000000002"/>
    <n v="0.25452338923212708"/>
    <n v="195.57"/>
  </r>
  <r>
    <x v="742"/>
    <x v="344"/>
    <s v="Li Laurent"/>
    <x v="1"/>
    <s v="United States"/>
    <x v="0"/>
    <x v="2"/>
    <x v="15"/>
    <n v="7"/>
    <n v="429.66"/>
    <n v="0"/>
    <n v="3007.62"/>
    <n v="13.26"/>
    <n v="1189.79"/>
    <x v="2"/>
    <n v="3007.6200000000003"/>
    <n v="0.39559186333379881"/>
    <n v="3020.88"/>
  </r>
  <r>
    <x v="743"/>
    <x v="344"/>
    <s v="Elizabeth Singh"/>
    <x v="0"/>
    <s v="Australia"/>
    <x v="3"/>
    <x v="2"/>
    <x v="21"/>
    <n v="2"/>
    <n v="48.32"/>
    <n v="20"/>
    <n v="77.31"/>
    <n v="12.19"/>
    <n v="7.14"/>
    <x v="0"/>
    <n v="96.64"/>
    <n v="9.2355452076057429E-2"/>
    <n v="89.5"/>
  </r>
  <r>
    <x v="744"/>
    <x v="344"/>
    <s v="Olivia Anderson"/>
    <x v="0"/>
    <s v="Italy"/>
    <x v="1"/>
    <x v="3"/>
    <x v="27"/>
    <n v="3"/>
    <n v="62.02"/>
    <n v="5"/>
    <n v="176.76"/>
    <n v="8.7899999999999991"/>
    <n v="74.94"/>
    <x v="0"/>
    <n v="186.06"/>
    <n v="0.42396469789545149"/>
    <n v="185.54999999999998"/>
  </r>
  <r>
    <x v="745"/>
    <x v="345"/>
    <s v="Hanna Leroy"/>
    <x v="0"/>
    <s v="France"/>
    <x v="1"/>
    <x v="0"/>
    <x v="35"/>
    <n v="1"/>
    <n v="62.36"/>
    <n v="15"/>
    <n v="53.01"/>
    <n v="7.88"/>
    <n v="10.83"/>
    <x v="1"/>
    <n v="62.36"/>
    <n v="0.20430107526881722"/>
    <n v="60.89"/>
  </r>
  <r>
    <x v="746"/>
    <x v="345"/>
    <s v="Chen Santos"/>
    <x v="0"/>
    <s v="Mexico"/>
    <x v="0"/>
    <x v="3"/>
    <x v="24"/>
    <n v="3"/>
    <n v="43.72"/>
    <n v="0"/>
    <n v="131.16"/>
    <n v="11.64"/>
    <n v="53.94"/>
    <x v="2"/>
    <n v="131.16"/>
    <n v="0.41125343092406219"/>
    <n v="142.80000000000001"/>
  </r>
  <r>
    <x v="747"/>
    <x v="345"/>
    <s v="Oscar Wang"/>
    <x v="2"/>
    <s v="United Kingdom"/>
    <x v="1"/>
    <x v="3"/>
    <x v="30"/>
    <n v="5"/>
    <n v="13.07"/>
    <n v="0"/>
    <n v="65.349999999999994"/>
    <n v="13.22"/>
    <n v="19.45"/>
    <x v="3"/>
    <n v="65.349999999999994"/>
    <n v="0.29762815608263199"/>
    <n v="78.569999999999993"/>
  </r>
  <r>
    <x v="748"/>
    <x v="345"/>
    <s v="Maria Ferrari"/>
    <x v="0"/>
    <s v="United States"/>
    <x v="0"/>
    <x v="2"/>
    <x v="4"/>
    <n v="1"/>
    <n v="246.49"/>
    <n v="10"/>
    <n v="221.84"/>
    <n v="6.91"/>
    <n v="67.040000000000006"/>
    <x v="1"/>
    <n v="246.49"/>
    <n v="0.30219978362783989"/>
    <n v="228.75"/>
  </r>
  <r>
    <x v="749"/>
    <x v="346"/>
    <s v="Jennifer Tanaka"/>
    <x v="1"/>
    <s v="Canada"/>
    <x v="0"/>
    <x v="3"/>
    <x v="30"/>
    <n v="7"/>
    <n v="23.26"/>
    <n v="5"/>
    <n v="154.68"/>
    <n v="15.24"/>
    <n v="58.03"/>
    <x v="1"/>
    <n v="162.82000000000002"/>
    <n v="0.37516162399793118"/>
    <n v="169.92000000000002"/>
  </r>
  <r>
    <x v="750"/>
    <x v="347"/>
    <s v="Karen Anderson"/>
    <x v="1"/>
    <s v="United Kingdom"/>
    <x v="1"/>
    <x v="2"/>
    <x v="21"/>
    <n v="1"/>
    <n v="61.18"/>
    <n v="0"/>
    <n v="61.18"/>
    <n v="8.33"/>
    <n v="16.14"/>
    <x v="2"/>
    <n v="61.18"/>
    <n v="0.26381170317097091"/>
    <n v="69.510000000000005"/>
  </r>
  <r>
    <x v="751"/>
    <x v="348"/>
    <s v="Susan Li"/>
    <x v="0"/>
    <s v="France"/>
    <x v="1"/>
    <x v="0"/>
    <x v="22"/>
    <n v="4"/>
    <n v="78.349999999999994"/>
    <n v="20"/>
    <n v="250.72"/>
    <n v="12.16"/>
    <n v="66.19"/>
    <x v="2"/>
    <n v="313.39999999999998"/>
    <n v="0.26399968091895343"/>
    <n v="262.88"/>
  </r>
  <r>
    <x v="752"/>
    <x v="348"/>
    <s v="Patricia Clark"/>
    <x v="1"/>
    <s v="South Africa"/>
    <x v="2"/>
    <x v="1"/>
    <x v="17"/>
    <n v="2"/>
    <n v="13.33"/>
    <n v="15"/>
    <n v="22.66"/>
    <n v="15.68"/>
    <n v="-5.0199999999999996"/>
    <x v="2"/>
    <n v="26.66"/>
    <n v="-0.22153574580759045"/>
    <n v="38.340000000000003"/>
  </r>
  <r>
    <x v="753"/>
    <x v="348"/>
    <s v="Giulia Anderson"/>
    <x v="1"/>
    <s v="United States"/>
    <x v="0"/>
    <x v="1"/>
    <x v="19"/>
    <n v="1"/>
    <n v="14.7"/>
    <n v="15"/>
    <n v="12.49"/>
    <n v="7.42"/>
    <n v="-1.54"/>
    <x v="1"/>
    <n v="14.7"/>
    <n v="-0.12329863891112891"/>
    <n v="19.91"/>
  </r>
  <r>
    <x v="754"/>
    <x v="349"/>
    <s v="John Robinson"/>
    <x v="0"/>
    <s v="France"/>
    <x v="1"/>
    <x v="1"/>
    <x v="38"/>
    <n v="4"/>
    <n v="10.51"/>
    <n v="5"/>
    <n v="39.94"/>
    <n v="13.17"/>
    <n v="7.85"/>
    <x v="1"/>
    <n v="42.04"/>
    <n v="0.19654481722583875"/>
    <n v="53.11"/>
  </r>
  <r>
    <x v="755"/>
    <x v="350"/>
    <s v="Kenji Davis"/>
    <x v="2"/>
    <s v="Italy"/>
    <x v="1"/>
    <x v="2"/>
    <x v="36"/>
    <n v="5"/>
    <n v="131.71"/>
    <n v="10"/>
    <n v="592.70000000000005"/>
    <n v="10.75"/>
    <n v="186.82"/>
    <x v="0"/>
    <n v="658.55000000000007"/>
    <n v="0.31520161970642818"/>
    <n v="603.45000000000005"/>
  </r>
  <r>
    <x v="756"/>
    <x v="351"/>
    <s v="Priya Nilsson"/>
    <x v="0"/>
    <s v="Australia"/>
    <x v="3"/>
    <x v="1"/>
    <x v="19"/>
    <n v="5"/>
    <n v="5"/>
    <n v="0"/>
    <n v="25"/>
    <n v="13.15"/>
    <n v="0.6"/>
    <x v="0"/>
    <n v="25"/>
    <n v="2.4E-2"/>
    <n v="38.15"/>
  </r>
  <r>
    <x v="757"/>
    <x v="352"/>
    <s v="Chen Patel"/>
    <x v="2"/>
    <s v="Canada"/>
    <x v="0"/>
    <x v="1"/>
    <x v="25"/>
    <n v="1"/>
    <n v="12.92"/>
    <n v="10"/>
    <n v="11.63"/>
    <n v="5.83"/>
    <n v="-0.01"/>
    <x v="1"/>
    <n v="12.92"/>
    <n v="-8.5984522785898529E-4"/>
    <n v="17.46"/>
  </r>
  <r>
    <x v="758"/>
    <x v="352"/>
    <s v="Sarah Chen"/>
    <x v="1"/>
    <s v="Mexico"/>
    <x v="0"/>
    <x v="1"/>
    <x v="17"/>
    <n v="6"/>
    <n v="15.88"/>
    <n v="5"/>
    <n v="90.52"/>
    <n v="10.1"/>
    <n v="37.54"/>
    <x v="2"/>
    <n v="95.28"/>
    <n v="0.41471498011489172"/>
    <n v="100.61999999999999"/>
  </r>
  <r>
    <x v="759"/>
    <x v="352"/>
    <s v="Michael Garcia"/>
    <x v="1"/>
    <s v="United States"/>
    <x v="0"/>
    <x v="3"/>
    <x v="27"/>
    <n v="5"/>
    <n v="32.04"/>
    <n v="5"/>
    <n v="152.19"/>
    <n v="8.49"/>
    <n v="63.6"/>
    <x v="3"/>
    <n v="160.19999999999999"/>
    <n v="0.41789867928247587"/>
    <n v="160.68"/>
  </r>
  <r>
    <x v="760"/>
    <x v="352"/>
    <s v="Noah Clark"/>
    <x v="0"/>
    <s v="UAE"/>
    <x v="2"/>
    <x v="0"/>
    <x v="0"/>
    <n v="3"/>
    <n v="187.55"/>
    <n v="15"/>
    <n v="478.25"/>
    <n v="15.41"/>
    <n v="153.38"/>
    <x v="0"/>
    <n v="562.65000000000009"/>
    <n v="0.32071092524830108"/>
    <n v="493.66"/>
  </r>
  <r>
    <x v="761"/>
    <x v="353"/>
    <s v="Priya Rodriguez"/>
    <x v="1"/>
    <s v="China"/>
    <x v="3"/>
    <x v="0"/>
    <x v="3"/>
    <n v="11"/>
    <n v="67.959999999999994"/>
    <n v="5"/>
    <n v="710.18"/>
    <n v="35.32"/>
    <n v="263.7"/>
    <x v="0"/>
    <n v="747.56"/>
    <n v="0.37131431468078518"/>
    <n v="745.5"/>
  </r>
  <r>
    <x v="762"/>
    <x v="353"/>
    <s v="Sakura Smith"/>
    <x v="0"/>
    <s v="Brazil"/>
    <x v="4"/>
    <x v="2"/>
    <x v="8"/>
    <n v="1"/>
    <n v="127.07"/>
    <n v="0"/>
    <n v="127.07"/>
    <n v="10.8"/>
    <n v="40.03"/>
    <x v="1"/>
    <n v="127.07"/>
    <n v="0.31502321555048401"/>
    <n v="137.87"/>
  </r>
  <r>
    <x v="763"/>
    <x v="354"/>
    <s v="Nadia Harris"/>
    <x v="0"/>
    <s v="China"/>
    <x v="3"/>
    <x v="3"/>
    <x v="13"/>
    <n v="5"/>
    <n v="110.65"/>
    <n v="0"/>
    <n v="553.25"/>
    <n v="13.18"/>
    <n v="263.44"/>
    <x v="1"/>
    <n v="553.25"/>
    <n v="0.47616809760506101"/>
    <n v="566.42999999999995"/>
  </r>
  <r>
    <x v="764"/>
    <x v="354"/>
    <s v="Carlos Martinez"/>
    <x v="1"/>
    <s v="Colombia"/>
    <x v="4"/>
    <x v="0"/>
    <x v="29"/>
    <n v="2"/>
    <n v="27.57"/>
    <n v="0"/>
    <n v="55.14"/>
    <n v="12.15"/>
    <n v="12.66"/>
    <x v="2"/>
    <n v="55.14"/>
    <n v="0.22959738846572361"/>
    <n v="67.290000000000006"/>
  </r>
  <r>
    <x v="765"/>
    <x v="354"/>
    <s v="Fatima Williams"/>
    <x v="2"/>
    <s v="China"/>
    <x v="3"/>
    <x v="2"/>
    <x v="32"/>
    <n v="4"/>
    <n v="36.409999999999997"/>
    <n v="10"/>
    <n v="131.08000000000001"/>
    <n v="17.64"/>
    <n v="26.06"/>
    <x v="3"/>
    <n v="145.63999999999999"/>
    <n v="0.19880988709185227"/>
    <n v="148.72000000000003"/>
  </r>
  <r>
    <x v="766"/>
    <x v="355"/>
    <s v="Clara Johnson"/>
    <x v="1"/>
    <s v="China"/>
    <x v="3"/>
    <x v="1"/>
    <x v="20"/>
    <n v="4"/>
    <n v="7.72"/>
    <n v="15"/>
    <n v="26.25"/>
    <n v="14"/>
    <n v="-1.65"/>
    <x v="2"/>
    <n v="30.88"/>
    <n v="-6.2857142857142848E-2"/>
    <n v="40.25"/>
  </r>
  <r>
    <x v="767"/>
    <x v="355"/>
    <s v="Elizabeth Sharma"/>
    <x v="1"/>
    <s v="United Kingdom"/>
    <x v="1"/>
    <x v="0"/>
    <x v="18"/>
    <n v="2"/>
    <n v="57.7"/>
    <n v="0"/>
    <n v="115.4"/>
    <n v="9.5500000000000007"/>
    <n v="42.38"/>
    <x v="3"/>
    <n v="115.4"/>
    <n v="0.36724436741767763"/>
    <n v="124.95"/>
  </r>
  <r>
    <x v="768"/>
    <x v="355"/>
    <s v="Olivia Sato"/>
    <x v="1"/>
    <s v="United States"/>
    <x v="0"/>
    <x v="0"/>
    <x v="35"/>
    <n v="3"/>
    <n v="69.59"/>
    <n v="20"/>
    <n v="167.02"/>
    <n v="10.17"/>
    <n v="42.03"/>
    <x v="0"/>
    <n v="208.77"/>
    <n v="0.25164650940007183"/>
    <n v="177.19"/>
  </r>
  <r>
    <x v="769"/>
    <x v="356"/>
    <s v="William Clark"/>
    <x v="1"/>
    <s v="India"/>
    <x v="3"/>
    <x v="1"/>
    <x v="12"/>
    <n v="1"/>
    <n v="10.42"/>
    <n v="10"/>
    <n v="9.3800000000000008"/>
    <n v="10.01"/>
    <n v="-5.32"/>
    <x v="1"/>
    <n v="10.42"/>
    <n v="-0.56716417910447758"/>
    <n v="19.39"/>
  </r>
  <r>
    <x v="770"/>
    <x v="357"/>
    <s v="William Smith"/>
    <x v="1"/>
    <s v="Nigeria"/>
    <x v="2"/>
    <x v="1"/>
    <x v="23"/>
    <n v="1"/>
    <n v="10.33"/>
    <n v="0"/>
    <n v="10.33"/>
    <n v="12.17"/>
    <n v="-6.49"/>
    <x v="1"/>
    <n v="10.33"/>
    <n v="-0.62826718296224593"/>
    <n v="22.5"/>
  </r>
  <r>
    <x v="771"/>
    <x v="357"/>
    <s v="Maria Costa"/>
    <x v="1"/>
    <s v="France"/>
    <x v="1"/>
    <x v="3"/>
    <x v="30"/>
    <n v="1"/>
    <n v="24.87"/>
    <n v="20"/>
    <n v="19.899999999999999"/>
    <n v="7.99"/>
    <n v="-0.53"/>
    <x v="2"/>
    <n v="24.87"/>
    <n v="-2.6633165829145732E-2"/>
    <n v="27.89"/>
  </r>
  <r>
    <x v="772"/>
    <x v="357"/>
    <s v="Emma Moreau"/>
    <x v="1"/>
    <s v="Germany"/>
    <x v="1"/>
    <x v="0"/>
    <x v="7"/>
    <n v="5"/>
    <n v="73.849999999999994"/>
    <n v="0"/>
    <n v="369.25"/>
    <n v="19.399999999999999"/>
    <n v="146.76"/>
    <x v="0"/>
    <n v="369.25"/>
    <n v="0.39745429925524711"/>
    <n v="388.65"/>
  </r>
  <r>
    <x v="773"/>
    <x v="358"/>
    <s v="Layla Park"/>
    <x v="0"/>
    <s v="Mexico"/>
    <x v="0"/>
    <x v="1"/>
    <x v="25"/>
    <n v="8"/>
    <n v="16.12"/>
    <n v="10"/>
    <n v="116.06"/>
    <n v="20.61"/>
    <n v="37.42"/>
    <x v="1"/>
    <n v="128.96"/>
    <n v="0.32241943822160951"/>
    <n v="136.67000000000002"/>
  </r>
  <r>
    <x v="774"/>
    <x v="358"/>
    <s v="James Wang"/>
    <x v="2"/>
    <s v="China"/>
    <x v="3"/>
    <x v="0"/>
    <x v="18"/>
    <n v="4"/>
    <n v="74.64"/>
    <n v="0"/>
    <n v="298.56"/>
    <n v="12.03"/>
    <n v="122.32"/>
    <x v="2"/>
    <n v="298.56"/>
    <n v="0.40969989281886388"/>
    <n v="310.58999999999997"/>
  </r>
  <r>
    <x v="775"/>
    <x v="358"/>
    <s v="Nadia Johansson"/>
    <x v="2"/>
    <s v="Nigeria"/>
    <x v="2"/>
    <x v="2"/>
    <x v="36"/>
    <n v="4"/>
    <n v="119.66"/>
    <n v="10"/>
    <n v="430.78"/>
    <n v="18.850000000000001"/>
    <n v="124.75"/>
    <x v="2"/>
    <n v="478.64"/>
    <n v="0.28959097451135152"/>
    <n v="449.63"/>
  </r>
  <r>
    <x v="776"/>
    <x v="359"/>
    <s v="Hanna MÃ¼ller"/>
    <x v="1"/>
    <s v="Saudi Arabia"/>
    <x v="2"/>
    <x v="0"/>
    <x v="31"/>
    <n v="3"/>
    <n v="187.16"/>
    <n v="0"/>
    <n v="561.48"/>
    <n v="15.51"/>
    <n v="237.16"/>
    <x v="0"/>
    <n v="561.48"/>
    <n v="0.42238370022084487"/>
    <n v="576.99"/>
  </r>
  <r>
    <x v="777"/>
    <x v="360"/>
    <s v="Hanna Brown"/>
    <x v="2"/>
    <s v="France"/>
    <x v="1"/>
    <x v="1"/>
    <x v="6"/>
    <n v="2"/>
    <n v="10.08"/>
    <n v="15"/>
    <n v="17.14"/>
    <n v="9.67"/>
    <n v="-1.6"/>
    <x v="2"/>
    <n v="20.16"/>
    <n v="-9.3348891481913651E-2"/>
    <n v="26.810000000000002"/>
  </r>
  <r>
    <x v="778"/>
    <x v="360"/>
    <s v="Noah MÃ¼ller"/>
    <x v="1"/>
    <s v="Colombia"/>
    <x v="4"/>
    <x v="2"/>
    <x v="8"/>
    <n v="2"/>
    <n v="115.3"/>
    <n v="5"/>
    <n v="219.07"/>
    <n v="13.43"/>
    <n v="67.28"/>
    <x v="0"/>
    <n v="230.6"/>
    <n v="0.30711644679782718"/>
    <n v="232.5"/>
  </r>
  <r>
    <x v="779"/>
    <x v="360"/>
    <s v="Barbara Sato"/>
    <x v="1"/>
    <s v="United States"/>
    <x v="0"/>
    <x v="2"/>
    <x v="36"/>
    <n v="3"/>
    <n v="185.09"/>
    <n v="0"/>
    <n v="555.27"/>
    <n v="9.3699999999999992"/>
    <n v="212.74"/>
    <x v="1"/>
    <n v="555.27"/>
    <n v="0.38312892826913036"/>
    <n v="564.64"/>
  </r>
  <r>
    <x v="780"/>
    <x v="361"/>
    <s v="Wei Jones"/>
    <x v="2"/>
    <s v="South Korea"/>
    <x v="3"/>
    <x v="0"/>
    <x v="28"/>
    <n v="3"/>
    <n v="55.49"/>
    <n v="5"/>
    <n v="158.15"/>
    <n v="16.399999999999999"/>
    <n v="50.19"/>
    <x v="0"/>
    <n v="166.47"/>
    <n v="0.31735693961429018"/>
    <n v="174.55"/>
  </r>
  <r>
    <x v="781"/>
    <x v="361"/>
    <s v="Ivan Patel"/>
    <x v="1"/>
    <s v="Italy"/>
    <x v="1"/>
    <x v="2"/>
    <x v="32"/>
    <n v="1"/>
    <n v="53.47"/>
    <n v="0"/>
    <n v="53.47"/>
    <n v="8.83"/>
    <n v="12.56"/>
    <x v="2"/>
    <n v="53.47"/>
    <n v="0.23489807368617918"/>
    <n v="62.3"/>
  </r>
  <r>
    <x v="782"/>
    <x v="362"/>
    <s v="Fatima Singh"/>
    <x v="0"/>
    <s v="Australia"/>
    <x v="3"/>
    <x v="3"/>
    <x v="27"/>
    <n v="3"/>
    <n v="24.44"/>
    <n v="25"/>
    <n v="54.99"/>
    <n v="12.17"/>
    <n v="6.16"/>
    <x v="2"/>
    <n v="73.320000000000007"/>
    <n v="0.11202036733951627"/>
    <n v="67.16"/>
  </r>
  <r>
    <x v="783"/>
    <x v="362"/>
    <s v="Giulia Nilsson"/>
    <x v="1"/>
    <s v="Japan"/>
    <x v="3"/>
    <x v="3"/>
    <x v="30"/>
    <n v="11"/>
    <n v="15.11"/>
    <n v="10"/>
    <n v="149.59"/>
    <n v="21.86"/>
    <n v="44.63"/>
    <x v="1"/>
    <n v="166.20999999999998"/>
    <n v="0.298348820108296"/>
    <n v="171.45"/>
  </r>
  <r>
    <x v="784"/>
    <x v="362"/>
    <s v="Nadia Romano"/>
    <x v="0"/>
    <s v="United Kingdom"/>
    <x v="1"/>
    <x v="1"/>
    <x v="19"/>
    <n v="2"/>
    <n v="4.03"/>
    <n v="5"/>
    <n v="7.66"/>
    <n v="10.73"/>
    <n v="-6.7"/>
    <x v="0"/>
    <n v="8.06"/>
    <n v="-0.87467362924281988"/>
    <n v="18.39"/>
  </r>
  <r>
    <x v="785"/>
    <x v="363"/>
    <s v="Amir Khan"/>
    <x v="1"/>
    <s v="Japan"/>
    <x v="3"/>
    <x v="3"/>
    <x v="13"/>
    <n v="4"/>
    <n v="123.28"/>
    <n v="5"/>
    <n v="468.46"/>
    <n v="13.33"/>
    <n v="208.57"/>
    <x v="2"/>
    <n v="493.12"/>
    <n v="0.44522477906331387"/>
    <n v="481.78999999999996"/>
  </r>
  <r>
    <x v="786"/>
    <x v="364"/>
    <s v="Ava Clark"/>
    <x v="0"/>
    <s v="Nigeria"/>
    <x v="2"/>
    <x v="0"/>
    <x v="35"/>
    <n v="2"/>
    <n v="21.45"/>
    <n v="15"/>
    <n v="36.46"/>
    <n v="13.62"/>
    <n v="-0.76"/>
    <x v="1"/>
    <n v="42.9"/>
    <n v="-2.0844761382336808E-2"/>
    <n v="50.08"/>
  </r>
  <r>
    <x v="787"/>
    <x v="364"/>
    <s v="Chen Dubois"/>
    <x v="0"/>
    <s v="France"/>
    <x v="1"/>
    <x v="0"/>
    <x v="7"/>
    <n v="1"/>
    <n v="34.409999999999997"/>
    <n v="5"/>
    <n v="32.69"/>
    <n v="7.58"/>
    <n v="6.18"/>
    <x v="1"/>
    <n v="34.409999999999997"/>
    <n v="0.1890486387274396"/>
    <n v="40.269999999999996"/>
  </r>
  <r>
    <x v="788"/>
    <x v="364"/>
    <s v="Hans Harris"/>
    <x v="1"/>
    <s v="United States"/>
    <x v="0"/>
    <x v="0"/>
    <x v="22"/>
    <n v="6"/>
    <n v="99.17"/>
    <n v="15"/>
    <n v="505.77"/>
    <n v="13.35"/>
    <n v="165.16"/>
    <x v="1"/>
    <n v="595.02"/>
    <n v="0.32655159459833522"/>
    <n v="519.12"/>
  </r>
  <r>
    <x v="789"/>
    <x v="364"/>
    <s v="Xiao Ali"/>
    <x v="0"/>
    <s v="Saudi Arabia"/>
    <x v="2"/>
    <x v="2"/>
    <x v="39"/>
    <n v="7"/>
    <n v="140.88999999999999"/>
    <n v="15"/>
    <n v="838.3"/>
    <n v="16.010000000000002"/>
    <n v="230.55"/>
    <x v="2"/>
    <n v="986.2299999999999"/>
    <n v="0.2750208755815341"/>
    <n v="854.31"/>
  </r>
  <r>
    <x v="790"/>
    <x v="365"/>
    <s v="Jessica Patel"/>
    <x v="2"/>
    <s v="Mexico"/>
    <x v="0"/>
    <x v="0"/>
    <x v="28"/>
    <n v="12"/>
    <n v="40.47"/>
    <n v="5"/>
    <n v="461.36"/>
    <n v="27.85"/>
    <n v="166.41"/>
    <x v="0"/>
    <n v="485.64"/>
    <n v="0.36069446852783077"/>
    <n v="489.21000000000004"/>
  </r>
  <r>
    <x v="791"/>
    <x v="365"/>
    <s v="Patricia Rossi"/>
    <x v="1"/>
    <s v="Argentina"/>
    <x v="4"/>
    <x v="2"/>
    <x v="8"/>
    <n v="1"/>
    <n v="42.6"/>
    <n v="15"/>
    <n v="36.21"/>
    <n v="11.24"/>
    <n v="-0.59"/>
    <x v="3"/>
    <n v="42.6"/>
    <n v="-1.6293841480254073E-2"/>
    <n v="47.45"/>
  </r>
  <r>
    <x v="792"/>
    <x v="366"/>
    <s v="Felix MÃ¼ller"/>
    <x v="0"/>
    <s v="Japan"/>
    <x v="3"/>
    <x v="1"/>
    <x v="20"/>
    <n v="1"/>
    <n v="7.85"/>
    <n v="10"/>
    <n v="7.06"/>
    <n v="9.6"/>
    <n v="-6.07"/>
    <x v="1"/>
    <n v="7.85"/>
    <n v="-0.859773371104816"/>
    <n v="16.66"/>
  </r>
  <r>
    <x v="793"/>
    <x v="366"/>
    <s v="Chen Patel"/>
    <x v="0"/>
    <s v="Germany"/>
    <x v="1"/>
    <x v="2"/>
    <x v="39"/>
    <n v="6"/>
    <n v="203.47"/>
    <n v="10"/>
    <n v="1098.74"/>
    <n v="13.13"/>
    <n v="353.12"/>
    <x v="1"/>
    <n v="1220.82"/>
    <n v="0.32138631523381328"/>
    <n v="1111.8700000000001"/>
  </r>
  <r>
    <x v="794"/>
    <x v="367"/>
    <s v="Oscar Kim"/>
    <x v="2"/>
    <s v="Argentina"/>
    <x v="4"/>
    <x v="3"/>
    <x v="26"/>
    <n v="8"/>
    <n v="14.51"/>
    <n v="20"/>
    <n v="92.86"/>
    <n v="27.87"/>
    <n v="6.95"/>
    <x v="2"/>
    <n v="116.08"/>
    <n v="7.4843850958432045E-2"/>
    <n v="120.73"/>
  </r>
  <r>
    <x v="795"/>
    <x v="367"/>
    <s v="Ivan Zhang"/>
    <x v="2"/>
    <s v="Canada"/>
    <x v="0"/>
    <x v="1"/>
    <x v="20"/>
    <n v="7"/>
    <n v="18.79"/>
    <n v="5"/>
    <n v="124.95"/>
    <n v="9.1199999999999992"/>
    <n v="56.64"/>
    <x v="0"/>
    <n v="131.53"/>
    <n v="0.45330132052821126"/>
    <n v="134.07"/>
  </r>
  <r>
    <x v="796"/>
    <x v="367"/>
    <s v="Mary Weber"/>
    <x v="1"/>
    <s v="France"/>
    <x v="1"/>
    <x v="1"/>
    <x v="12"/>
    <n v="1"/>
    <n v="18.75"/>
    <n v="0"/>
    <n v="18.75"/>
    <n v="9.2200000000000006"/>
    <n v="1.0900000000000001"/>
    <x v="2"/>
    <n v="18.75"/>
    <n v="5.8133333333333335E-2"/>
    <n v="27.97"/>
  </r>
  <r>
    <x v="797"/>
    <x v="367"/>
    <s v="Nadia Laurent"/>
    <x v="1"/>
    <s v="Australia"/>
    <x v="3"/>
    <x v="0"/>
    <x v="31"/>
    <n v="4"/>
    <n v="130.44999999999999"/>
    <n v="0"/>
    <n v="521.79999999999995"/>
    <n v="18.510000000000002"/>
    <n v="216.3"/>
    <x v="2"/>
    <n v="521.79999999999995"/>
    <n v="0.41452663855883487"/>
    <n v="540.30999999999995"/>
  </r>
  <r>
    <x v="798"/>
    <x v="368"/>
    <s v="Fatima Fischer"/>
    <x v="2"/>
    <s v="Spain"/>
    <x v="1"/>
    <x v="0"/>
    <x v="0"/>
    <n v="1"/>
    <n v="231.11"/>
    <n v="10"/>
    <n v="208"/>
    <n v="8.8699999999999992"/>
    <n v="72.02"/>
    <x v="2"/>
    <n v="231.11"/>
    <n v="0.34625"/>
    <n v="216.87"/>
  </r>
  <r>
    <x v="799"/>
    <x v="369"/>
    <s v="Sarah Moreau"/>
    <x v="0"/>
    <s v="France"/>
    <x v="1"/>
    <x v="3"/>
    <x v="11"/>
    <n v="2"/>
    <n v="35.17"/>
    <n v="25"/>
    <n v="52.76"/>
    <n v="10.97"/>
    <n v="6.62"/>
    <x v="3"/>
    <n v="70.34"/>
    <n v="0.12547384382107657"/>
    <n v="63.73"/>
  </r>
  <r>
    <x v="800"/>
    <x v="369"/>
    <s v="Jessica Costa"/>
    <x v="1"/>
    <s v="Japan"/>
    <x v="3"/>
    <x v="0"/>
    <x v="0"/>
    <n v="13"/>
    <n v="73.44"/>
    <n v="15"/>
    <n v="811.51"/>
    <n v="34.33"/>
    <n v="252.08"/>
    <x v="1"/>
    <n v="954.72"/>
    <n v="0.31063079937400651"/>
    <n v="845.84"/>
  </r>
  <r>
    <x v="801"/>
    <x v="369"/>
    <s v="Isabella Yamamoto"/>
    <x v="0"/>
    <s v="Italy"/>
    <x v="1"/>
    <x v="1"/>
    <x v="19"/>
    <n v="2"/>
    <n v="9.1"/>
    <n v="0"/>
    <n v="18.2"/>
    <n v="9.66"/>
    <n v="0.35"/>
    <x v="2"/>
    <n v="18.2"/>
    <n v="1.9230769230769232E-2"/>
    <n v="27.86"/>
  </r>
  <r>
    <x v="802"/>
    <x v="370"/>
    <s v="Ayumi Miller"/>
    <x v="0"/>
    <s v="South Korea"/>
    <x v="3"/>
    <x v="1"/>
    <x v="12"/>
    <n v="3"/>
    <n v="14.61"/>
    <n v="15"/>
    <n v="37.26"/>
    <n v="14.68"/>
    <n v="2.86"/>
    <x v="2"/>
    <n v="43.83"/>
    <n v="7.6757917337627476E-2"/>
    <n v="51.94"/>
  </r>
  <r>
    <x v="803"/>
    <x v="370"/>
    <s v="Karen Tanaka"/>
    <x v="0"/>
    <s v="Japan"/>
    <x v="3"/>
    <x v="1"/>
    <x v="23"/>
    <n v="5"/>
    <n v="15.19"/>
    <n v="10"/>
    <n v="68.36"/>
    <n v="12.71"/>
    <n v="21.47"/>
    <x v="0"/>
    <n v="75.95"/>
    <n v="0.31407255705090698"/>
    <n v="81.069999999999993"/>
  </r>
  <r>
    <x v="804"/>
    <x v="370"/>
    <s v="Emma Kim"/>
    <x v="1"/>
    <s v="India"/>
    <x v="3"/>
    <x v="0"/>
    <x v="22"/>
    <n v="1"/>
    <n v="116.53"/>
    <n v="10"/>
    <n v="104.88"/>
    <n v="10.52"/>
    <n v="30.27"/>
    <x v="2"/>
    <n v="116.53"/>
    <n v="0.28861556064073229"/>
    <n v="115.39999999999999"/>
  </r>
  <r>
    <x v="805"/>
    <x v="370"/>
    <s v="Mia Smith"/>
    <x v="1"/>
    <s v="France"/>
    <x v="1"/>
    <x v="3"/>
    <x v="24"/>
    <n v="5"/>
    <n v="45.28"/>
    <n v="25"/>
    <n v="169.8"/>
    <n v="12.55"/>
    <n v="44.05"/>
    <x v="1"/>
    <n v="226.4"/>
    <n v="0.25942285041224966"/>
    <n v="182.35000000000002"/>
  </r>
  <r>
    <x v="806"/>
    <x v="371"/>
    <s v="Ahmed Clark"/>
    <x v="0"/>
    <s v="Japan"/>
    <x v="3"/>
    <x v="3"/>
    <x v="27"/>
    <n v="1"/>
    <n v="43.07"/>
    <n v="20"/>
    <n v="34.46"/>
    <n v="10.5"/>
    <n v="2.4300000000000002"/>
    <x v="3"/>
    <n v="43.07"/>
    <n v="7.0516540917005224E-2"/>
    <n v="44.96"/>
  </r>
  <r>
    <x v="807"/>
    <x v="371"/>
    <s v="Noah Martinez"/>
    <x v="2"/>
    <s v="Mexico"/>
    <x v="0"/>
    <x v="1"/>
    <x v="6"/>
    <n v="5"/>
    <n v="23.69"/>
    <n v="15"/>
    <n v="100.68"/>
    <n v="14.77"/>
    <n v="32.61"/>
    <x v="1"/>
    <n v="118.45"/>
    <n v="0.32389749702026222"/>
    <n v="115.45"/>
  </r>
  <r>
    <x v="808"/>
    <x v="371"/>
    <s v="Jennifer Ferrari"/>
    <x v="1"/>
    <s v="Mexico"/>
    <x v="0"/>
    <x v="0"/>
    <x v="3"/>
    <n v="3"/>
    <n v="80.36"/>
    <n v="20"/>
    <n v="192.86"/>
    <n v="9.0399999999999991"/>
    <n v="51.23"/>
    <x v="1"/>
    <n v="241.07999999999998"/>
    <n v="0.26563310173182614"/>
    <n v="201.9"/>
  </r>
  <r>
    <x v="809"/>
    <x v="372"/>
    <s v="Sakura Thomas"/>
    <x v="1"/>
    <s v="France"/>
    <x v="1"/>
    <x v="0"/>
    <x v="28"/>
    <n v="3"/>
    <n v="39.53"/>
    <n v="15"/>
    <n v="100.8"/>
    <n v="9.02"/>
    <n v="26.56"/>
    <x v="1"/>
    <n v="118.59"/>
    <n v="0.2634920634920635"/>
    <n v="109.82"/>
  </r>
  <r>
    <x v="810"/>
    <x v="372"/>
    <s v="Raj Li"/>
    <x v="1"/>
    <s v="Mexico"/>
    <x v="0"/>
    <x v="1"/>
    <x v="2"/>
    <n v="5"/>
    <n v="10.25"/>
    <n v="15"/>
    <n v="43.56"/>
    <n v="9.7799999999999994"/>
    <n v="10.72"/>
    <x v="0"/>
    <n v="51.25"/>
    <n v="0.24609733700642791"/>
    <n v="53.34"/>
  </r>
  <r>
    <x v="811"/>
    <x v="372"/>
    <s v="Sakura Rodriguez"/>
    <x v="1"/>
    <s v="United States"/>
    <x v="0"/>
    <x v="1"/>
    <x v="25"/>
    <n v="2"/>
    <n v="14.32"/>
    <n v="10"/>
    <n v="25.78"/>
    <n v="7"/>
    <n v="5.89"/>
    <x v="1"/>
    <n v="28.64"/>
    <n v="0.22847168347556243"/>
    <n v="32.78"/>
  </r>
  <r>
    <x v="812"/>
    <x v="372"/>
    <s v="Chen Martin"/>
    <x v="1"/>
    <s v="Germany"/>
    <x v="1"/>
    <x v="1"/>
    <x v="10"/>
    <n v="8"/>
    <n v="9"/>
    <n v="0"/>
    <n v="72"/>
    <n v="16.77"/>
    <n v="22.83"/>
    <x v="1"/>
    <n v="72"/>
    <n v="0.31708333333333333"/>
    <n v="88.77"/>
  </r>
  <r>
    <x v="813"/>
    <x v="373"/>
    <s v="Olivia Nilsson"/>
    <x v="1"/>
    <s v="Brazil"/>
    <x v="4"/>
    <x v="3"/>
    <x v="37"/>
    <n v="5"/>
    <n v="77.97"/>
    <n v="5"/>
    <n v="370.36"/>
    <n v="20.41"/>
    <n v="155.03"/>
    <x v="1"/>
    <n v="389.85"/>
    <n v="0.41859272059617669"/>
    <n v="390.77000000000004"/>
  </r>
  <r>
    <x v="814"/>
    <x v="373"/>
    <s v="Olivia Robinson"/>
    <x v="1"/>
    <s v="Japan"/>
    <x v="3"/>
    <x v="3"/>
    <x v="11"/>
    <n v="3"/>
    <n v="70.34"/>
    <n v="10"/>
    <n v="189.92"/>
    <n v="14.67"/>
    <n v="69.739999999999995"/>
    <x v="1"/>
    <n v="211.02"/>
    <n v="0.36720724515585507"/>
    <n v="204.58999999999997"/>
  </r>
  <r>
    <x v="815"/>
    <x v="374"/>
    <s v="Susan Hassan"/>
    <x v="2"/>
    <s v="France"/>
    <x v="1"/>
    <x v="3"/>
    <x v="30"/>
    <n v="6"/>
    <n v="29.44"/>
    <n v="10"/>
    <n v="158.97999999999999"/>
    <n v="17.71"/>
    <n v="52.95"/>
    <x v="1"/>
    <n v="176.64000000000001"/>
    <n v="0.33306076236004534"/>
    <n v="176.69"/>
  </r>
  <r>
    <x v="816"/>
    <x v="374"/>
    <s v="Richard Kumar"/>
    <x v="1"/>
    <s v="South Korea"/>
    <x v="3"/>
    <x v="3"/>
    <x v="33"/>
    <n v="9"/>
    <n v="36.630000000000003"/>
    <n v="5"/>
    <n v="313.19"/>
    <n v="17.14"/>
    <n v="131.21"/>
    <x v="1"/>
    <n v="329.67"/>
    <n v="0.41894696510105689"/>
    <n v="330.33"/>
  </r>
  <r>
    <x v="817"/>
    <x v="374"/>
    <s v="Amir Wang"/>
    <x v="1"/>
    <s v="United States"/>
    <x v="0"/>
    <x v="1"/>
    <x v="20"/>
    <n v="1"/>
    <n v="13.3"/>
    <n v="15"/>
    <n v="11.3"/>
    <n v="5.8"/>
    <n v="-0.48"/>
    <x v="1"/>
    <n v="13.3"/>
    <n v="-4.2477876106194683E-2"/>
    <n v="17.100000000000001"/>
  </r>
  <r>
    <x v="818"/>
    <x v="375"/>
    <s v="Marco Weber"/>
    <x v="1"/>
    <s v="United States"/>
    <x v="0"/>
    <x v="2"/>
    <x v="4"/>
    <n v="5"/>
    <n v="184.93"/>
    <n v="5"/>
    <n v="878.42"/>
    <n v="7.7"/>
    <n v="315.93"/>
    <x v="2"/>
    <n v="924.65000000000009"/>
    <n v="0.35965711163224884"/>
    <n v="886.12"/>
  </r>
  <r>
    <x v="819"/>
    <x v="375"/>
    <s v="Michael Sharma"/>
    <x v="2"/>
    <s v="United States"/>
    <x v="0"/>
    <x v="3"/>
    <x v="16"/>
    <n v="1"/>
    <n v="53.29"/>
    <n v="10"/>
    <n v="47.96"/>
    <n v="6.39"/>
    <n v="14.93"/>
    <x v="1"/>
    <n v="53.29"/>
    <n v="0.31130108423686403"/>
    <n v="54.35"/>
  </r>
  <r>
    <x v="820"/>
    <x v="376"/>
    <s v="Richard Garcia"/>
    <x v="0"/>
    <s v="Nigeria"/>
    <x v="2"/>
    <x v="1"/>
    <x v="2"/>
    <n v="2"/>
    <n v="14"/>
    <n v="10"/>
    <n v="25.2"/>
    <n v="15.47"/>
    <n v="-2.87"/>
    <x v="2"/>
    <n v="28"/>
    <n v="-0.1138888888888889"/>
    <n v="40.67"/>
  </r>
  <r>
    <x v="821"/>
    <x v="376"/>
    <s v="Wei MÃ¼ller"/>
    <x v="1"/>
    <s v="India"/>
    <x v="3"/>
    <x v="0"/>
    <x v="31"/>
    <n v="4"/>
    <n v="43.88"/>
    <n v="10"/>
    <n v="157.97"/>
    <n v="14.83"/>
    <n v="46.6"/>
    <x v="1"/>
    <n v="175.52"/>
    <n v="0.29499272013673483"/>
    <n v="172.8"/>
  </r>
  <r>
    <x v="822"/>
    <x v="376"/>
    <s v="Olga Anderson"/>
    <x v="2"/>
    <s v="China"/>
    <x v="3"/>
    <x v="0"/>
    <x v="31"/>
    <n v="1"/>
    <n v="198.87"/>
    <n v="15"/>
    <n v="169.04"/>
    <n v="10.72"/>
    <n v="48.94"/>
    <x v="1"/>
    <n v="198.87"/>
    <n v="0.28951727401798388"/>
    <n v="179.76"/>
  </r>
  <r>
    <x v="823"/>
    <x v="376"/>
    <s v="Robert Schmidt"/>
    <x v="1"/>
    <s v="United Kingdom"/>
    <x v="1"/>
    <x v="0"/>
    <x v="35"/>
    <n v="3"/>
    <n v="53.25"/>
    <n v="5"/>
    <n v="151.76"/>
    <n v="11.26"/>
    <n v="52.64"/>
    <x v="2"/>
    <n v="159.75"/>
    <n v="0.34686346863468637"/>
    <n v="163.01999999999998"/>
  </r>
  <r>
    <x v="824"/>
    <x v="377"/>
    <s v="Michael Taylor"/>
    <x v="0"/>
    <s v="South Korea"/>
    <x v="3"/>
    <x v="3"/>
    <x v="37"/>
    <n v="4"/>
    <n v="42.06"/>
    <n v="10"/>
    <n v="151.41999999999999"/>
    <n v="11.14"/>
    <n v="56.16"/>
    <x v="2"/>
    <n v="168.24"/>
    <n v="0.37088891824065512"/>
    <n v="162.56"/>
  </r>
  <r>
    <x v="825"/>
    <x v="378"/>
    <s v="Sakura Oliveira"/>
    <x v="1"/>
    <s v="United Kingdom"/>
    <x v="1"/>
    <x v="0"/>
    <x v="28"/>
    <n v="4"/>
    <n v="24.16"/>
    <n v="0"/>
    <n v="96.64"/>
    <n v="9.6300000000000008"/>
    <n v="33.86"/>
    <x v="0"/>
    <n v="96.64"/>
    <n v="0.35037251655629137"/>
    <n v="106.27"/>
  </r>
  <r>
    <x v="826"/>
    <x v="379"/>
    <s v="Hans Kumar"/>
    <x v="1"/>
    <s v="Japan"/>
    <x v="3"/>
    <x v="3"/>
    <x v="16"/>
    <n v="1"/>
    <n v="33.049999999999997"/>
    <n v="20"/>
    <n v="26.44"/>
    <n v="10.63"/>
    <n v="-0.71"/>
    <x v="3"/>
    <n v="33.049999999999997"/>
    <n v="-2.6853252647503781E-2"/>
    <n v="37.07"/>
  </r>
  <r>
    <x v="827"/>
    <x v="379"/>
    <s v="Hans MÃ¼ller"/>
    <x v="1"/>
    <s v="UAE"/>
    <x v="2"/>
    <x v="1"/>
    <x v="23"/>
    <n v="2"/>
    <n v="10.3"/>
    <n v="5"/>
    <n v="19.57"/>
    <n v="12.16"/>
    <n v="-1.86"/>
    <x v="0"/>
    <n v="20.6"/>
    <n v="-9.5043433827286666E-2"/>
    <n v="31.73"/>
  </r>
  <r>
    <x v="828"/>
    <x v="379"/>
    <s v="Clara Singh"/>
    <x v="1"/>
    <s v="Australia"/>
    <x v="3"/>
    <x v="1"/>
    <x v="38"/>
    <n v="2"/>
    <n v="10.57"/>
    <n v="5"/>
    <n v="20.079999999999998"/>
    <n v="11.11"/>
    <n v="-0.54"/>
    <x v="2"/>
    <n v="21.14"/>
    <n v="-2.6892430278884466E-2"/>
    <n v="31.189999999999998"/>
  </r>
  <r>
    <x v="829"/>
    <x v="380"/>
    <s v="Ahmed Johansson"/>
    <x v="0"/>
    <s v="Brazil"/>
    <x v="4"/>
    <x v="0"/>
    <x v="31"/>
    <n v="14"/>
    <n v="118.27"/>
    <n v="10"/>
    <n v="1490.2"/>
    <n v="40.44"/>
    <n v="539.08000000000004"/>
    <x v="1"/>
    <n v="1655.78"/>
    <n v="0.36175010065762986"/>
    <n v="1530.64"/>
  </r>
  <r>
    <x v="830"/>
    <x v="380"/>
    <s v="Wei Johnson"/>
    <x v="2"/>
    <s v="Australia"/>
    <x v="3"/>
    <x v="0"/>
    <x v="18"/>
    <n v="9"/>
    <n v="38.81"/>
    <n v="5"/>
    <n v="331.83"/>
    <n v="21.13"/>
    <n v="118.59"/>
    <x v="1"/>
    <n v="349.29"/>
    <n v="0.35738179188138508"/>
    <n v="352.96"/>
  </r>
  <r>
    <x v="831"/>
    <x v="381"/>
    <s v="Michael Ferrari"/>
    <x v="0"/>
    <s v="South Africa"/>
    <x v="2"/>
    <x v="1"/>
    <x v="17"/>
    <n v="1"/>
    <n v="9.5"/>
    <n v="5"/>
    <n v="9.0299999999999994"/>
    <n v="13.01"/>
    <n v="-8.26"/>
    <x v="3"/>
    <n v="9.5"/>
    <n v="-0.91472868217054271"/>
    <n v="22.04"/>
  </r>
  <r>
    <x v="832"/>
    <x v="381"/>
    <s v="Kenji Romano"/>
    <x v="0"/>
    <s v="France"/>
    <x v="1"/>
    <x v="1"/>
    <x v="17"/>
    <n v="1"/>
    <n v="9.64"/>
    <n v="10"/>
    <n v="8.68"/>
    <n v="7.9"/>
    <n v="-3.56"/>
    <x v="0"/>
    <n v="9.64"/>
    <n v="-0.41013824884792627"/>
    <n v="16.579999999999998"/>
  </r>
  <r>
    <x v="833"/>
    <x v="381"/>
    <s v="Zara Chen"/>
    <x v="0"/>
    <s v="Germany"/>
    <x v="1"/>
    <x v="1"/>
    <x v="12"/>
    <n v="2"/>
    <n v="10.28"/>
    <n v="10"/>
    <n v="18.5"/>
    <n v="11.36"/>
    <n v="-2.11"/>
    <x v="0"/>
    <n v="20.56"/>
    <n v="-0.11405405405405404"/>
    <n v="29.86"/>
  </r>
  <r>
    <x v="834"/>
    <x v="382"/>
    <s v="Michael Kim"/>
    <x v="1"/>
    <s v="Mexico"/>
    <x v="0"/>
    <x v="0"/>
    <x v="28"/>
    <n v="3"/>
    <n v="20.41"/>
    <n v="5"/>
    <n v="58.17"/>
    <n v="10.210000000000001"/>
    <n v="14.28"/>
    <x v="2"/>
    <n v="61.230000000000004"/>
    <n v="0.24548736462093862"/>
    <n v="68.38"/>
  </r>
  <r>
    <x v="835"/>
    <x v="382"/>
    <s v="Amina Clark"/>
    <x v="1"/>
    <s v="France"/>
    <x v="1"/>
    <x v="1"/>
    <x v="12"/>
    <n v="2"/>
    <n v="14.35"/>
    <n v="10"/>
    <n v="25.83"/>
    <n v="9.58"/>
    <n v="3.33"/>
    <x v="1"/>
    <n v="28.7"/>
    <n v="0.12891986062717772"/>
    <n v="35.409999999999997"/>
  </r>
  <r>
    <x v="836"/>
    <x v="382"/>
    <s v="Robert Chen"/>
    <x v="1"/>
    <s v="China"/>
    <x v="3"/>
    <x v="2"/>
    <x v="15"/>
    <n v="2"/>
    <n v="221.74"/>
    <n v="25"/>
    <n v="332.61"/>
    <n v="10.29"/>
    <n v="56.23"/>
    <x v="2"/>
    <n v="443.48"/>
    <n v="0.16905685337181683"/>
    <n v="342.90000000000003"/>
  </r>
  <r>
    <x v="837"/>
    <x v="383"/>
    <s v="Ali Thomas"/>
    <x v="1"/>
    <s v="South Korea"/>
    <x v="3"/>
    <x v="1"/>
    <x v="6"/>
    <n v="4"/>
    <n v="14.12"/>
    <n v="25"/>
    <n v="42.36"/>
    <n v="11.69"/>
    <n v="5.25"/>
    <x v="1"/>
    <n v="56.48"/>
    <n v="0.12393767705382436"/>
    <n v="54.05"/>
  </r>
  <r>
    <x v="838"/>
    <x v="383"/>
    <s v="Layla Kumar"/>
    <x v="0"/>
    <s v="Australia"/>
    <x v="3"/>
    <x v="3"/>
    <x v="33"/>
    <n v="4"/>
    <n v="49.44"/>
    <n v="25"/>
    <n v="148.32"/>
    <n v="14.14"/>
    <n v="35.299999999999997"/>
    <x v="2"/>
    <n v="197.76"/>
    <n v="0.23799892125134842"/>
    <n v="162.45999999999998"/>
  </r>
  <r>
    <x v="839"/>
    <x v="384"/>
    <s v="Karen Nilsson"/>
    <x v="1"/>
    <s v="South Korea"/>
    <x v="3"/>
    <x v="0"/>
    <x v="1"/>
    <n v="7"/>
    <n v="67.05"/>
    <n v="15"/>
    <n v="398.95"/>
    <n v="24.08"/>
    <n v="116.73"/>
    <x v="3"/>
    <n v="469.34999999999997"/>
    <n v="0.29259305677403186"/>
    <n v="423.03"/>
  </r>
  <r>
    <x v="840"/>
    <x v="384"/>
    <s v="Mia Martin"/>
    <x v="2"/>
    <s v="France"/>
    <x v="1"/>
    <x v="1"/>
    <x v="12"/>
    <n v="2"/>
    <n v="20.62"/>
    <n v="15"/>
    <n v="35.049999999999997"/>
    <n v="11.25"/>
    <n v="5.24"/>
    <x v="2"/>
    <n v="41.24"/>
    <n v="0.14950071326676179"/>
    <n v="46.3"/>
  </r>
  <r>
    <x v="841"/>
    <x v="385"/>
    <s v="Priya Brown"/>
    <x v="2"/>
    <s v="France"/>
    <x v="1"/>
    <x v="3"/>
    <x v="27"/>
    <n v="1"/>
    <n v="32.39"/>
    <n v="10"/>
    <n v="29.15"/>
    <n v="9.08"/>
    <n v="3.87"/>
    <x v="3"/>
    <n v="32.39"/>
    <n v="0.13276157804459693"/>
    <n v="38.229999999999997"/>
  </r>
  <r>
    <x v="842"/>
    <x v="385"/>
    <s v="Isabella Laurent"/>
    <x v="0"/>
    <s v="Germany"/>
    <x v="1"/>
    <x v="1"/>
    <x v="19"/>
    <n v="1"/>
    <n v="4.0199999999999996"/>
    <n v="15"/>
    <n v="3.42"/>
    <n v="7.74"/>
    <n v="-6.13"/>
    <x v="3"/>
    <n v="4.0199999999999996"/>
    <n v="-1.7923976608187135"/>
    <n v="11.16"/>
  </r>
  <r>
    <x v="843"/>
    <x v="385"/>
    <s v="Barbara Nilsson"/>
    <x v="0"/>
    <s v="Australia"/>
    <x v="3"/>
    <x v="3"/>
    <x v="16"/>
    <n v="10"/>
    <n v="39.340000000000003"/>
    <n v="20"/>
    <n v="314.72000000000003"/>
    <n v="28.72"/>
    <n v="89.3"/>
    <x v="2"/>
    <n v="393.40000000000003"/>
    <n v="0.28374428063040158"/>
    <n v="343.44000000000005"/>
  </r>
  <r>
    <x v="844"/>
    <x v="385"/>
    <s v="Ahmed Santos"/>
    <x v="2"/>
    <s v="Japan"/>
    <x v="3"/>
    <x v="0"/>
    <x v="18"/>
    <n v="2"/>
    <n v="69.72"/>
    <n v="20"/>
    <n v="111.55"/>
    <n v="10.18"/>
    <n v="24.68"/>
    <x v="1"/>
    <n v="139.44"/>
    <n v="0.22124607799193188"/>
    <n v="121.72999999999999"/>
  </r>
  <r>
    <x v="845"/>
    <x v="385"/>
    <s v="Fatima Williams"/>
    <x v="2"/>
    <s v="United States"/>
    <x v="0"/>
    <x v="3"/>
    <x v="11"/>
    <n v="4"/>
    <n v="32.79"/>
    <n v="5"/>
    <n v="124.6"/>
    <n v="8.07"/>
    <n v="50.95"/>
    <x v="1"/>
    <n v="131.16"/>
    <n v="0.408908507223114"/>
    <n v="132.66999999999999"/>
  </r>
  <r>
    <x v="846"/>
    <x v="385"/>
    <s v="Sophie White"/>
    <x v="0"/>
    <s v="Argentina"/>
    <x v="4"/>
    <x v="2"/>
    <x v="4"/>
    <n v="2"/>
    <n v="123.37"/>
    <n v="20"/>
    <n v="197.39"/>
    <n v="14.52"/>
    <n v="34.83"/>
    <x v="1"/>
    <n v="246.74"/>
    <n v="0.17645270783727646"/>
    <n v="211.91"/>
  </r>
  <r>
    <x v="847"/>
    <x v="386"/>
    <s v="Karen Sato"/>
    <x v="0"/>
    <s v="Brazil"/>
    <x v="4"/>
    <x v="2"/>
    <x v="14"/>
    <n v="8"/>
    <n v="363.39"/>
    <n v="10"/>
    <n v="2616.41"/>
    <n v="27.16"/>
    <n v="844.98"/>
    <x v="1"/>
    <n v="2907.12"/>
    <n v="0.32295397128125947"/>
    <n v="2643.5699999999997"/>
  </r>
  <r>
    <x v="848"/>
    <x v="387"/>
    <s v="Ali Wang"/>
    <x v="1"/>
    <s v="UAE"/>
    <x v="2"/>
    <x v="3"/>
    <x v="11"/>
    <n v="8"/>
    <n v="82.89"/>
    <n v="5"/>
    <n v="629.96"/>
    <n v="23.71"/>
    <n v="274.69"/>
    <x v="2"/>
    <n v="663.12"/>
    <n v="0.4360435583211632"/>
    <n v="653.67000000000007"/>
  </r>
  <r>
    <x v="849"/>
    <x v="387"/>
    <s v="Omar Fischer"/>
    <x v="0"/>
    <s v="South Korea"/>
    <x v="3"/>
    <x v="2"/>
    <x v="36"/>
    <n v="1"/>
    <n v="189.66"/>
    <n v="20"/>
    <n v="151.72999999999999"/>
    <n v="9.52"/>
    <n v="28.41"/>
    <x v="0"/>
    <n v="189.66"/>
    <n v="0.18724049298095302"/>
    <n v="161.25"/>
  </r>
  <r>
    <x v="850"/>
    <x v="387"/>
    <s v="Felix White"/>
    <x v="1"/>
    <s v="Australia"/>
    <x v="3"/>
    <x v="2"/>
    <x v="21"/>
    <n v="4"/>
    <n v="83.03"/>
    <n v="5"/>
    <n v="315.51"/>
    <n v="17.34"/>
    <n v="98.9"/>
    <x v="1"/>
    <n v="332.12"/>
    <n v="0.31346074609362623"/>
    <n v="332.84999999999997"/>
  </r>
  <r>
    <x v="851"/>
    <x v="387"/>
    <s v="Layla Li"/>
    <x v="1"/>
    <s v="Brazil"/>
    <x v="4"/>
    <x v="0"/>
    <x v="7"/>
    <n v="3"/>
    <n v="79.819999999999993"/>
    <n v="5"/>
    <n v="227.49"/>
    <n v="13.83"/>
    <n v="81.96"/>
    <x v="2"/>
    <n v="239.45999999999998"/>
    <n v="0.36027957272847155"/>
    <n v="241.32000000000002"/>
  </r>
  <r>
    <x v="852"/>
    <x v="388"/>
    <s v="Kenji Sharma"/>
    <x v="0"/>
    <s v="Brazil"/>
    <x v="4"/>
    <x v="0"/>
    <x v="22"/>
    <n v="2"/>
    <n v="128.49"/>
    <n v="20"/>
    <n v="205.58"/>
    <n v="11.38"/>
    <n v="52.86"/>
    <x v="3"/>
    <n v="256.98"/>
    <n v="0.25712617958945422"/>
    <n v="216.96"/>
  </r>
  <r>
    <x v="853"/>
    <x v="388"/>
    <s v="Ethan Li"/>
    <x v="2"/>
    <s v="Mexico"/>
    <x v="0"/>
    <x v="0"/>
    <x v="18"/>
    <n v="3"/>
    <n v="57.54"/>
    <n v="20"/>
    <n v="138.1"/>
    <n v="9.7100000000000009"/>
    <n v="33.450000000000003"/>
    <x v="1"/>
    <n v="172.62"/>
    <n v="0.24221578566256338"/>
    <n v="147.81"/>
  </r>
  <r>
    <x v="854"/>
    <x v="389"/>
    <s v="Linda Sato"/>
    <x v="0"/>
    <s v="Mexico"/>
    <x v="0"/>
    <x v="2"/>
    <x v="32"/>
    <n v="1"/>
    <n v="74.599999999999994"/>
    <n v="10"/>
    <n v="67.14"/>
    <n v="6.8"/>
    <n v="15.58"/>
    <x v="1"/>
    <n v="74.599999999999994"/>
    <n v="0.23205242776288354"/>
    <n v="73.94"/>
  </r>
  <r>
    <x v="855"/>
    <x v="390"/>
    <s v="Ali Dubois"/>
    <x v="0"/>
    <s v="Japan"/>
    <x v="3"/>
    <x v="1"/>
    <x v="19"/>
    <n v="1"/>
    <n v="12.87"/>
    <n v="0"/>
    <n v="12.87"/>
    <n v="11.47"/>
    <n v="-4.3899999999999997"/>
    <x v="2"/>
    <n v="12.87"/>
    <n v="-0.34110334110334112"/>
    <n v="24.34"/>
  </r>
  <r>
    <x v="856"/>
    <x v="390"/>
    <s v="Wei Li"/>
    <x v="1"/>
    <s v="South Africa"/>
    <x v="2"/>
    <x v="2"/>
    <x v="36"/>
    <n v="15"/>
    <n v="107.45"/>
    <n v="5"/>
    <n v="1531.16"/>
    <n v="23.4"/>
    <n v="540.71"/>
    <x v="1"/>
    <n v="1611.75"/>
    <n v="0.35313749053005566"/>
    <n v="1554.5600000000002"/>
  </r>
  <r>
    <x v="857"/>
    <x v="390"/>
    <s v="Clara Romano"/>
    <x v="1"/>
    <s v="United Kingdom"/>
    <x v="1"/>
    <x v="0"/>
    <x v="3"/>
    <n v="3"/>
    <n v="72.81"/>
    <n v="10"/>
    <n v="196.59"/>
    <n v="11.86"/>
    <n v="64.59"/>
    <x v="1"/>
    <n v="218.43"/>
    <n v="0.32855180833206166"/>
    <n v="208.45"/>
  </r>
  <r>
    <x v="858"/>
    <x v="391"/>
    <s v="Priya Williams"/>
    <x v="0"/>
    <s v="Canada"/>
    <x v="0"/>
    <x v="3"/>
    <x v="27"/>
    <n v="2"/>
    <n v="69.05"/>
    <n v="25"/>
    <n v="103.57"/>
    <n v="8.58"/>
    <n v="25.94"/>
    <x v="1"/>
    <n v="138.1"/>
    <n v="0.25045862701554505"/>
    <n v="112.14999999999999"/>
  </r>
  <r>
    <x v="859"/>
    <x v="391"/>
    <s v="Lucas Brown"/>
    <x v="2"/>
    <s v="United States"/>
    <x v="0"/>
    <x v="1"/>
    <x v="17"/>
    <n v="5"/>
    <n v="6.24"/>
    <n v="10"/>
    <n v="28.08"/>
    <n v="11.46"/>
    <n v="2.58"/>
    <x v="1"/>
    <n v="31.200000000000003"/>
    <n v="9.1880341880341887E-2"/>
    <n v="39.54"/>
  </r>
  <r>
    <x v="860"/>
    <x v="391"/>
    <s v="Oscar Thompson"/>
    <x v="2"/>
    <s v="India"/>
    <x v="3"/>
    <x v="2"/>
    <x v="4"/>
    <n v="1"/>
    <n v="137.49"/>
    <n v="15"/>
    <n v="116.87"/>
    <n v="10.119999999999999"/>
    <n v="24.26"/>
    <x v="2"/>
    <n v="137.49"/>
    <n v="0.20758107298707967"/>
    <n v="126.99000000000001"/>
  </r>
  <r>
    <x v="861"/>
    <x v="391"/>
    <s v="Wei Rodriguez"/>
    <x v="1"/>
    <s v="China"/>
    <x v="3"/>
    <x v="2"/>
    <x v="36"/>
    <n v="2"/>
    <n v="242.25"/>
    <n v="10"/>
    <n v="436.05"/>
    <n v="10.98"/>
    <n v="134.37"/>
    <x v="1"/>
    <n v="484.5"/>
    <n v="0.30815273477812177"/>
    <n v="447.03000000000003"/>
  </r>
  <r>
    <x v="862"/>
    <x v="391"/>
    <s v="Carlos Robinson"/>
    <x v="0"/>
    <s v="Brazil"/>
    <x v="4"/>
    <x v="0"/>
    <x v="1"/>
    <n v="1"/>
    <n v="128.34"/>
    <n v="15"/>
    <n v="109.09"/>
    <n v="11.04"/>
    <n v="27.46"/>
    <x v="3"/>
    <n v="128.34"/>
    <n v="0.25171876432303603"/>
    <n v="120.13"/>
  </r>
  <r>
    <x v="863"/>
    <x v="391"/>
    <s v="Jessica Martin"/>
    <x v="1"/>
    <s v="India"/>
    <x v="3"/>
    <x v="2"/>
    <x v="21"/>
    <n v="4"/>
    <n v="34.76"/>
    <n v="15"/>
    <n v="118.18"/>
    <n v="17.86"/>
    <n v="16.899999999999999"/>
    <x v="2"/>
    <n v="139.04"/>
    <n v="0.14300220003384664"/>
    <n v="136.04000000000002"/>
  </r>
  <r>
    <x v="864"/>
    <x v="392"/>
    <s v="Jamal Khan"/>
    <x v="0"/>
    <s v="Colombia"/>
    <x v="4"/>
    <x v="0"/>
    <x v="28"/>
    <n v="2"/>
    <n v="52.77"/>
    <n v="30"/>
    <n v="73.88"/>
    <n v="14.69"/>
    <n v="1.1399999999999999"/>
    <x v="1"/>
    <n v="105.54"/>
    <n v="1.5430427720628045E-2"/>
    <n v="88.57"/>
  </r>
  <r>
    <x v="865"/>
    <x v="393"/>
    <s v="Lucas Russo"/>
    <x v="2"/>
    <s v="Canada"/>
    <x v="0"/>
    <x v="0"/>
    <x v="29"/>
    <n v="1"/>
    <n v="28.72"/>
    <n v="5"/>
    <n v="27.28"/>
    <n v="6.34"/>
    <n v="5.14"/>
    <x v="3"/>
    <n v="28.72"/>
    <n v="0.18841642228739"/>
    <n v="33.620000000000005"/>
  </r>
  <r>
    <x v="866"/>
    <x v="394"/>
    <s v="Amir Li"/>
    <x v="1"/>
    <s v="Canada"/>
    <x v="0"/>
    <x v="2"/>
    <x v="4"/>
    <n v="3"/>
    <n v="264.57"/>
    <n v="5"/>
    <n v="754.02"/>
    <n v="9.64"/>
    <n v="268.14999999999998"/>
    <x v="2"/>
    <n v="793.71"/>
    <n v="0.35562717169305852"/>
    <n v="763.66"/>
  </r>
  <r>
    <x v="867"/>
    <x v="394"/>
    <s v="Wei Martinez"/>
    <x v="0"/>
    <s v="Italy"/>
    <x v="1"/>
    <x v="3"/>
    <x v="11"/>
    <n v="3"/>
    <n v="85.33"/>
    <n v="15"/>
    <n v="217.59"/>
    <n v="12.17"/>
    <n v="77.42"/>
    <x v="1"/>
    <n v="255.99"/>
    <n v="0.35580679259157133"/>
    <n v="229.76"/>
  </r>
  <r>
    <x v="868"/>
    <x v="394"/>
    <s v="Lucas Russo"/>
    <x v="2"/>
    <s v="Italy"/>
    <x v="1"/>
    <x v="0"/>
    <x v="29"/>
    <n v="10"/>
    <n v="39.28"/>
    <n v="10"/>
    <n v="353.52"/>
    <n v="31.89"/>
    <n v="105.59"/>
    <x v="1"/>
    <n v="392.8"/>
    <n v="0.29868182846797919"/>
    <n v="385.40999999999997"/>
  </r>
  <r>
    <x v="869"/>
    <x v="394"/>
    <s v="Patricia Weber"/>
    <x v="1"/>
    <s v="Mexico"/>
    <x v="0"/>
    <x v="1"/>
    <x v="10"/>
    <n v="2"/>
    <n v="6.14"/>
    <n v="0"/>
    <n v="12.28"/>
    <n v="9"/>
    <n v="-2.25"/>
    <x v="3"/>
    <n v="12.28"/>
    <n v="-0.18322475570032573"/>
    <n v="21.28"/>
  </r>
  <r>
    <x v="870"/>
    <x v="394"/>
    <s v="Olivia Williams"/>
    <x v="1"/>
    <s v="India"/>
    <x v="3"/>
    <x v="0"/>
    <x v="1"/>
    <n v="5"/>
    <n v="77.16"/>
    <n v="5"/>
    <n v="366.51"/>
    <n v="19.79"/>
    <n v="134.53"/>
    <x v="1"/>
    <n v="385.79999999999995"/>
    <n v="0.36705683337425993"/>
    <n v="386.3"/>
  </r>
  <r>
    <x v="871"/>
    <x v="395"/>
    <s v="Amina Harris"/>
    <x v="0"/>
    <s v="Australia"/>
    <x v="3"/>
    <x v="1"/>
    <x v="10"/>
    <n v="3"/>
    <n v="5.66"/>
    <n v="10"/>
    <n v="15.28"/>
    <n v="12.07"/>
    <n v="-4.43"/>
    <x v="2"/>
    <n v="16.98"/>
    <n v="-0.28992146596858637"/>
    <n v="27.35"/>
  </r>
  <r>
    <x v="872"/>
    <x v="395"/>
    <s v="Nadia Costa"/>
    <x v="1"/>
    <s v="Canada"/>
    <x v="0"/>
    <x v="2"/>
    <x v="8"/>
    <n v="4"/>
    <n v="112.68"/>
    <n v="0"/>
    <n v="450.72"/>
    <n v="12.94"/>
    <n v="167.35"/>
    <x v="3"/>
    <n v="450.72"/>
    <n v="0.37129481718139862"/>
    <n v="463.66"/>
  </r>
  <r>
    <x v="873"/>
    <x v="395"/>
    <s v="Amir Yamamoto"/>
    <x v="1"/>
    <s v="United Kingdom"/>
    <x v="1"/>
    <x v="0"/>
    <x v="22"/>
    <n v="2"/>
    <n v="72.3"/>
    <n v="10"/>
    <n v="130.13999999999999"/>
    <n v="11.95"/>
    <n v="38.659999999999997"/>
    <x v="1"/>
    <n v="144.6"/>
    <n v="0.29706469955432613"/>
    <n v="142.08999999999997"/>
  </r>
  <r>
    <x v="874"/>
    <x v="396"/>
    <s v="Wei Patel"/>
    <x v="1"/>
    <s v="China"/>
    <x v="3"/>
    <x v="0"/>
    <x v="7"/>
    <n v="2"/>
    <n v="33.61"/>
    <n v="10"/>
    <n v="60.5"/>
    <n v="11.88"/>
    <n v="11.65"/>
    <x v="1"/>
    <n v="67.22"/>
    <n v="0.19256198347107439"/>
    <n v="72.38"/>
  </r>
  <r>
    <x v="875"/>
    <x v="397"/>
    <s v="Oscar Kim"/>
    <x v="0"/>
    <s v="South Africa"/>
    <x v="2"/>
    <x v="1"/>
    <x v="19"/>
    <n v="3"/>
    <n v="8.1300000000000008"/>
    <n v="15"/>
    <n v="20.73"/>
    <n v="14.66"/>
    <n v="-4.91"/>
    <x v="2"/>
    <n v="24.39"/>
    <n v="-0.23685479980704294"/>
    <n v="35.39"/>
  </r>
  <r>
    <x v="876"/>
    <x v="397"/>
    <s v="Layla Thomas"/>
    <x v="0"/>
    <s v="Japan"/>
    <x v="3"/>
    <x v="0"/>
    <x v="29"/>
    <n v="3"/>
    <n v="37.590000000000003"/>
    <n v="15"/>
    <n v="95.85"/>
    <n v="10.77"/>
    <n v="23.06"/>
    <x v="1"/>
    <n v="112.77000000000001"/>
    <n v="0.24058424621804902"/>
    <n v="106.61999999999999"/>
  </r>
  <r>
    <x v="877"/>
    <x v="398"/>
    <s v="Maria Anderson"/>
    <x v="1"/>
    <s v="Australia"/>
    <x v="3"/>
    <x v="2"/>
    <x v="8"/>
    <n v="3"/>
    <n v="52.88"/>
    <n v="0"/>
    <n v="158.63999999999999"/>
    <n v="12.03"/>
    <n v="51.43"/>
    <x v="1"/>
    <n v="158.64000000000001"/>
    <n v="0.32419314170448815"/>
    <n v="170.67"/>
  </r>
  <r>
    <x v="878"/>
    <x v="399"/>
    <s v="Priya Leroy"/>
    <x v="1"/>
    <s v="Brazil"/>
    <x v="4"/>
    <x v="1"/>
    <x v="38"/>
    <n v="1"/>
    <n v="9.5500000000000007"/>
    <n v="5"/>
    <n v="9.07"/>
    <n v="11.92"/>
    <n v="-7.15"/>
    <x v="2"/>
    <n v="9.5500000000000007"/>
    <n v="-0.78831312017640576"/>
    <n v="20.990000000000002"/>
  </r>
  <r>
    <x v="879"/>
    <x v="399"/>
    <s v="Kenji Anderson"/>
    <x v="0"/>
    <s v="Australia"/>
    <x v="3"/>
    <x v="3"/>
    <x v="13"/>
    <n v="10"/>
    <n v="99.39"/>
    <n v="0"/>
    <n v="993.9"/>
    <n v="21.95"/>
    <n v="475"/>
    <x v="0"/>
    <n v="993.9"/>
    <n v="0.47791528322768889"/>
    <n v="1015.85"/>
  </r>
  <r>
    <x v="880"/>
    <x v="400"/>
    <s v="Raj Rodriguez"/>
    <x v="1"/>
    <s v="China"/>
    <x v="3"/>
    <x v="0"/>
    <x v="31"/>
    <n v="1"/>
    <n v="76.11"/>
    <n v="0"/>
    <n v="76.11"/>
    <n v="10.16"/>
    <n v="24.09"/>
    <x v="2"/>
    <n v="76.11"/>
    <n v="0.3165155695703587"/>
    <n v="86.27"/>
  </r>
  <r>
    <x v="881"/>
    <x v="400"/>
    <s v="Sarah Robinson"/>
    <x v="1"/>
    <s v="Nigeria"/>
    <x v="2"/>
    <x v="0"/>
    <x v="1"/>
    <n v="1"/>
    <n v="57.26"/>
    <n v="20"/>
    <n v="45.81"/>
    <n v="12.91"/>
    <n v="1.41"/>
    <x v="1"/>
    <n v="57.26"/>
    <n v="3.0779305828421737E-2"/>
    <n v="58.72"/>
  </r>
  <r>
    <x v="882"/>
    <x v="400"/>
    <s v="Jessica Yamamoto"/>
    <x v="0"/>
    <s v="China"/>
    <x v="3"/>
    <x v="3"/>
    <x v="24"/>
    <n v="2"/>
    <n v="42.93"/>
    <n v="5"/>
    <n v="81.569999999999993"/>
    <n v="13.52"/>
    <n v="25.12"/>
    <x v="0"/>
    <n v="85.86"/>
    <n v="0.30795635650361658"/>
    <n v="95.089999999999989"/>
  </r>
  <r>
    <x v="883"/>
    <x v="400"/>
    <s v="Ava Harris"/>
    <x v="1"/>
    <s v="Italy"/>
    <x v="1"/>
    <x v="0"/>
    <x v="29"/>
    <n v="4"/>
    <n v="37.01"/>
    <n v="0"/>
    <n v="148.04"/>
    <n v="12.78"/>
    <n v="53.84"/>
    <x v="1"/>
    <n v="148.04"/>
    <n v="0.36368549040799786"/>
    <n v="160.82"/>
  </r>
  <r>
    <x v="884"/>
    <x v="401"/>
    <s v="James Ahmed"/>
    <x v="0"/>
    <s v="United States"/>
    <x v="0"/>
    <x v="3"/>
    <x v="9"/>
    <n v="5"/>
    <n v="57.38"/>
    <n v="0"/>
    <n v="286.89999999999998"/>
    <n v="10.15"/>
    <n v="133.30000000000001"/>
    <x v="0"/>
    <n v="286.90000000000003"/>
    <n v="0.46462181944928554"/>
    <n v="297.04999999999995"/>
  </r>
  <r>
    <x v="885"/>
    <x v="402"/>
    <s v="Olga Thompson"/>
    <x v="1"/>
    <s v="Spain"/>
    <x v="1"/>
    <x v="3"/>
    <x v="30"/>
    <n v="1"/>
    <n v="20.52"/>
    <n v="5"/>
    <n v="19.489999999999998"/>
    <n v="7.58"/>
    <n v="1.65"/>
    <x v="2"/>
    <n v="20.52"/>
    <n v="8.4658799384299641E-2"/>
    <n v="27.07"/>
  </r>
  <r>
    <x v="886"/>
    <x v="402"/>
    <s v="Zara White"/>
    <x v="1"/>
    <s v="UAE"/>
    <x v="2"/>
    <x v="1"/>
    <x v="25"/>
    <n v="5"/>
    <n v="10.88"/>
    <n v="5"/>
    <n v="51.68"/>
    <n v="16.95"/>
    <n v="10.25"/>
    <x v="1"/>
    <n v="54.400000000000006"/>
    <n v="0.19833591331269351"/>
    <n v="68.63"/>
  </r>
  <r>
    <x v="887"/>
    <x v="403"/>
    <s v="Priya Kumar"/>
    <x v="1"/>
    <s v="United Kingdom"/>
    <x v="1"/>
    <x v="3"/>
    <x v="27"/>
    <n v="3"/>
    <n v="66.48"/>
    <n v="0"/>
    <n v="199.44"/>
    <n v="9.0500000000000007"/>
    <n v="90.67"/>
    <x v="2"/>
    <n v="199.44"/>
    <n v="0.45462294424388289"/>
    <n v="208.49"/>
  </r>
  <r>
    <x v="888"/>
    <x v="403"/>
    <s v="Ethan Kumar"/>
    <x v="0"/>
    <s v="Mexico"/>
    <x v="0"/>
    <x v="0"/>
    <x v="29"/>
    <n v="8"/>
    <n v="32.31"/>
    <n v="15"/>
    <n v="219.71"/>
    <n v="18.899999999999999"/>
    <n v="58.65"/>
    <x v="1"/>
    <n v="258.48"/>
    <n v="0.26694278822083656"/>
    <n v="238.61"/>
  </r>
  <r>
    <x v="889"/>
    <x v="404"/>
    <s v="Ingrid MÃ¼ller"/>
    <x v="0"/>
    <s v="United States"/>
    <x v="0"/>
    <x v="1"/>
    <x v="2"/>
    <n v="4"/>
    <n v="12.42"/>
    <n v="15"/>
    <n v="42.23"/>
    <n v="13.37"/>
    <n v="6.5"/>
    <x v="1"/>
    <n v="49.68"/>
    <n v="0.15391901491830454"/>
    <n v="55.599999999999994"/>
  </r>
  <r>
    <x v="890"/>
    <x v="404"/>
    <s v="Mia Sharma"/>
    <x v="1"/>
    <s v="Italy"/>
    <x v="1"/>
    <x v="0"/>
    <x v="7"/>
    <n v="2"/>
    <n v="54.24"/>
    <n v="10"/>
    <n v="97.63"/>
    <n v="9.9700000000000006"/>
    <n v="28"/>
    <x v="1"/>
    <n v="108.48"/>
    <n v="0.28679709105807644"/>
    <n v="107.6"/>
  </r>
  <r>
    <x v="891"/>
    <x v="404"/>
    <s v="Karen Ferrari"/>
    <x v="1"/>
    <s v="United States"/>
    <x v="0"/>
    <x v="2"/>
    <x v="34"/>
    <n v="1"/>
    <n v="49.78"/>
    <n v="15"/>
    <n v="42.31"/>
    <n v="6.63"/>
    <n v="5.81"/>
    <x v="2"/>
    <n v="49.78"/>
    <n v="0.13731978255731503"/>
    <n v="48.940000000000005"/>
  </r>
  <r>
    <x v="892"/>
    <x v="405"/>
    <s v="Sophie Schmidt"/>
    <x v="1"/>
    <s v="Brazil"/>
    <x v="4"/>
    <x v="0"/>
    <x v="18"/>
    <n v="3"/>
    <n v="26.2"/>
    <n v="10"/>
    <n v="70.739999999999995"/>
    <n v="15.66"/>
    <n v="11.85"/>
    <x v="1"/>
    <n v="78.599999999999994"/>
    <n v="0.16751484308736217"/>
    <n v="86.399999999999991"/>
  </r>
  <r>
    <x v="893"/>
    <x v="405"/>
    <s v="Sakura Smith"/>
    <x v="0"/>
    <s v="Mexico"/>
    <x v="0"/>
    <x v="3"/>
    <x v="13"/>
    <n v="8"/>
    <n v="50.94"/>
    <n v="15"/>
    <n v="346.39"/>
    <n v="11.7"/>
    <n v="130.93"/>
    <x v="1"/>
    <n v="407.52"/>
    <n v="0.37798435289702365"/>
    <n v="358.09"/>
  </r>
  <r>
    <x v="894"/>
    <x v="406"/>
    <s v="Hanna Robinson"/>
    <x v="1"/>
    <s v="Italy"/>
    <x v="1"/>
    <x v="2"/>
    <x v="34"/>
    <n v="6"/>
    <n v="26.58"/>
    <n v="20"/>
    <n v="127.58"/>
    <n v="17.7"/>
    <n v="14.19"/>
    <x v="2"/>
    <n v="159.47999999999999"/>
    <n v="0.1112243298322621"/>
    <n v="145.28"/>
  </r>
  <r>
    <x v="895"/>
    <x v="406"/>
    <s v="John Laurent"/>
    <x v="1"/>
    <s v="United Kingdom"/>
    <x v="1"/>
    <x v="2"/>
    <x v="36"/>
    <n v="1"/>
    <n v="296.60000000000002"/>
    <n v="5"/>
    <n v="281.77"/>
    <n v="9.0299999999999994"/>
    <n v="94.78"/>
    <x v="0"/>
    <n v="296.60000000000002"/>
    <n v="0.33637363807360615"/>
    <n v="290.79999999999995"/>
  </r>
  <r>
    <x v="896"/>
    <x v="406"/>
    <s v="Jessica Russo"/>
    <x v="2"/>
    <s v="India"/>
    <x v="3"/>
    <x v="2"/>
    <x v="36"/>
    <n v="6"/>
    <n v="151.62"/>
    <n v="0"/>
    <n v="909.72"/>
    <n v="15.6"/>
    <n v="348.29"/>
    <x v="0"/>
    <n v="909.72"/>
    <n v="0.38285406498702901"/>
    <n v="925.32"/>
  </r>
  <r>
    <x v="897"/>
    <x v="406"/>
    <s v="Mary Garcia"/>
    <x v="2"/>
    <s v="United States"/>
    <x v="0"/>
    <x v="3"/>
    <x v="27"/>
    <n v="3"/>
    <n v="34.369999999999997"/>
    <n v="10"/>
    <n v="92.8"/>
    <n v="11.23"/>
    <n v="30.02"/>
    <x v="2"/>
    <n v="103.10999999999999"/>
    <n v="0.32349137931034483"/>
    <n v="104.03"/>
  </r>
  <r>
    <x v="898"/>
    <x v="407"/>
    <s v="Robert Thompson"/>
    <x v="0"/>
    <s v="Japan"/>
    <x v="3"/>
    <x v="1"/>
    <x v="20"/>
    <n v="2"/>
    <n v="10.26"/>
    <n v="0"/>
    <n v="20.52"/>
    <n v="12.54"/>
    <n v="-1.25"/>
    <x v="1"/>
    <n v="20.52"/>
    <n v="-6.0916179337231972E-2"/>
    <n v="33.06"/>
  </r>
  <r>
    <x v="899"/>
    <x v="408"/>
    <s v="Sophie Martin"/>
    <x v="0"/>
    <s v="Canada"/>
    <x v="0"/>
    <x v="0"/>
    <x v="1"/>
    <n v="5"/>
    <n v="128.41"/>
    <n v="30"/>
    <n v="449.43"/>
    <n v="13.49"/>
    <n v="82.81"/>
    <x v="1"/>
    <n v="642.04999999999995"/>
    <n v="0.18425561266493115"/>
    <n v="462.92"/>
  </r>
  <r>
    <x v="900"/>
    <x v="409"/>
    <s v="David Smith"/>
    <x v="1"/>
    <s v="UAE"/>
    <x v="2"/>
    <x v="0"/>
    <x v="35"/>
    <n v="3"/>
    <n v="21.23"/>
    <n v="5"/>
    <n v="60.51"/>
    <n v="18.059999999999999"/>
    <n v="7.42"/>
    <x v="1"/>
    <n v="63.69"/>
    <n v="0.12262435960998182"/>
    <n v="78.569999999999993"/>
  </r>
  <r>
    <x v="901"/>
    <x v="409"/>
    <s v="Mia Jones"/>
    <x v="0"/>
    <s v="India"/>
    <x v="3"/>
    <x v="1"/>
    <x v="2"/>
    <n v="3"/>
    <n v="5.26"/>
    <n v="5"/>
    <n v="14.99"/>
    <n v="12.25"/>
    <n v="-4.3600000000000003"/>
    <x v="1"/>
    <n v="15.78"/>
    <n v="-0.29086057371581053"/>
    <n v="27.240000000000002"/>
  </r>
  <r>
    <x v="902"/>
    <x v="410"/>
    <s v="Olivia Wang"/>
    <x v="1"/>
    <s v="Japan"/>
    <x v="3"/>
    <x v="1"/>
    <x v="38"/>
    <n v="4"/>
    <n v="9.24"/>
    <n v="5"/>
    <n v="35.11"/>
    <n v="18.34"/>
    <n v="0.14000000000000001"/>
    <x v="1"/>
    <n v="36.96"/>
    <n v="3.9874679578467678E-3"/>
    <n v="53.45"/>
  </r>
  <r>
    <x v="903"/>
    <x v="411"/>
    <s v="Emma Dubois"/>
    <x v="2"/>
    <s v="Spain"/>
    <x v="1"/>
    <x v="0"/>
    <x v="3"/>
    <n v="2"/>
    <n v="88.23"/>
    <n v="0"/>
    <n v="176.46"/>
    <n v="9.65"/>
    <n v="69.760000000000005"/>
    <x v="3"/>
    <n v="176.46"/>
    <n v="0.39533038648985608"/>
    <n v="186.11"/>
  </r>
  <r>
    <x v="904"/>
    <x v="412"/>
    <s v="Richard Brown"/>
    <x v="1"/>
    <s v="United Kingdom"/>
    <x v="1"/>
    <x v="0"/>
    <x v="31"/>
    <n v="2"/>
    <n v="111.78"/>
    <n v="0"/>
    <n v="223.56"/>
    <n v="9"/>
    <n v="91.6"/>
    <x v="0"/>
    <n v="223.56"/>
    <n v="0.409733404902487"/>
    <n v="232.56"/>
  </r>
  <r>
    <x v="905"/>
    <x v="412"/>
    <s v="Marco Santos"/>
    <x v="1"/>
    <s v="Mexico"/>
    <x v="0"/>
    <x v="2"/>
    <x v="14"/>
    <n v="13"/>
    <n v="201.56"/>
    <n v="0"/>
    <n v="2620.2800000000002"/>
    <n v="30.62"/>
    <n v="1017.49"/>
    <x v="1"/>
    <n v="2620.2800000000002"/>
    <n v="0.3883134626833773"/>
    <n v="2650.9"/>
  </r>
  <r>
    <x v="906"/>
    <x v="412"/>
    <s v="David Laurent"/>
    <x v="1"/>
    <s v="United States"/>
    <x v="0"/>
    <x v="3"/>
    <x v="33"/>
    <n v="1"/>
    <n v="48.43"/>
    <n v="20"/>
    <n v="38.74"/>
    <n v="6.96"/>
    <n v="7.57"/>
    <x v="1"/>
    <n v="48.43"/>
    <n v="0.19540526587506454"/>
    <n v="45.7"/>
  </r>
  <r>
    <x v="907"/>
    <x v="412"/>
    <s v="James Brown"/>
    <x v="1"/>
    <s v="Italy"/>
    <x v="1"/>
    <x v="1"/>
    <x v="2"/>
    <n v="3"/>
    <n v="9.99"/>
    <n v="10"/>
    <n v="26.97"/>
    <n v="8.52"/>
    <n v="4.96"/>
    <x v="2"/>
    <n v="29.97"/>
    <n v="0.18390804597701149"/>
    <n v="35.489999999999995"/>
  </r>
  <r>
    <x v="908"/>
    <x v="413"/>
    <s v="Oscar Anderson"/>
    <x v="0"/>
    <s v="India"/>
    <x v="3"/>
    <x v="3"/>
    <x v="33"/>
    <n v="1"/>
    <n v="51.37"/>
    <n v="0"/>
    <n v="51.37"/>
    <n v="11.26"/>
    <n v="14.42"/>
    <x v="2"/>
    <n v="51.37"/>
    <n v="0.28070858477710725"/>
    <n v="62.629999999999995"/>
  </r>
  <r>
    <x v="909"/>
    <x v="413"/>
    <s v="Clara Romano"/>
    <x v="1"/>
    <s v="India"/>
    <x v="3"/>
    <x v="1"/>
    <x v="25"/>
    <n v="2"/>
    <n v="14.19"/>
    <n v="10"/>
    <n v="25.54"/>
    <n v="10.01"/>
    <n v="2.76"/>
    <x v="1"/>
    <n v="28.38"/>
    <n v="0.10806577916992952"/>
    <n v="35.549999999999997"/>
  </r>
  <r>
    <x v="910"/>
    <x v="413"/>
    <s v="Amina Russo"/>
    <x v="0"/>
    <s v="India"/>
    <x v="3"/>
    <x v="3"/>
    <x v="13"/>
    <n v="4"/>
    <n v="59.09"/>
    <n v="5"/>
    <n v="224.54"/>
    <n v="11.63"/>
    <n v="94.73"/>
    <x v="0"/>
    <n v="236.36"/>
    <n v="0.42188474213948518"/>
    <n v="236.17"/>
  </r>
  <r>
    <x v="911"/>
    <x v="414"/>
    <s v="Michael Ferrari"/>
    <x v="1"/>
    <s v="China"/>
    <x v="3"/>
    <x v="2"/>
    <x v="39"/>
    <n v="1"/>
    <n v="114"/>
    <n v="0"/>
    <n v="114"/>
    <n v="9.5299999999999994"/>
    <n v="36.07"/>
    <x v="3"/>
    <n v="114"/>
    <n v="0.31640350877192985"/>
    <n v="123.53"/>
  </r>
  <r>
    <x v="912"/>
    <x v="414"/>
    <s v="Jamal Williams"/>
    <x v="0"/>
    <s v="Italy"/>
    <x v="1"/>
    <x v="0"/>
    <x v="29"/>
    <n v="1"/>
    <n v="38.44"/>
    <n v="0"/>
    <n v="38.44"/>
    <n v="8.19"/>
    <n v="9.11"/>
    <x v="2"/>
    <n v="38.44"/>
    <n v="0.23699271592091573"/>
    <n v="46.629999999999995"/>
  </r>
  <r>
    <x v="913"/>
    <x v="414"/>
    <s v="James White"/>
    <x v="0"/>
    <s v="UAE"/>
    <x v="2"/>
    <x v="0"/>
    <x v="0"/>
    <n v="8"/>
    <n v="171.31"/>
    <n v="10"/>
    <n v="1233.43"/>
    <n v="22.94"/>
    <n v="456.73"/>
    <x v="0"/>
    <n v="1370.48"/>
    <n v="0.37029259868821091"/>
    <n v="1256.3700000000001"/>
  </r>
  <r>
    <x v="914"/>
    <x v="415"/>
    <s v="William Ferrari"/>
    <x v="1"/>
    <s v="France"/>
    <x v="1"/>
    <x v="0"/>
    <x v="1"/>
    <n v="6"/>
    <n v="175.05"/>
    <n v="10"/>
    <n v="945.27"/>
    <n v="21.41"/>
    <n v="346.19"/>
    <x v="0"/>
    <n v="1050.3000000000002"/>
    <n v="0.36623398605689378"/>
    <n v="966.68"/>
  </r>
  <r>
    <x v="915"/>
    <x v="415"/>
    <s v="Olivia Davis"/>
    <x v="2"/>
    <s v="Colombia"/>
    <x v="4"/>
    <x v="1"/>
    <x v="2"/>
    <n v="5"/>
    <n v="11.19"/>
    <n v="15"/>
    <n v="47.56"/>
    <n v="22.11"/>
    <n v="0.27"/>
    <x v="2"/>
    <n v="55.949999999999996"/>
    <n v="5.6770395290159795E-3"/>
    <n v="69.67"/>
  </r>
  <r>
    <x v="916"/>
    <x v="415"/>
    <s v="Richard Johnson"/>
    <x v="1"/>
    <s v="South Africa"/>
    <x v="2"/>
    <x v="0"/>
    <x v="35"/>
    <n v="2"/>
    <n v="31.92"/>
    <n v="0"/>
    <n v="63.84"/>
    <n v="13.33"/>
    <n v="15.4"/>
    <x v="3"/>
    <n v="63.84"/>
    <n v="0.2412280701754386"/>
    <n v="77.17"/>
  </r>
  <r>
    <x v="917"/>
    <x v="415"/>
    <s v="Lucas Williams"/>
    <x v="0"/>
    <s v="France"/>
    <x v="1"/>
    <x v="2"/>
    <x v="32"/>
    <n v="3"/>
    <n v="35.49"/>
    <n v="0"/>
    <n v="106.47"/>
    <n v="13.63"/>
    <n v="28.96"/>
    <x v="3"/>
    <n v="106.47"/>
    <n v="0.27200150277073354"/>
    <n v="120.1"/>
  </r>
  <r>
    <x v="918"/>
    <x v="415"/>
    <s v="Emma Nilsson"/>
    <x v="0"/>
    <s v="China"/>
    <x v="3"/>
    <x v="0"/>
    <x v="31"/>
    <n v="2"/>
    <n v="71.92"/>
    <n v="5"/>
    <n v="136.65"/>
    <n v="13.71"/>
    <n v="43.83"/>
    <x v="2"/>
    <n v="143.84"/>
    <n v="0.32074643249176726"/>
    <n v="150.36000000000001"/>
  </r>
  <r>
    <x v="919"/>
    <x v="415"/>
    <s v="Barbara Ali"/>
    <x v="2"/>
    <s v="Japan"/>
    <x v="3"/>
    <x v="1"/>
    <x v="12"/>
    <n v="9"/>
    <n v="20.69"/>
    <n v="0"/>
    <n v="186.21"/>
    <n v="22.07"/>
    <n v="80.349999999999994"/>
    <x v="1"/>
    <n v="186.21"/>
    <n v="0.43150206755813325"/>
    <n v="208.28"/>
  </r>
  <r>
    <x v="920"/>
    <x v="415"/>
    <s v="Omar Nilsson"/>
    <x v="1"/>
    <s v="Spain"/>
    <x v="1"/>
    <x v="0"/>
    <x v="22"/>
    <n v="15"/>
    <n v="142.85"/>
    <n v="10"/>
    <n v="1928.48"/>
    <n v="22.72"/>
    <n v="727.25"/>
    <x v="0"/>
    <n v="2142.75"/>
    <n v="0.3771104704223015"/>
    <n v="1951.2"/>
  </r>
  <r>
    <x v="921"/>
    <x v="416"/>
    <s v="Yuki Johnson"/>
    <x v="0"/>
    <s v="Germany"/>
    <x v="1"/>
    <x v="3"/>
    <x v="9"/>
    <n v="3"/>
    <n v="50.33"/>
    <n v="10"/>
    <n v="135.88999999999999"/>
    <n v="11.44"/>
    <n v="48.95"/>
    <x v="2"/>
    <n v="150.99"/>
    <n v="0.36021782323938484"/>
    <n v="147.32999999999998"/>
  </r>
  <r>
    <x v="922"/>
    <x v="416"/>
    <s v="Giulia Miller"/>
    <x v="1"/>
    <s v="Mexico"/>
    <x v="0"/>
    <x v="1"/>
    <x v="6"/>
    <n v="1"/>
    <n v="23.24"/>
    <n v="10"/>
    <n v="20.92"/>
    <n v="7.37"/>
    <n v="3.09"/>
    <x v="2"/>
    <n v="23.24"/>
    <n v="0.14770554493307839"/>
    <n v="28.290000000000003"/>
  </r>
  <r>
    <x v="923"/>
    <x v="416"/>
    <s v="Fatima Smith"/>
    <x v="1"/>
    <s v="Argentina"/>
    <x v="4"/>
    <x v="3"/>
    <x v="37"/>
    <n v="6"/>
    <n v="79.95"/>
    <n v="0"/>
    <n v="479.7"/>
    <n v="23.09"/>
    <n v="216.76"/>
    <x v="1"/>
    <n v="479.70000000000005"/>
    <n v="0.45186574942672503"/>
    <n v="502.78999999999996"/>
  </r>
  <r>
    <x v="924"/>
    <x v="417"/>
    <s v="Hanna Kim"/>
    <x v="1"/>
    <s v="Saudi Arabia"/>
    <x v="2"/>
    <x v="1"/>
    <x v="20"/>
    <n v="1"/>
    <n v="14.73"/>
    <n v="0"/>
    <n v="14.73"/>
    <n v="12.36"/>
    <n v="-4.26"/>
    <x v="1"/>
    <n v="14.73"/>
    <n v="-0.28920570264765783"/>
    <n v="27.09"/>
  </r>
  <r>
    <x v="925"/>
    <x v="417"/>
    <s v="Emma Weber"/>
    <x v="0"/>
    <s v="Colombia"/>
    <x v="4"/>
    <x v="1"/>
    <x v="17"/>
    <n v="4"/>
    <n v="15.35"/>
    <n v="10"/>
    <n v="55.26"/>
    <n v="13.12"/>
    <n v="14.51"/>
    <x v="0"/>
    <n v="61.4"/>
    <n v="0.26257690915671372"/>
    <n v="68.38"/>
  </r>
  <r>
    <x v="926"/>
    <x v="418"/>
    <s v="Susan Kumar"/>
    <x v="1"/>
    <s v="Canada"/>
    <x v="0"/>
    <x v="0"/>
    <x v="0"/>
    <n v="1"/>
    <n v="171.98"/>
    <n v="10"/>
    <n v="154.78"/>
    <n v="7.29"/>
    <n v="52.9"/>
    <x v="1"/>
    <n v="171.98"/>
    <n v="0.34177542318128956"/>
    <n v="162.07"/>
  </r>
  <r>
    <x v="927"/>
    <x v="419"/>
    <s v="Diego Schmidt"/>
    <x v="1"/>
    <s v="South Africa"/>
    <x v="2"/>
    <x v="2"/>
    <x v="32"/>
    <n v="1"/>
    <n v="67.180000000000007"/>
    <n v="0"/>
    <n v="67.180000000000007"/>
    <n v="12.09"/>
    <n v="14.78"/>
    <x v="2"/>
    <n v="67.180000000000007"/>
    <n v="0.22000595415302171"/>
    <n v="79.27000000000001"/>
  </r>
  <r>
    <x v="928"/>
    <x v="419"/>
    <s v="Sophie Weber"/>
    <x v="1"/>
    <s v="United States"/>
    <x v="0"/>
    <x v="0"/>
    <x v="35"/>
    <n v="5"/>
    <n v="27.93"/>
    <n v="15"/>
    <n v="118.7"/>
    <n v="14.98"/>
    <n v="26.91"/>
    <x v="2"/>
    <n v="139.65"/>
    <n v="0.22670598146588036"/>
    <n v="133.68"/>
  </r>
  <r>
    <x v="929"/>
    <x v="420"/>
    <s v="Joseph Martinez"/>
    <x v="1"/>
    <s v="Australia"/>
    <x v="3"/>
    <x v="1"/>
    <x v="17"/>
    <n v="2"/>
    <n v="8.6199999999999992"/>
    <n v="15"/>
    <n v="14.65"/>
    <n v="10.07"/>
    <n v="-3.18"/>
    <x v="1"/>
    <n v="17.239999999999998"/>
    <n v="-0.21706484641638227"/>
    <n v="24.72"/>
  </r>
  <r>
    <x v="930"/>
    <x v="421"/>
    <s v="Li Khan"/>
    <x v="2"/>
    <s v="Germany"/>
    <x v="1"/>
    <x v="2"/>
    <x v="21"/>
    <n v="7"/>
    <n v="77.63"/>
    <n v="15"/>
    <n v="461.9"/>
    <n v="11.64"/>
    <n v="124.21"/>
    <x v="1"/>
    <n v="543.41"/>
    <n v="0.26891101970123404"/>
    <n v="473.53999999999996"/>
  </r>
  <r>
    <x v="931"/>
    <x v="422"/>
    <s v="Nadia Pereira"/>
    <x v="1"/>
    <s v="India"/>
    <x v="3"/>
    <x v="1"/>
    <x v="17"/>
    <n v="2"/>
    <n v="18.62"/>
    <n v="10"/>
    <n v="33.520000000000003"/>
    <n v="12.51"/>
    <n v="4.25"/>
    <x v="3"/>
    <n v="37.24"/>
    <n v="0.12678997613365153"/>
    <n v="46.03"/>
  </r>
  <r>
    <x v="932"/>
    <x v="422"/>
    <s v="Wei Taylor"/>
    <x v="2"/>
    <s v="Japan"/>
    <x v="3"/>
    <x v="2"/>
    <x v="4"/>
    <n v="2"/>
    <n v="205.48"/>
    <n v="5"/>
    <n v="390.41"/>
    <n v="12.79"/>
    <n v="131.04"/>
    <x v="1"/>
    <n v="410.96"/>
    <n v="0.33564714018595831"/>
    <n v="403.20000000000005"/>
  </r>
  <r>
    <x v="933"/>
    <x v="423"/>
    <s v="Michael Yamamoto"/>
    <x v="1"/>
    <s v="United States"/>
    <x v="0"/>
    <x v="2"/>
    <x v="4"/>
    <n v="2"/>
    <n v="212.46"/>
    <n v="5"/>
    <n v="403.67"/>
    <n v="8.24"/>
    <n v="140.47999999999999"/>
    <x v="0"/>
    <n v="424.92"/>
    <n v="0.34800703544974854"/>
    <n v="411.91"/>
  </r>
  <r>
    <x v="934"/>
    <x v="423"/>
    <s v="Joseph Johansson"/>
    <x v="1"/>
    <s v="Mexico"/>
    <x v="0"/>
    <x v="2"/>
    <x v="36"/>
    <n v="2"/>
    <n v="232.65"/>
    <n v="0"/>
    <n v="465.3"/>
    <n v="6.74"/>
    <n v="179.38"/>
    <x v="1"/>
    <n v="465.3"/>
    <n v="0.38551472168493445"/>
    <n v="472.04"/>
  </r>
  <r>
    <x v="935"/>
    <x v="424"/>
    <s v="Xiao Kumar"/>
    <x v="2"/>
    <s v="Australia"/>
    <x v="3"/>
    <x v="3"/>
    <x v="26"/>
    <n v="1"/>
    <n v="33.979999999999997"/>
    <n v="5"/>
    <n v="32.28"/>
    <n v="9.6300000000000008"/>
    <n v="5.66"/>
    <x v="0"/>
    <n v="33.979999999999997"/>
    <n v="0.17534076827757125"/>
    <n v="41.910000000000004"/>
  </r>
  <r>
    <x v="936"/>
    <x v="425"/>
    <s v="Wei Costa"/>
    <x v="2"/>
    <s v="Argentina"/>
    <x v="4"/>
    <x v="3"/>
    <x v="37"/>
    <n v="1"/>
    <n v="47.83"/>
    <n v="20"/>
    <n v="38.26"/>
    <n v="10.96"/>
    <n v="3.38"/>
    <x v="1"/>
    <n v="47.83"/>
    <n v="8.8342916884474654E-2"/>
    <n v="49.22"/>
  </r>
  <r>
    <x v="937"/>
    <x v="426"/>
    <s v="Elizabeth Taylor"/>
    <x v="0"/>
    <s v="Italy"/>
    <x v="1"/>
    <x v="1"/>
    <x v="38"/>
    <n v="1"/>
    <n v="10.5"/>
    <n v="0"/>
    <n v="10.5"/>
    <n v="8.64"/>
    <n v="-2.87"/>
    <x v="1"/>
    <n v="10.5"/>
    <n v="-0.27333333333333332"/>
    <n v="19.14"/>
  </r>
  <r>
    <x v="938"/>
    <x v="427"/>
    <s v="Emma Tanaka"/>
    <x v="2"/>
    <s v="Argentina"/>
    <x v="4"/>
    <x v="2"/>
    <x v="32"/>
    <n v="3"/>
    <n v="26.36"/>
    <n v="15"/>
    <n v="67.22"/>
    <n v="14.59"/>
    <n v="5.18"/>
    <x v="2"/>
    <n v="79.08"/>
    <n v="7.7060398690865811E-2"/>
    <n v="81.81"/>
  </r>
  <r>
    <x v="939"/>
    <x v="427"/>
    <s v="Olga Romano"/>
    <x v="1"/>
    <s v="Canada"/>
    <x v="0"/>
    <x v="3"/>
    <x v="27"/>
    <n v="3"/>
    <n v="63.86"/>
    <n v="5"/>
    <n v="182"/>
    <n v="10.77"/>
    <n v="75.44"/>
    <x v="2"/>
    <n v="191.57999999999998"/>
    <n v="0.41450549450549451"/>
    <n v="192.77"/>
  </r>
  <r>
    <x v="940"/>
    <x v="427"/>
    <s v="Amir Hassan"/>
    <x v="1"/>
    <s v="United States"/>
    <x v="0"/>
    <x v="3"/>
    <x v="24"/>
    <n v="3"/>
    <n v="29.47"/>
    <n v="10"/>
    <n v="79.569999999999993"/>
    <n v="12.1"/>
    <n v="23.26"/>
    <x v="1"/>
    <n v="88.41"/>
    <n v="0.29232122659293708"/>
    <n v="91.669999999999987"/>
  </r>
  <r>
    <x v="941"/>
    <x v="428"/>
    <s v="Olga Robinson"/>
    <x v="1"/>
    <s v="United States"/>
    <x v="0"/>
    <x v="3"/>
    <x v="27"/>
    <n v="1"/>
    <n v="26.54"/>
    <n v="5"/>
    <n v="25.21"/>
    <n v="6.91"/>
    <n v="5.03"/>
    <x v="0"/>
    <n v="26.54"/>
    <n v="0.19952399841332805"/>
    <n v="32.120000000000005"/>
  </r>
  <r>
    <x v="942"/>
    <x v="429"/>
    <s v="Joseph Russo"/>
    <x v="1"/>
    <s v="Australia"/>
    <x v="3"/>
    <x v="3"/>
    <x v="16"/>
    <n v="5"/>
    <n v="49.62"/>
    <n v="10"/>
    <n v="223.29"/>
    <n v="20.46"/>
    <n v="78.78"/>
    <x v="0"/>
    <n v="248.1"/>
    <n v="0.35281472524519686"/>
    <n v="243.75"/>
  </r>
  <r>
    <x v="943"/>
    <x v="429"/>
    <s v="Karen Smith"/>
    <x v="1"/>
    <s v="Colombia"/>
    <x v="4"/>
    <x v="0"/>
    <x v="29"/>
    <n v="3"/>
    <n v="44.11"/>
    <n v="0"/>
    <n v="132.33000000000001"/>
    <n v="13.19"/>
    <n v="46.36"/>
    <x v="1"/>
    <n v="132.32999999999998"/>
    <n v="0.35033628051084409"/>
    <n v="145.52000000000001"/>
  </r>
  <r>
    <x v="944"/>
    <x v="429"/>
    <s v="Chen Tanaka"/>
    <x v="0"/>
    <s v="China"/>
    <x v="3"/>
    <x v="0"/>
    <x v="35"/>
    <n v="4"/>
    <n v="65.92"/>
    <n v="15"/>
    <n v="224.13"/>
    <n v="12.79"/>
    <n v="66.319999999999993"/>
    <x v="2"/>
    <n v="263.68"/>
    <n v="0.29589970106634539"/>
    <n v="236.92"/>
  </r>
  <r>
    <x v="945"/>
    <x v="430"/>
    <s v="Sarah Jackson"/>
    <x v="0"/>
    <s v="South Africa"/>
    <x v="2"/>
    <x v="0"/>
    <x v="31"/>
    <n v="2"/>
    <n v="187.45"/>
    <n v="15"/>
    <n v="318.66000000000003"/>
    <n v="15.26"/>
    <n v="97.21"/>
    <x v="0"/>
    <n v="374.9"/>
    <n v="0.3050586832360509"/>
    <n v="333.92"/>
  </r>
  <r>
    <x v="946"/>
    <x v="431"/>
    <s v="Olivia Pereira"/>
    <x v="2"/>
    <s v="United States"/>
    <x v="0"/>
    <x v="3"/>
    <x v="27"/>
    <n v="1"/>
    <n v="41.69"/>
    <n v="5"/>
    <n v="39.61"/>
    <n v="5.53"/>
    <n v="13.23"/>
    <x v="2"/>
    <n v="41.69"/>
    <n v="0.33400656399899015"/>
    <n v="45.14"/>
  </r>
  <r>
    <x v="947"/>
    <x v="431"/>
    <s v="Yuki Thompson"/>
    <x v="2"/>
    <s v="Canada"/>
    <x v="0"/>
    <x v="1"/>
    <x v="10"/>
    <n v="2"/>
    <n v="3.65"/>
    <n v="5"/>
    <n v="6.93"/>
    <n v="9.09"/>
    <n v="-5.45"/>
    <x v="2"/>
    <n v="7.3"/>
    <n v="-0.78643578643578649"/>
    <n v="16.02"/>
  </r>
  <r>
    <x v="948"/>
    <x v="431"/>
    <s v="Ahmed Singh"/>
    <x v="0"/>
    <s v="Mexico"/>
    <x v="0"/>
    <x v="0"/>
    <x v="31"/>
    <n v="5"/>
    <n v="190.99"/>
    <n v="5"/>
    <n v="907.2"/>
    <n v="14.34"/>
    <n v="367.64"/>
    <x v="3"/>
    <n v="954.95"/>
    <n v="0.40524691358024689"/>
    <n v="921.54000000000008"/>
  </r>
  <r>
    <x v="949"/>
    <x v="432"/>
    <s v="Liam Kim"/>
    <x v="1"/>
    <s v="Italy"/>
    <x v="1"/>
    <x v="2"/>
    <x v="21"/>
    <n v="2"/>
    <n v="50.55"/>
    <n v="0"/>
    <n v="101.1"/>
    <n v="11.26"/>
    <n v="29.18"/>
    <x v="2"/>
    <n v="101.1"/>
    <n v="0.28862512363996046"/>
    <n v="112.36"/>
  </r>
  <r>
    <x v="950"/>
    <x v="433"/>
    <s v="Linda Suzuki"/>
    <x v="0"/>
    <s v="Canada"/>
    <x v="0"/>
    <x v="3"/>
    <x v="37"/>
    <n v="5"/>
    <n v="61.44"/>
    <n v="5"/>
    <n v="291.83999999999997"/>
    <n v="10.220000000000001"/>
    <n v="128.02000000000001"/>
    <x v="1"/>
    <n v="307.2"/>
    <n v="0.43866502192982465"/>
    <n v="302.06"/>
  </r>
  <r>
    <x v="951"/>
    <x v="433"/>
    <s v="Pierre Jackson"/>
    <x v="0"/>
    <s v="Argentina"/>
    <x v="4"/>
    <x v="2"/>
    <x v="5"/>
    <n v="6"/>
    <n v="84.46"/>
    <n v="10"/>
    <n v="456.08"/>
    <n v="22.68"/>
    <n v="129.34"/>
    <x v="1"/>
    <n v="506.76"/>
    <n v="0.28359059814067711"/>
    <n v="478.76"/>
  </r>
  <r>
    <x v="952"/>
    <x v="433"/>
    <s v="Barbara Dubois"/>
    <x v="0"/>
    <s v="Canada"/>
    <x v="0"/>
    <x v="0"/>
    <x v="7"/>
    <n v="4"/>
    <n v="53.44"/>
    <n v="10"/>
    <n v="192.38"/>
    <n v="10.74"/>
    <n v="64.069999999999993"/>
    <x v="1"/>
    <n v="213.76"/>
    <n v="0.33303877741969018"/>
    <n v="203.12"/>
  </r>
  <r>
    <x v="953"/>
    <x v="434"/>
    <s v="Xiao Johnson"/>
    <x v="1"/>
    <s v="Mexico"/>
    <x v="0"/>
    <x v="3"/>
    <x v="37"/>
    <n v="2"/>
    <n v="39.409999999999997"/>
    <n v="5"/>
    <n v="74.88"/>
    <n v="8.06"/>
    <n v="27.41"/>
    <x v="2"/>
    <n v="78.819999999999993"/>
    <n v="0.36605235042735046"/>
    <n v="82.94"/>
  </r>
  <r>
    <x v="954"/>
    <x v="434"/>
    <s v="Carlos Thompson"/>
    <x v="1"/>
    <s v="Argentina"/>
    <x v="4"/>
    <x v="0"/>
    <x v="0"/>
    <n v="1"/>
    <n v="214.3"/>
    <n v="5"/>
    <n v="203.59"/>
    <n v="11.22"/>
    <n v="74.5"/>
    <x v="1"/>
    <n v="214.3"/>
    <n v="0.36593152905348986"/>
    <n v="214.81"/>
  </r>
  <r>
    <x v="955"/>
    <x v="435"/>
    <s v="Olga Suzuki"/>
    <x v="1"/>
    <s v="Canada"/>
    <x v="0"/>
    <x v="0"/>
    <x v="22"/>
    <n v="6"/>
    <n v="88.33"/>
    <n v="5"/>
    <n v="503.48"/>
    <n v="13.32"/>
    <n v="198.67"/>
    <x v="2"/>
    <n v="529.98"/>
    <n v="0.39459362834670686"/>
    <n v="516.80000000000007"/>
  </r>
  <r>
    <x v="956"/>
    <x v="435"/>
    <s v="Ali Sato"/>
    <x v="0"/>
    <s v="Canada"/>
    <x v="0"/>
    <x v="3"/>
    <x v="24"/>
    <n v="2"/>
    <n v="73.45"/>
    <n v="5"/>
    <n v="139.56"/>
    <n v="6.29"/>
    <n v="59.82"/>
    <x v="0"/>
    <n v="146.9"/>
    <n v="0.42863284608770419"/>
    <n v="145.85"/>
  </r>
  <r>
    <x v="957"/>
    <x v="436"/>
    <s v="Ethan Johnson"/>
    <x v="2"/>
    <s v="India"/>
    <x v="3"/>
    <x v="3"/>
    <x v="11"/>
    <n v="1"/>
    <n v="47.32"/>
    <n v="10"/>
    <n v="42.59"/>
    <n v="10.74"/>
    <n v="8.19"/>
    <x v="0"/>
    <n v="47.32"/>
    <n v="0.1922986616576661"/>
    <n v="53.330000000000005"/>
  </r>
  <r>
    <x v="958"/>
    <x v="436"/>
    <s v="Ava Patel"/>
    <x v="2"/>
    <s v="Nigeria"/>
    <x v="2"/>
    <x v="3"/>
    <x v="27"/>
    <n v="2"/>
    <n v="34.14"/>
    <n v="5"/>
    <n v="64.87"/>
    <n v="13.94"/>
    <n v="16.79"/>
    <x v="2"/>
    <n v="68.28"/>
    <n v="0.25882534299367965"/>
    <n v="78.81"/>
  </r>
  <r>
    <x v="959"/>
    <x v="437"/>
    <s v="Sakura MÃ¼ller"/>
    <x v="0"/>
    <s v="Spain"/>
    <x v="1"/>
    <x v="2"/>
    <x v="5"/>
    <n v="1"/>
    <n v="141.5"/>
    <n v="0"/>
    <n v="141.5"/>
    <n v="7.9"/>
    <n v="48.7"/>
    <x v="1"/>
    <n v="141.5"/>
    <n v="0.34416961130742052"/>
    <n v="149.4"/>
  </r>
  <r>
    <x v="960"/>
    <x v="438"/>
    <s v="Nadia Zhang"/>
    <x v="1"/>
    <s v="India"/>
    <x v="3"/>
    <x v="2"/>
    <x v="34"/>
    <n v="9"/>
    <n v="55.5"/>
    <n v="5"/>
    <n v="474.52"/>
    <n v="19.93"/>
    <n v="154.88999999999999"/>
    <x v="0"/>
    <n v="499.5"/>
    <n v="0.32641406052431932"/>
    <n v="494.45"/>
  </r>
  <r>
    <x v="961"/>
    <x v="438"/>
    <s v="Nadia Anderson"/>
    <x v="1"/>
    <s v="Spain"/>
    <x v="1"/>
    <x v="1"/>
    <x v="38"/>
    <n v="3"/>
    <n v="8.11"/>
    <n v="15"/>
    <n v="20.68"/>
    <n v="14.26"/>
    <n v="-4.53"/>
    <x v="2"/>
    <n v="24.33"/>
    <n v="-0.21905222437137331"/>
    <n v="34.94"/>
  </r>
  <r>
    <x v="962"/>
    <x v="439"/>
    <s v="Marco Sharma"/>
    <x v="1"/>
    <s v="Argentina"/>
    <x v="4"/>
    <x v="2"/>
    <x v="4"/>
    <n v="7"/>
    <n v="303.29000000000002"/>
    <n v="15"/>
    <n v="1804.58"/>
    <n v="18.54"/>
    <n v="512.22"/>
    <x v="2"/>
    <n v="2123.0300000000002"/>
    <n v="0.28384444025756689"/>
    <n v="1823.12"/>
  </r>
  <r>
    <x v="963"/>
    <x v="439"/>
    <s v="Oscar Miller"/>
    <x v="0"/>
    <s v="Saudi Arabia"/>
    <x v="2"/>
    <x v="0"/>
    <x v="3"/>
    <n v="1"/>
    <n v="68.39"/>
    <n v="20"/>
    <n v="54.71"/>
    <n v="12.38"/>
    <n v="4.72"/>
    <x v="3"/>
    <n v="68.39"/>
    <n v="8.6273076220069453E-2"/>
    <n v="67.09"/>
  </r>
  <r>
    <x v="964"/>
    <x v="439"/>
    <s v="Omar Russo"/>
    <x v="1"/>
    <s v="China"/>
    <x v="3"/>
    <x v="1"/>
    <x v="2"/>
    <n v="2"/>
    <n v="9.7200000000000006"/>
    <n v="10"/>
    <n v="17.5"/>
    <n v="12.92"/>
    <n v="-4.17"/>
    <x v="2"/>
    <n v="19.440000000000001"/>
    <n v="-0.2382857142857143"/>
    <n v="30.42"/>
  </r>
  <r>
    <x v="965"/>
    <x v="440"/>
    <s v="Carlos Schmidt"/>
    <x v="2"/>
    <s v="France"/>
    <x v="1"/>
    <x v="1"/>
    <x v="19"/>
    <n v="2"/>
    <n v="14.53"/>
    <n v="5"/>
    <n v="27.61"/>
    <n v="11.77"/>
    <n v="2.76"/>
    <x v="0"/>
    <n v="29.06"/>
    <n v="9.9963781238681632E-2"/>
    <n v="39.379999999999995"/>
  </r>
  <r>
    <x v="966"/>
    <x v="441"/>
    <s v="Thomas Rodriguez"/>
    <x v="0"/>
    <s v="Brazil"/>
    <x v="4"/>
    <x v="2"/>
    <x v="8"/>
    <n v="1"/>
    <n v="78.08"/>
    <n v="10"/>
    <n v="70.27"/>
    <n v="11.96"/>
    <n v="11.46"/>
    <x v="1"/>
    <n v="78.08"/>
    <n v="0.16308524263554863"/>
    <n v="82.22999999999999"/>
  </r>
  <r>
    <x v="967"/>
    <x v="441"/>
    <s v="Nadia Davis"/>
    <x v="2"/>
    <s v="Mexico"/>
    <x v="0"/>
    <x v="1"/>
    <x v="23"/>
    <n v="5"/>
    <n v="9.5399999999999991"/>
    <n v="0"/>
    <n v="47.7"/>
    <n v="11.65"/>
    <n v="14.59"/>
    <x v="1"/>
    <n v="47.699999999999996"/>
    <n v="0.30587002096436056"/>
    <n v="59.35"/>
  </r>
  <r>
    <x v="968"/>
    <x v="442"/>
    <s v="Maria Hassan"/>
    <x v="1"/>
    <s v="France"/>
    <x v="1"/>
    <x v="2"/>
    <x v="36"/>
    <n v="3"/>
    <n v="122.5"/>
    <n v="0"/>
    <n v="367.5"/>
    <n v="9.35"/>
    <n v="137.65"/>
    <x v="1"/>
    <n v="367.5"/>
    <n v="0.37455782312925173"/>
    <n v="376.85"/>
  </r>
  <r>
    <x v="969"/>
    <x v="442"/>
    <s v="Sophie Li"/>
    <x v="1"/>
    <s v="Japan"/>
    <x v="3"/>
    <x v="2"/>
    <x v="32"/>
    <n v="2"/>
    <n v="33.340000000000003"/>
    <n v="0"/>
    <n v="66.680000000000007"/>
    <n v="11.35"/>
    <n v="15.32"/>
    <x v="1"/>
    <n v="66.680000000000007"/>
    <n v="0.22975404919016196"/>
    <n v="78.03"/>
  </r>
  <r>
    <x v="970"/>
    <x v="443"/>
    <s v="Hans Schmidt"/>
    <x v="1"/>
    <s v="Mexico"/>
    <x v="0"/>
    <x v="1"/>
    <x v="2"/>
    <n v="8"/>
    <n v="14.05"/>
    <n v="0"/>
    <n v="112.4"/>
    <n v="18.760000000000002"/>
    <n v="43.06"/>
    <x v="2"/>
    <n v="112.4"/>
    <n v="0.38309608540925266"/>
    <n v="131.16"/>
  </r>
  <r>
    <x v="971"/>
    <x v="444"/>
    <s v="Maria Weber"/>
    <x v="0"/>
    <s v="Spain"/>
    <x v="1"/>
    <x v="3"/>
    <x v="37"/>
    <n v="3"/>
    <n v="22.89"/>
    <n v="20"/>
    <n v="54.94"/>
    <n v="11.77"/>
    <n v="8.83"/>
    <x v="1"/>
    <n v="68.67"/>
    <n v="0.16072078631234074"/>
    <n v="66.709999999999994"/>
  </r>
  <r>
    <x v="972"/>
    <x v="444"/>
    <s v="Priya Robinson"/>
    <x v="1"/>
    <s v="Mexico"/>
    <x v="0"/>
    <x v="3"/>
    <x v="16"/>
    <n v="1"/>
    <n v="52.83"/>
    <n v="10"/>
    <n v="47.55"/>
    <n v="6.13"/>
    <n v="15"/>
    <x v="1"/>
    <n v="52.83"/>
    <n v="0.31545741324921139"/>
    <n v="53.68"/>
  </r>
  <r>
    <x v="973"/>
    <x v="445"/>
    <s v="Fatima Robinson"/>
    <x v="0"/>
    <s v="France"/>
    <x v="1"/>
    <x v="0"/>
    <x v="35"/>
    <n v="2"/>
    <n v="28.41"/>
    <n v="10"/>
    <n v="51.14"/>
    <n v="9.34"/>
    <n v="10.55"/>
    <x v="1"/>
    <n v="56.82"/>
    <n v="0.20629644114196324"/>
    <n v="60.480000000000004"/>
  </r>
  <r>
    <x v="974"/>
    <x v="445"/>
    <s v="Joseph Singh"/>
    <x v="1"/>
    <s v="Italy"/>
    <x v="1"/>
    <x v="3"/>
    <x v="30"/>
    <n v="1"/>
    <n v="23.88"/>
    <n v="5"/>
    <n v="22.69"/>
    <n v="9.01"/>
    <n v="1.74"/>
    <x v="1"/>
    <n v="23.88"/>
    <n v="7.6685764654032609E-2"/>
    <n v="31.700000000000003"/>
  </r>
  <r>
    <x v="975"/>
    <x v="446"/>
    <s v="Maria Rossi"/>
    <x v="1"/>
    <s v="Australia"/>
    <x v="3"/>
    <x v="3"/>
    <x v="30"/>
    <n v="6"/>
    <n v="25.8"/>
    <n v="20"/>
    <n v="123.84"/>
    <n v="23.22"/>
    <n v="23.22"/>
    <x v="3"/>
    <n v="154.80000000000001"/>
    <n v="0.18749999999999997"/>
    <n v="147.06"/>
  </r>
  <r>
    <x v="976"/>
    <x v="446"/>
    <s v="Omar Williams"/>
    <x v="1"/>
    <s v="Mexico"/>
    <x v="0"/>
    <x v="2"/>
    <x v="4"/>
    <n v="7"/>
    <n v="157.04"/>
    <n v="0"/>
    <n v="1099.28"/>
    <n v="10.119999999999999"/>
    <n v="429.59"/>
    <x v="1"/>
    <n v="1099.28"/>
    <n v="0.39079215486500252"/>
    <n v="1109.3999999999999"/>
  </r>
  <r>
    <x v="977"/>
    <x v="447"/>
    <s v="Raj Weber"/>
    <x v="1"/>
    <s v="Spain"/>
    <x v="1"/>
    <x v="1"/>
    <x v="17"/>
    <n v="2"/>
    <n v="21.15"/>
    <n v="0"/>
    <n v="42.3"/>
    <n v="9.48"/>
    <n v="13.78"/>
    <x v="2"/>
    <n v="42.3"/>
    <n v="0.32576832151300239"/>
    <n v="51.78"/>
  </r>
  <r>
    <x v="978"/>
    <x v="447"/>
    <s v="Omar Rodriguez"/>
    <x v="0"/>
    <s v="Australia"/>
    <x v="3"/>
    <x v="1"/>
    <x v="20"/>
    <n v="2"/>
    <n v="16.71"/>
    <n v="10"/>
    <n v="30.08"/>
    <n v="13.99"/>
    <n v="1.05"/>
    <x v="1"/>
    <n v="33.42"/>
    <n v="3.4906914893617025E-2"/>
    <n v="44.07"/>
  </r>
  <r>
    <x v="979"/>
    <x v="448"/>
    <s v="Ayumi Moreau"/>
    <x v="1"/>
    <s v="Spain"/>
    <x v="1"/>
    <x v="1"/>
    <x v="38"/>
    <n v="4"/>
    <n v="4.42"/>
    <n v="5"/>
    <n v="16.8"/>
    <n v="13.49"/>
    <n v="-4.6500000000000004"/>
    <x v="1"/>
    <n v="17.68"/>
    <n v="-0.2767857142857143"/>
    <n v="30.29"/>
  </r>
  <r>
    <x v="980"/>
    <x v="449"/>
    <s v="Sarah Clark"/>
    <x v="2"/>
    <s v="France"/>
    <x v="1"/>
    <x v="1"/>
    <x v="23"/>
    <n v="1"/>
    <n v="15.39"/>
    <n v="0"/>
    <n v="15.39"/>
    <n v="9.15"/>
    <n v="-0.69"/>
    <x v="3"/>
    <n v="15.39"/>
    <n v="-4.4834307992202727E-2"/>
    <n v="24.54"/>
  </r>
  <r>
    <x v="981"/>
    <x v="449"/>
    <s v="Li Oliveira"/>
    <x v="1"/>
    <s v="United States"/>
    <x v="0"/>
    <x v="1"/>
    <x v="12"/>
    <n v="5"/>
    <n v="8.34"/>
    <n v="15"/>
    <n v="35.450000000000003"/>
    <n v="7.59"/>
    <n v="9.1"/>
    <x v="0"/>
    <n v="41.7"/>
    <n v="0.25669957686882933"/>
    <n v="43.040000000000006"/>
  </r>
  <r>
    <x v="982"/>
    <x v="449"/>
    <s v="Pierre Weber"/>
    <x v="0"/>
    <s v="United Kingdom"/>
    <x v="1"/>
    <x v="0"/>
    <x v="35"/>
    <n v="1"/>
    <n v="47.66"/>
    <n v="0"/>
    <n v="47.66"/>
    <n v="8.77"/>
    <n v="12.68"/>
    <x v="0"/>
    <n v="47.66"/>
    <n v="0.26605119597146454"/>
    <n v="56.429999999999993"/>
  </r>
  <r>
    <x v="983"/>
    <x v="449"/>
    <s v="Felix Ahmed"/>
    <x v="1"/>
    <s v="Germany"/>
    <x v="1"/>
    <x v="0"/>
    <x v="35"/>
    <n v="2"/>
    <n v="52.81"/>
    <n v="0"/>
    <n v="105.62"/>
    <n v="10.99"/>
    <n v="36.54"/>
    <x v="1"/>
    <n v="105.62"/>
    <n v="0.34595720507479644"/>
    <n v="116.61"/>
  </r>
  <r>
    <x v="984"/>
    <x v="449"/>
    <s v="Clara Tanaka"/>
    <x v="0"/>
    <s v="United States"/>
    <x v="0"/>
    <x v="2"/>
    <x v="34"/>
    <n v="1"/>
    <n v="31.63"/>
    <n v="5"/>
    <n v="30.05"/>
    <n v="5.84"/>
    <n v="5.23"/>
    <x v="2"/>
    <n v="31.63"/>
    <n v="0.17404326123128122"/>
    <n v="35.89"/>
  </r>
  <r>
    <x v="985"/>
    <x v="450"/>
    <s v="Mary Clark"/>
    <x v="1"/>
    <s v="Mexico"/>
    <x v="0"/>
    <x v="1"/>
    <x v="20"/>
    <n v="7"/>
    <n v="11.86"/>
    <n v="5"/>
    <n v="78.87"/>
    <n v="17.149999999999999"/>
    <n v="24.36"/>
    <x v="1"/>
    <n v="83.02"/>
    <n v="0.30886268543172307"/>
    <n v="96.02000000000001"/>
  </r>
  <r>
    <x v="986"/>
    <x v="450"/>
    <s v="Li Rossi"/>
    <x v="0"/>
    <s v="Spain"/>
    <x v="1"/>
    <x v="0"/>
    <x v="28"/>
    <n v="1"/>
    <n v="24.66"/>
    <n v="20"/>
    <n v="19.73"/>
    <n v="8.64"/>
    <n v="-2.4700000000000002"/>
    <x v="1"/>
    <n v="24.66"/>
    <n v="-0.12519006588950837"/>
    <n v="28.37"/>
  </r>
  <r>
    <x v="987"/>
    <x v="450"/>
    <s v="Felix Smith"/>
    <x v="1"/>
    <s v="Mexico"/>
    <x v="0"/>
    <x v="1"/>
    <x v="20"/>
    <n v="8"/>
    <n v="19.36"/>
    <n v="10"/>
    <n v="139.38999999999999"/>
    <n v="9.27"/>
    <n v="60.42"/>
    <x v="1"/>
    <n v="154.88"/>
    <n v="0.43346007604562742"/>
    <n v="148.66"/>
  </r>
  <r>
    <x v="988"/>
    <x v="451"/>
    <s v="Christopher Brown"/>
    <x v="0"/>
    <s v="Canada"/>
    <x v="0"/>
    <x v="0"/>
    <x v="35"/>
    <n v="3"/>
    <n v="42.03"/>
    <n v="10"/>
    <n v="113.48"/>
    <n v="6.85"/>
    <n v="37.28"/>
    <x v="0"/>
    <n v="126.09"/>
    <n v="0.32851603806838209"/>
    <n v="120.33"/>
  </r>
  <r>
    <x v="989"/>
    <x v="451"/>
    <s v="Ingrid Davis"/>
    <x v="1"/>
    <s v="Argentina"/>
    <x v="4"/>
    <x v="0"/>
    <x v="29"/>
    <n v="5"/>
    <n v="17.3"/>
    <n v="15"/>
    <n v="73.52"/>
    <n v="16.43"/>
    <n v="9.51"/>
    <x v="0"/>
    <n v="86.5"/>
    <n v="0.12935255712731231"/>
    <n v="89.949999999999989"/>
  </r>
  <r>
    <x v="990"/>
    <x v="452"/>
    <s v="Priya Oliveira"/>
    <x v="1"/>
    <s v="United Kingdom"/>
    <x v="1"/>
    <x v="2"/>
    <x v="15"/>
    <n v="10"/>
    <n v="305.38"/>
    <n v="5"/>
    <n v="2901.11"/>
    <n v="14.57"/>
    <n v="1054.26"/>
    <x v="1"/>
    <n v="3053.8"/>
    <n v="0.36339883699687359"/>
    <n v="2915.6800000000003"/>
  </r>
  <r>
    <x v="991"/>
    <x v="453"/>
    <s v="Hanna White"/>
    <x v="1"/>
    <s v="France"/>
    <x v="1"/>
    <x v="3"/>
    <x v="11"/>
    <n v="3"/>
    <n v="59.82"/>
    <n v="20"/>
    <n v="143.57"/>
    <n v="9.58"/>
    <n v="44.26"/>
    <x v="3"/>
    <n v="179.46"/>
    <n v="0.30828167444452181"/>
    <n v="153.15"/>
  </r>
  <r>
    <x v="992"/>
    <x v="453"/>
    <s v="Michael Schmidt"/>
    <x v="0"/>
    <s v="Canada"/>
    <x v="0"/>
    <x v="1"/>
    <x v="17"/>
    <n v="1"/>
    <n v="19.829999999999998"/>
    <n v="20"/>
    <n v="15.86"/>
    <n v="6.8"/>
    <n v="0.14000000000000001"/>
    <x v="1"/>
    <n v="19.829999999999998"/>
    <n v="8.8272383354350576E-3"/>
    <n v="22.66"/>
  </r>
  <r>
    <x v="993"/>
    <x v="453"/>
    <s v="Ivan Ahmed"/>
    <x v="2"/>
    <s v="United States"/>
    <x v="0"/>
    <x v="3"/>
    <x v="24"/>
    <n v="2"/>
    <n v="86.73"/>
    <n v="10"/>
    <n v="156.11000000000001"/>
    <n v="9.75"/>
    <n v="59.63"/>
    <x v="1"/>
    <n v="173.46"/>
    <n v="0.38197424892703863"/>
    <n v="165.86"/>
  </r>
  <r>
    <x v="994"/>
    <x v="454"/>
    <s v="Sophie Clark"/>
    <x v="1"/>
    <s v="Germany"/>
    <x v="1"/>
    <x v="3"/>
    <x v="9"/>
    <n v="11"/>
    <n v="19"/>
    <n v="5"/>
    <n v="198.55"/>
    <n v="16.190000000000001"/>
    <n v="77.86"/>
    <x v="2"/>
    <n v="209"/>
    <n v="0.39214303701838327"/>
    <n v="214.74"/>
  </r>
  <r>
    <x v="995"/>
    <x v="454"/>
    <s v="Amina Clark"/>
    <x v="2"/>
    <s v="Canada"/>
    <x v="0"/>
    <x v="3"/>
    <x v="24"/>
    <n v="5"/>
    <n v="28.49"/>
    <n v="15"/>
    <n v="121.08"/>
    <n v="15.04"/>
    <n v="34.82"/>
    <x v="2"/>
    <n v="142.44999999999999"/>
    <n v="0.28757846052196895"/>
    <n v="136.12"/>
  </r>
  <r>
    <x v="996"/>
    <x v="455"/>
    <s v="Karen Anderson"/>
    <x v="0"/>
    <s v="United States"/>
    <x v="0"/>
    <x v="2"/>
    <x v="36"/>
    <n v="2"/>
    <n v="191.99"/>
    <n v="5"/>
    <n v="364.78"/>
    <n v="9.02"/>
    <n v="125.37"/>
    <x v="1"/>
    <n v="383.98"/>
    <n v="0.34368660562530845"/>
    <n v="373.79999999999995"/>
  </r>
  <r>
    <x v="997"/>
    <x v="455"/>
    <s v="Hans Fischer"/>
    <x v="1"/>
    <s v="Australia"/>
    <x v="3"/>
    <x v="1"/>
    <x v="23"/>
    <n v="3"/>
    <n v="9.42"/>
    <n v="0"/>
    <n v="28.26"/>
    <n v="15.8"/>
    <n v="-0.26"/>
    <x v="2"/>
    <n v="28.259999999999998"/>
    <n v="-9.2002830856334032E-3"/>
    <n v="44.06"/>
  </r>
  <r>
    <x v="998"/>
    <x v="455"/>
    <s v="Priya Jones"/>
    <x v="1"/>
    <s v="Australia"/>
    <x v="3"/>
    <x v="0"/>
    <x v="1"/>
    <n v="2"/>
    <n v="70.739999999999995"/>
    <n v="15"/>
    <n v="120.26"/>
    <n v="13.36"/>
    <n v="29.09"/>
    <x v="2"/>
    <n v="141.47999999999999"/>
    <n v="0.24189256610676865"/>
    <n v="133.62"/>
  </r>
  <r>
    <x v="999"/>
    <x v="456"/>
    <s v="Olga Suzuki"/>
    <x v="0"/>
    <s v="United States"/>
    <x v="0"/>
    <x v="0"/>
    <x v="22"/>
    <n v="2"/>
    <n v="131.07"/>
    <n v="10"/>
    <n v="235.93"/>
    <n v="8.58"/>
    <n v="83.17"/>
    <x v="1"/>
    <n v="262.14"/>
    <n v="0.35251981519942355"/>
    <n v="244.51000000000002"/>
  </r>
  <r>
    <x v="1000"/>
    <x v="457"/>
    <s v="Olivia Patel"/>
    <x v="1"/>
    <s v="Australia"/>
    <x v="3"/>
    <x v="0"/>
    <x v="3"/>
    <n v="3"/>
    <n v="50.5"/>
    <n v="10"/>
    <n v="136.35"/>
    <n v="10.6"/>
    <n v="42.42"/>
    <x v="2"/>
    <n v="151.5"/>
    <n v="0.31111111111111112"/>
    <n v="146.94999999999999"/>
  </r>
  <r>
    <x v="1001"/>
    <x v="458"/>
    <s v="John Ferrari"/>
    <x v="1"/>
    <s v="United Kingdom"/>
    <x v="1"/>
    <x v="3"/>
    <x v="11"/>
    <n v="6"/>
    <n v="68.260000000000005"/>
    <n v="5"/>
    <n v="389.08"/>
    <n v="18.45"/>
    <n v="165.85"/>
    <x v="1"/>
    <n v="409.56000000000006"/>
    <n v="0.42626195126966177"/>
    <n v="407.53"/>
  </r>
  <r>
    <x v="1002"/>
    <x v="458"/>
    <s v="Ayumi Harris"/>
    <x v="1"/>
    <s v="United Kingdom"/>
    <x v="1"/>
    <x v="2"/>
    <x v="21"/>
    <n v="1"/>
    <n v="95.79"/>
    <n v="15"/>
    <n v="81.42"/>
    <n v="8.9700000000000006"/>
    <n v="14.98"/>
    <x v="3"/>
    <n v="95.79"/>
    <n v="0.18398427904691722"/>
    <n v="90.39"/>
  </r>
  <r>
    <x v="1003"/>
    <x v="459"/>
    <s v="Pierre Rodriguez"/>
    <x v="2"/>
    <s v="Mexico"/>
    <x v="0"/>
    <x v="0"/>
    <x v="1"/>
    <n v="2"/>
    <n v="150.27000000000001"/>
    <n v="10"/>
    <n v="270.49"/>
    <n v="6.15"/>
    <n v="99.04"/>
    <x v="1"/>
    <n v="300.54000000000002"/>
    <n v="0.36615031979001073"/>
    <n v="276.64"/>
  </r>
  <r>
    <x v="1004"/>
    <x v="459"/>
    <s v="Amina Romano"/>
    <x v="0"/>
    <s v="UAE"/>
    <x v="2"/>
    <x v="3"/>
    <x v="33"/>
    <n v="1"/>
    <n v="25.15"/>
    <n v="20"/>
    <n v="20.12"/>
    <n v="13.22"/>
    <n v="-5.67"/>
    <x v="0"/>
    <n v="25.15"/>
    <n v="-0.28180914512922461"/>
    <n v="33.340000000000003"/>
  </r>
  <r>
    <x v="1005"/>
    <x v="459"/>
    <s v="Mia White"/>
    <x v="0"/>
    <s v="Canada"/>
    <x v="0"/>
    <x v="2"/>
    <x v="5"/>
    <n v="3"/>
    <n v="153.49"/>
    <n v="25"/>
    <n v="345.35"/>
    <n v="8.01"/>
    <n v="61.06"/>
    <x v="1"/>
    <n v="460.47"/>
    <n v="0.17680613869986969"/>
    <n v="353.36"/>
  </r>
  <r>
    <x v="1006"/>
    <x v="460"/>
    <s v="Ali Oliveira"/>
    <x v="1"/>
    <s v="Mexico"/>
    <x v="0"/>
    <x v="0"/>
    <x v="22"/>
    <n v="1"/>
    <n v="115.3"/>
    <n v="10"/>
    <n v="103.77"/>
    <n v="6.68"/>
    <n v="33.67"/>
    <x v="2"/>
    <n v="115.3"/>
    <n v="0.3244675725161415"/>
    <n v="110.44999999999999"/>
  </r>
  <r>
    <x v="1007"/>
    <x v="461"/>
    <s v="David Garcia"/>
    <x v="1"/>
    <s v="France"/>
    <x v="1"/>
    <x v="2"/>
    <x v="15"/>
    <n v="4"/>
    <n v="425.29"/>
    <n v="5"/>
    <n v="1616.1"/>
    <n v="12.36"/>
    <n v="583.04"/>
    <x v="2"/>
    <n v="1701.16"/>
    <n v="0.36076975434688446"/>
    <n v="1628.4599999999998"/>
  </r>
  <r>
    <x v="1008"/>
    <x v="461"/>
    <s v="Li Davis"/>
    <x v="2"/>
    <s v="United States"/>
    <x v="0"/>
    <x v="0"/>
    <x v="18"/>
    <n v="1"/>
    <n v="44.59"/>
    <n v="0"/>
    <n v="44.59"/>
    <n v="7.24"/>
    <n v="12.83"/>
    <x v="0"/>
    <n v="44.59"/>
    <n v="0.28773267548777753"/>
    <n v="51.830000000000005"/>
  </r>
  <r>
    <x v="1009"/>
    <x v="462"/>
    <s v="Mary Rodriguez"/>
    <x v="1"/>
    <s v="United States"/>
    <x v="0"/>
    <x v="3"/>
    <x v="33"/>
    <n v="1"/>
    <n v="23.76"/>
    <n v="10"/>
    <n v="21.38"/>
    <n v="6.5"/>
    <n v="3"/>
    <x v="0"/>
    <n v="23.76"/>
    <n v="0.14031805425631433"/>
    <n v="27.88"/>
  </r>
  <r>
    <x v="1010"/>
    <x v="463"/>
    <s v="Mia Romano"/>
    <x v="0"/>
    <s v="Japan"/>
    <x v="3"/>
    <x v="0"/>
    <x v="0"/>
    <n v="3"/>
    <n v="215.99"/>
    <n v="10"/>
    <n v="583.16999999999996"/>
    <n v="14.33"/>
    <n v="212.46"/>
    <x v="2"/>
    <n v="647.97"/>
    <n v="0.36431915221976441"/>
    <n v="597.5"/>
  </r>
  <r>
    <x v="1011"/>
    <x v="464"/>
    <s v="William Chen"/>
    <x v="0"/>
    <s v="France"/>
    <x v="1"/>
    <x v="1"/>
    <x v="19"/>
    <n v="6"/>
    <n v="13.61"/>
    <n v="5"/>
    <n v="77.58"/>
    <n v="20.53"/>
    <n v="20.3"/>
    <x v="2"/>
    <n v="81.66"/>
    <n v="0.26166537767465842"/>
    <n v="98.11"/>
  </r>
  <r>
    <x v="1012"/>
    <x v="465"/>
    <s v="Clara Leroy"/>
    <x v="1"/>
    <s v="Australia"/>
    <x v="3"/>
    <x v="2"/>
    <x v="34"/>
    <n v="4"/>
    <n v="43.36"/>
    <n v="10"/>
    <n v="156.1"/>
    <n v="16.059999999999999"/>
    <n v="35.979999999999997"/>
    <x v="2"/>
    <n v="173.44"/>
    <n v="0.23049327354260088"/>
    <n v="172.16"/>
  </r>
  <r>
    <x v="1013"/>
    <x v="466"/>
    <s v="Ali Jones"/>
    <x v="1"/>
    <s v="Spain"/>
    <x v="1"/>
    <x v="3"/>
    <x v="11"/>
    <n v="1"/>
    <n v="84.43"/>
    <n v="25"/>
    <n v="63.32"/>
    <n v="8.2899999999999991"/>
    <n v="12.81"/>
    <x v="3"/>
    <n v="84.43"/>
    <n v="0.20230574857864814"/>
    <n v="71.61"/>
  </r>
  <r>
    <x v="1014"/>
    <x v="466"/>
    <s v="Wei Sato"/>
    <x v="1"/>
    <s v="Canada"/>
    <x v="0"/>
    <x v="0"/>
    <x v="0"/>
    <n v="5"/>
    <n v="142.01"/>
    <n v="0"/>
    <n v="710.05"/>
    <n v="12.04"/>
    <n v="307.48"/>
    <x v="1"/>
    <n v="710.05"/>
    <n v="0.43303992676572078"/>
    <n v="722.08999999999992"/>
  </r>
  <r>
    <x v="1015"/>
    <x v="467"/>
    <s v="Priya Weber"/>
    <x v="1"/>
    <s v="South Korea"/>
    <x v="3"/>
    <x v="2"/>
    <x v="8"/>
    <n v="3"/>
    <n v="51.54"/>
    <n v="5"/>
    <n v="146.88999999999999"/>
    <n v="16.14"/>
    <n v="37.979999999999997"/>
    <x v="1"/>
    <n v="154.62"/>
    <n v="0.25856082783034923"/>
    <n v="163.02999999999997"/>
  </r>
  <r>
    <x v="1016"/>
    <x v="467"/>
    <s v="Linda Patel"/>
    <x v="1"/>
    <s v="United Kingdom"/>
    <x v="1"/>
    <x v="0"/>
    <x v="3"/>
    <n v="4"/>
    <n v="83.83"/>
    <n v="0"/>
    <n v="335.32"/>
    <n v="12.06"/>
    <n v="138.83000000000001"/>
    <x v="0"/>
    <n v="335.32"/>
    <n v="0.41402242633901948"/>
    <n v="347.38"/>
  </r>
  <r>
    <x v="1017"/>
    <x v="467"/>
    <s v="Sakura Jones"/>
    <x v="0"/>
    <s v="United States"/>
    <x v="0"/>
    <x v="0"/>
    <x v="29"/>
    <n v="5"/>
    <n v="19.09"/>
    <n v="10"/>
    <n v="85.91"/>
    <n v="15.16"/>
    <n v="18.25"/>
    <x v="1"/>
    <n v="95.45"/>
    <n v="0.21243161448027006"/>
    <n v="101.07"/>
  </r>
  <r>
    <x v="1018"/>
    <x v="467"/>
    <s v="Robert Khan"/>
    <x v="1"/>
    <s v="Canada"/>
    <x v="0"/>
    <x v="0"/>
    <x v="28"/>
    <n v="1"/>
    <n v="42.3"/>
    <n v="20"/>
    <n v="33.840000000000003"/>
    <n v="5.91"/>
    <n v="4.67"/>
    <x v="1"/>
    <n v="42.3"/>
    <n v="0.13800236406619384"/>
    <n v="39.75"/>
  </r>
  <r>
    <x v="1019"/>
    <x v="468"/>
    <s v="Hans White"/>
    <x v="2"/>
    <s v="Brazil"/>
    <x v="4"/>
    <x v="2"/>
    <x v="8"/>
    <n v="1"/>
    <n v="58.82"/>
    <n v="15"/>
    <n v="50"/>
    <n v="11.29"/>
    <n v="3.42"/>
    <x v="0"/>
    <n v="58.82"/>
    <n v="6.8400000000000002E-2"/>
    <n v="61.29"/>
  </r>
  <r>
    <x v="1020"/>
    <x v="468"/>
    <s v="Sarah Chen"/>
    <x v="1"/>
    <s v="Germany"/>
    <x v="1"/>
    <x v="2"/>
    <x v="36"/>
    <n v="11"/>
    <n v="296.08"/>
    <n v="5"/>
    <n v="3094.04"/>
    <n v="23.46"/>
    <n v="1116.45"/>
    <x v="3"/>
    <n v="3256.8799999999997"/>
    <n v="0.36083890318160078"/>
    <n v="3117.5"/>
  </r>
  <r>
    <x v="1021"/>
    <x v="469"/>
    <s v="Christopher Schmidt"/>
    <x v="1"/>
    <s v="Canada"/>
    <x v="0"/>
    <x v="2"/>
    <x v="36"/>
    <n v="1"/>
    <n v="264.5"/>
    <n v="25"/>
    <n v="198.38"/>
    <n v="7.24"/>
    <n v="32.44"/>
    <x v="1"/>
    <n v="264.5"/>
    <n v="0.16352454884564976"/>
    <n v="205.62"/>
  </r>
  <r>
    <x v="1022"/>
    <x v="469"/>
    <s v="William Moreau"/>
    <x v="1"/>
    <s v="United States"/>
    <x v="0"/>
    <x v="2"/>
    <x v="21"/>
    <n v="1"/>
    <n v="43.48"/>
    <n v="0"/>
    <n v="43.48"/>
    <n v="6.89"/>
    <n v="10.5"/>
    <x v="3"/>
    <n v="43.48"/>
    <n v="0.24149034038638456"/>
    <n v="50.37"/>
  </r>
  <r>
    <x v="1023"/>
    <x v="470"/>
    <s v="Felix Romano"/>
    <x v="1"/>
    <s v="France"/>
    <x v="1"/>
    <x v="0"/>
    <x v="7"/>
    <n v="2"/>
    <n v="51.5"/>
    <n v="0"/>
    <n v="103"/>
    <n v="9.3000000000000007"/>
    <n v="37.049999999999997"/>
    <x v="1"/>
    <n v="103"/>
    <n v="0.35970873786407764"/>
    <n v="112.3"/>
  </r>
  <r>
    <x v="1024"/>
    <x v="471"/>
    <s v="Hanna Ali"/>
    <x v="2"/>
    <s v="United Kingdom"/>
    <x v="1"/>
    <x v="1"/>
    <x v="23"/>
    <n v="4"/>
    <n v="14.54"/>
    <n v="15"/>
    <n v="49.44"/>
    <n v="12.57"/>
    <n v="10.7"/>
    <x v="2"/>
    <n v="58.16"/>
    <n v="0.21642394822006472"/>
    <n v="62.01"/>
  </r>
  <r>
    <x v="1025"/>
    <x v="472"/>
    <s v="Susan Schmidt"/>
    <x v="1"/>
    <s v="United Kingdom"/>
    <x v="1"/>
    <x v="2"/>
    <x v="8"/>
    <n v="3"/>
    <n v="75.05"/>
    <n v="0"/>
    <n v="225.15"/>
    <n v="12.4"/>
    <n v="77.66"/>
    <x v="2"/>
    <n v="225.14999999999998"/>
    <n v="0.34492560515212078"/>
    <n v="237.55"/>
  </r>
  <r>
    <x v="1026"/>
    <x v="472"/>
    <s v="Amir Ali"/>
    <x v="1"/>
    <s v="India"/>
    <x v="3"/>
    <x v="3"/>
    <x v="11"/>
    <n v="4"/>
    <n v="39.58"/>
    <n v="5"/>
    <n v="150.4"/>
    <n v="11.02"/>
    <n v="60.22"/>
    <x v="2"/>
    <n v="158.32"/>
    <n v="0.40039893617021272"/>
    <n v="161.42000000000002"/>
  </r>
  <r>
    <x v="1027"/>
    <x v="473"/>
    <s v="Christopher Leroy"/>
    <x v="1"/>
    <s v="United States"/>
    <x v="0"/>
    <x v="0"/>
    <x v="22"/>
    <n v="7"/>
    <n v="102.39"/>
    <n v="5"/>
    <n v="680.89"/>
    <n v="13.51"/>
    <n v="273.18"/>
    <x v="2"/>
    <n v="716.73"/>
    <n v="0.40121018079278592"/>
    <n v="694.4"/>
  </r>
  <r>
    <x v="1028"/>
    <x v="474"/>
    <s v="Hans Hassan"/>
    <x v="0"/>
    <s v="Argentina"/>
    <x v="4"/>
    <x v="3"/>
    <x v="37"/>
    <n v="2"/>
    <n v="54.24"/>
    <n v="15"/>
    <n v="92.21"/>
    <n v="12.61"/>
    <n v="25.36"/>
    <x v="1"/>
    <n v="108.48"/>
    <n v="0.27502440082420565"/>
    <n v="104.82"/>
  </r>
  <r>
    <x v="1029"/>
    <x v="474"/>
    <s v="Layla Zhang"/>
    <x v="0"/>
    <s v="United States"/>
    <x v="0"/>
    <x v="1"/>
    <x v="23"/>
    <n v="2"/>
    <n v="7.92"/>
    <n v="0"/>
    <n v="15.84"/>
    <n v="8.07"/>
    <n v="0.64"/>
    <x v="2"/>
    <n v="15.84"/>
    <n v="4.0404040404040407E-2"/>
    <n v="23.91"/>
  </r>
  <r>
    <x v="1030"/>
    <x v="475"/>
    <s v="Sarah Harris"/>
    <x v="1"/>
    <s v="Mexico"/>
    <x v="0"/>
    <x v="1"/>
    <x v="6"/>
    <n v="4"/>
    <n v="22.41"/>
    <n v="5"/>
    <n v="85.16"/>
    <n v="11.14"/>
    <n v="33.68"/>
    <x v="2"/>
    <n v="89.64"/>
    <n v="0.39549084077031471"/>
    <n v="96.3"/>
  </r>
  <r>
    <x v="1031"/>
    <x v="475"/>
    <s v="Noah Hassan"/>
    <x v="1"/>
    <s v="Japan"/>
    <x v="3"/>
    <x v="1"/>
    <x v="19"/>
    <n v="2"/>
    <n v="7.5"/>
    <n v="10"/>
    <n v="13.5"/>
    <n v="11.22"/>
    <n v="-4.47"/>
    <x v="2"/>
    <n v="15"/>
    <n v="-0.33111111111111108"/>
    <n v="24.72"/>
  </r>
  <r>
    <x v="1032"/>
    <x v="475"/>
    <s v="Priya Schmidt"/>
    <x v="1"/>
    <s v="Australia"/>
    <x v="3"/>
    <x v="0"/>
    <x v="28"/>
    <n v="1"/>
    <n v="34.53"/>
    <n v="0"/>
    <n v="34.53"/>
    <n v="10.15"/>
    <n v="5.39"/>
    <x v="2"/>
    <n v="34.53"/>
    <n v="0.15609614827686069"/>
    <n v="44.68"/>
  </r>
  <r>
    <x v="1033"/>
    <x v="476"/>
    <s v="Amir Smith"/>
    <x v="2"/>
    <s v="Canada"/>
    <x v="0"/>
    <x v="2"/>
    <x v="21"/>
    <n v="3"/>
    <n v="76.33"/>
    <n v="0"/>
    <n v="228.99"/>
    <n v="7.81"/>
    <n v="83.79"/>
    <x v="1"/>
    <n v="228.99"/>
    <n v="0.36591117516048738"/>
    <n v="236.8"/>
  </r>
  <r>
    <x v="1034"/>
    <x v="476"/>
    <s v="Chen Anderson"/>
    <x v="0"/>
    <s v="Mexico"/>
    <x v="0"/>
    <x v="0"/>
    <x v="28"/>
    <n v="4"/>
    <n v="57.77"/>
    <n v="15"/>
    <n v="196.42"/>
    <n v="8.23"/>
    <n v="61.1"/>
    <x v="1"/>
    <n v="231.08"/>
    <n v="0.3110681193361165"/>
    <n v="204.64999999999998"/>
  </r>
  <r>
    <x v="1035"/>
    <x v="477"/>
    <s v="Raj Patel"/>
    <x v="0"/>
    <s v="Canada"/>
    <x v="0"/>
    <x v="1"/>
    <x v="23"/>
    <n v="2"/>
    <n v="10.66"/>
    <n v="5"/>
    <n v="20.25"/>
    <n v="8.06"/>
    <n v="2.6"/>
    <x v="1"/>
    <n v="21.32"/>
    <n v="0.12839506172839507"/>
    <n v="28.310000000000002"/>
  </r>
  <r>
    <x v="1036"/>
    <x v="477"/>
    <s v="Mary Oliveira"/>
    <x v="1"/>
    <s v="South Korea"/>
    <x v="3"/>
    <x v="3"/>
    <x v="11"/>
    <n v="3"/>
    <n v="40.65"/>
    <n v="5"/>
    <n v="115.85"/>
    <n v="13.02"/>
    <n v="41.86"/>
    <x v="2"/>
    <n v="121.94999999999999"/>
    <n v="0.36132930513595168"/>
    <n v="128.87"/>
  </r>
  <r>
    <x v="1037"/>
    <x v="478"/>
    <s v="Christopher Brown"/>
    <x v="0"/>
    <s v="United States"/>
    <x v="0"/>
    <x v="1"/>
    <x v="20"/>
    <n v="4"/>
    <n v="17.75"/>
    <n v="5"/>
    <n v="67.45"/>
    <n v="13.03"/>
    <n v="22.47"/>
    <x v="1"/>
    <n v="71"/>
    <n v="0.33313565604151218"/>
    <n v="80.48"/>
  </r>
  <r>
    <x v="1038"/>
    <x v="478"/>
    <s v="Felix White"/>
    <x v="2"/>
    <s v="Italy"/>
    <x v="1"/>
    <x v="3"/>
    <x v="9"/>
    <n v="7"/>
    <n v="22.85"/>
    <n v="5"/>
    <n v="151.94999999999999"/>
    <n v="10.55"/>
    <n v="61.42"/>
    <x v="3"/>
    <n v="159.95000000000002"/>
    <n v="0.40421191181309646"/>
    <n v="162.5"/>
  </r>
  <r>
    <x v="1039"/>
    <x v="479"/>
    <s v="Hans Johnson"/>
    <x v="1"/>
    <s v="France"/>
    <x v="1"/>
    <x v="0"/>
    <x v="18"/>
    <n v="4"/>
    <n v="59.34"/>
    <n v="20"/>
    <n v="189.89"/>
    <n v="12.93"/>
    <n v="46.41"/>
    <x v="0"/>
    <n v="237.36"/>
    <n v="0.24440465532676814"/>
    <n v="202.82"/>
  </r>
  <r>
    <x v="1040"/>
    <x v="479"/>
    <s v="Ivan Martinez"/>
    <x v="2"/>
    <s v="South Korea"/>
    <x v="3"/>
    <x v="2"/>
    <x v="4"/>
    <n v="3"/>
    <n v="167.77"/>
    <n v="5"/>
    <n v="478.14"/>
    <n v="12.09"/>
    <n v="164.06"/>
    <x v="0"/>
    <n v="503.31000000000006"/>
    <n v="0.34312126155519307"/>
    <n v="490.22999999999996"/>
  </r>
  <r>
    <x v="1041"/>
    <x v="480"/>
    <s v="Nadia Wang"/>
    <x v="1"/>
    <s v="Saudi Arabia"/>
    <x v="2"/>
    <x v="0"/>
    <x v="29"/>
    <n v="3"/>
    <n v="24.66"/>
    <n v="10"/>
    <n v="66.58"/>
    <n v="14.37"/>
    <n v="11.52"/>
    <x v="2"/>
    <n v="73.98"/>
    <n v="0.17302493241213576"/>
    <n v="80.95"/>
  </r>
  <r>
    <x v="1042"/>
    <x v="481"/>
    <s v="Jessica Suzuki"/>
    <x v="0"/>
    <s v="India"/>
    <x v="3"/>
    <x v="0"/>
    <x v="0"/>
    <n v="4"/>
    <n v="147.28"/>
    <n v="10"/>
    <n v="530.21"/>
    <n v="12.2"/>
    <n v="193.99"/>
    <x v="0"/>
    <n v="589.12"/>
    <n v="0.36587389902114253"/>
    <n v="542.41000000000008"/>
  </r>
  <r>
    <x v="1043"/>
    <x v="481"/>
    <s v="Priya Ferrari"/>
    <x v="1"/>
    <s v="Mexico"/>
    <x v="0"/>
    <x v="0"/>
    <x v="3"/>
    <n v="4"/>
    <n v="63.81"/>
    <n v="5"/>
    <n v="242.48"/>
    <n v="12.73"/>
    <n v="89.37"/>
    <x v="2"/>
    <n v="255.24"/>
    <n v="0.36856647970966683"/>
    <n v="255.20999999999998"/>
  </r>
  <r>
    <x v="1044"/>
    <x v="481"/>
    <s v="Elizabeth Singh"/>
    <x v="2"/>
    <s v="Mexico"/>
    <x v="0"/>
    <x v="1"/>
    <x v="17"/>
    <n v="1"/>
    <n v="9.65"/>
    <n v="10"/>
    <n v="8.69"/>
    <n v="5.86"/>
    <n v="-1.51"/>
    <x v="2"/>
    <n v="9.65"/>
    <n v="-0.17376294591484465"/>
    <n v="14.55"/>
  </r>
  <r>
    <x v="1045"/>
    <x v="482"/>
    <s v="Raj Santos"/>
    <x v="1"/>
    <s v="Canada"/>
    <x v="0"/>
    <x v="2"/>
    <x v="14"/>
    <n v="4"/>
    <n v="347.26"/>
    <n v="20"/>
    <n v="1111.23"/>
    <n v="11"/>
    <n v="266.81"/>
    <x v="2"/>
    <n v="1389.04"/>
    <n v="0.24010330894594278"/>
    <n v="1122.23"/>
  </r>
  <r>
    <x v="1046"/>
    <x v="482"/>
    <s v="Thomas Wang"/>
    <x v="2"/>
    <s v="United States"/>
    <x v="0"/>
    <x v="2"/>
    <x v="34"/>
    <n v="1"/>
    <n v="53.78"/>
    <n v="5"/>
    <n v="51.09"/>
    <n v="6.42"/>
    <n v="12.4"/>
    <x v="3"/>
    <n v="53.78"/>
    <n v="0.24270894499902132"/>
    <n v="57.510000000000005"/>
  </r>
  <r>
    <x v="1047"/>
    <x v="482"/>
    <s v="Zara Anderson"/>
    <x v="0"/>
    <s v="United Kingdom"/>
    <x v="1"/>
    <x v="0"/>
    <x v="31"/>
    <n v="3"/>
    <n v="104.66"/>
    <n v="0"/>
    <n v="313.98"/>
    <n v="9.5500000000000007"/>
    <n v="131.74"/>
    <x v="1"/>
    <n v="313.98"/>
    <n v="0.41958086502324987"/>
    <n v="323.53000000000003"/>
  </r>
  <r>
    <x v="1048"/>
    <x v="482"/>
    <s v="Jennifer Anderson"/>
    <x v="0"/>
    <s v="Mexico"/>
    <x v="0"/>
    <x v="1"/>
    <x v="25"/>
    <n v="5"/>
    <n v="8.93"/>
    <n v="20"/>
    <n v="35.72"/>
    <n v="9.26"/>
    <n v="6.37"/>
    <x v="2"/>
    <n v="44.65"/>
    <n v="0.17833146696528557"/>
    <n v="44.98"/>
  </r>
  <r>
    <x v="1049"/>
    <x v="483"/>
    <s v="Emma Suzuki"/>
    <x v="1"/>
    <s v="South Korea"/>
    <x v="3"/>
    <x v="1"/>
    <x v="25"/>
    <n v="2"/>
    <n v="17.940000000000001"/>
    <n v="0"/>
    <n v="35.880000000000003"/>
    <n v="12.85"/>
    <n v="6.88"/>
    <x v="0"/>
    <n v="35.880000000000003"/>
    <n v="0.19175027870680042"/>
    <n v="48.730000000000004"/>
  </r>
  <r>
    <x v="1050"/>
    <x v="483"/>
    <s v="Sarah Patel"/>
    <x v="2"/>
    <s v="United States"/>
    <x v="0"/>
    <x v="2"/>
    <x v="4"/>
    <n v="3"/>
    <n v="305.72000000000003"/>
    <n v="10"/>
    <n v="825.44"/>
    <n v="9.9600000000000009"/>
    <n v="265.18"/>
    <x v="2"/>
    <n v="917.16000000000008"/>
    <n v="0.32125896491568134"/>
    <n v="835.40000000000009"/>
  </r>
  <r>
    <x v="1051"/>
    <x v="484"/>
    <s v="Lucas Moreau"/>
    <x v="2"/>
    <s v="Italy"/>
    <x v="1"/>
    <x v="1"/>
    <x v="20"/>
    <n v="10"/>
    <n v="13.76"/>
    <n v="10"/>
    <n v="123.84"/>
    <n v="17.98"/>
    <n v="43.94"/>
    <x v="1"/>
    <n v="137.6"/>
    <n v="0.35481266149870799"/>
    <n v="141.82"/>
  </r>
  <r>
    <x v="1052"/>
    <x v="484"/>
    <s v="Richard Patel"/>
    <x v="1"/>
    <s v="Japan"/>
    <x v="3"/>
    <x v="3"/>
    <x v="26"/>
    <n v="3"/>
    <n v="20.47"/>
    <n v="5"/>
    <n v="58.34"/>
    <n v="11.67"/>
    <n v="15.97"/>
    <x v="2"/>
    <n v="61.41"/>
    <n v="0.27374014398354474"/>
    <n v="70.010000000000005"/>
  </r>
  <r>
    <x v="1053"/>
    <x v="484"/>
    <s v="Karen Hassan"/>
    <x v="1"/>
    <s v="South Korea"/>
    <x v="3"/>
    <x v="1"/>
    <x v="10"/>
    <n v="3"/>
    <n v="4.1100000000000003"/>
    <n v="0"/>
    <n v="12.33"/>
    <n v="14.51"/>
    <n v="-7.73"/>
    <x v="2"/>
    <n v="12.330000000000002"/>
    <n v="-0.62692619626926205"/>
    <n v="26.84"/>
  </r>
  <r>
    <x v="1054"/>
    <x v="484"/>
    <s v="Wei Suzuki"/>
    <x v="1"/>
    <s v="Argentina"/>
    <x v="4"/>
    <x v="3"/>
    <x v="11"/>
    <n v="6"/>
    <n v="98"/>
    <n v="15"/>
    <n v="499.8"/>
    <n v="20.34"/>
    <n v="185.46"/>
    <x v="1"/>
    <n v="588"/>
    <n v="0.37106842737094836"/>
    <n v="520.14"/>
  </r>
  <r>
    <x v="1055"/>
    <x v="484"/>
    <s v="Thomas Yamamoto"/>
    <x v="1"/>
    <s v="United States"/>
    <x v="0"/>
    <x v="0"/>
    <x v="35"/>
    <n v="1"/>
    <n v="66.5"/>
    <n v="10"/>
    <n v="59.85"/>
    <n v="6.99"/>
    <n v="16.28"/>
    <x v="1"/>
    <n v="66.5"/>
    <n v="0.27201336675020887"/>
    <n v="66.84"/>
  </r>
  <r>
    <x v="1056"/>
    <x v="485"/>
    <s v="Jamal Sharma"/>
    <x v="0"/>
    <s v="Germany"/>
    <x v="1"/>
    <x v="0"/>
    <x v="31"/>
    <n v="2"/>
    <n v="121.67"/>
    <n v="10"/>
    <n v="219.01"/>
    <n v="10.65"/>
    <n v="74.52"/>
    <x v="3"/>
    <n v="243.34"/>
    <n v="0.34025843568786812"/>
    <n v="229.66"/>
  </r>
  <r>
    <x v="1057"/>
    <x v="485"/>
    <s v="Lucas Laurent"/>
    <x v="1"/>
    <s v="Colombia"/>
    <x v="4"/>
    <x v="0"/>
    <x v="18"/>
    <n v="4"/>
    <n v="63.57"/>
    <n v="0"/>
    <n v="254.28"/>
    <n v="18.63"/>
    <n v="95.8"/>
    <x v="1"/>
    <n v="254.28"/>
    <n v="0.3767500393267264"/>
    <n v="272.91000000000003"/>
  </r>
  <r>
    <x v="1058"/>
    <x v="486"/>
    <s v="Xiao Romano"/>
    <x v="0"/>
    <s v="Mexico"/>
    <x v="0"/>
    <x v="1"/>
    <x v="19"/>
    <n v="4"/>
    <n v="10.58"/>
    <n v="5"/>
    <n v="40.200000000000003"/>
    <n v="14.1"/>
    <n v="7.06"/>
    <x v="3"/>
    <n v="42.32"/>
    <n v="0.17562189054726365"/>
    <n v="54.300000000000004"/>
  </r>
  <r>
    <x v="1059"/>
    <x v="487"/>
    <s v="Amina Thomas"/>
    <x v="1"/>
    <s v="Mexico"/>
    <x v="0"/>
    <x v="3"/>
    <x v="9"/>
    <n v="2"/>
    <n v="57.19"/>
    <n v="5"/>
    <n v="108.66"/>
    <n v="7.96"/>
    <n v="43.51"/>
    <x v="2"/>
    <n v="114.38"/>
    <n v="0.40042333885514447"/>
    <n v="116.61999999999999"/>
  </r>
  <r>
    <x v="1060"/>
    <x v="487"/>
    <s v="Olga Li"/>
    <x v="0"/>
    <s v="South Korea"/>
    <x v="3"/>
    <x v="1"/>
    <x v="10"/>
    <n v="2"/>
    <n v="9.18"/>
    <n v="15"/>
    <n v="15.61"/>
    <n v="12.05"/>
    <n v="-4.7"/>
    <x v="2"/>
    <n v="18.36"/>
    <n v="-0.30108904548366433"/>
    <n v="27.66"/>
  </r>
  <r>
    <x v="1061"/>
    <x v="488"/>
    <s v="Kenji Wang"/>
    <x v="1"/>
    <s v="Spain"/>
    <x v="1"/>
    <x v="3"/>
    <x v="26"/>
    <n v="2"/>
    <n v="32.020000000000003"/>
    <n v="10"/>
    <n v="57.64"/>
    <n v="10.01"/>
    <n v="15.61"/>
    <x v="1"/>
    <n v="64.040000000000006"/>
    <n v="0.27081887578070785"/>
    <n v="67.650000000000006"/>
  </r>
  <r>
    <x v="1062"/>
    <x v="489"/>
    <s v="Jamal Nilsson"/>
    <x v="1"/>
    <s v="Argentina"/>
    <x v="4"/>
    <x v="1"/>
    <x v="2"/>
    <n v="8"/>
    <n v="9.6"/>
    <n v="15"/>
    <n v="65.28"/>
    <n v="27.55"/>
    <n v="3.17"/>
    <x v="2"/>
    <n v="76.8"/>
    <n v="4.8560049019607844E-2"/>
    <n v="92.83"/>
  </r>
  <r>
    <x v="1063"/>
    <x v="490"/>
    <s v="Sophie Williams"/>
    <x v="0"/>
    <s v="South Korea"/>
    <x v="3"/>
    <x v="1"/>
    <x v="17"/>
    <n v="4"/>
    <n v="9.9499999999999993"/>
    <n v="5"/>
    <n v="37.81"/>
    <n v="12.01"/>
    <n v="7.89"/>
    <x v="2"/>
    <n v="39.799999999999997"/>
    <n v="0.20867495371594813"/>
    <n v="49.82"/>
  </r>
  <r>
    <x v="1064"/>
    <x v="490"/>
    <s v="Ahmed Anderson"/>
    <x v="2"/>
    <s v="China"/>
    <x v="3"/>
    <x v="0"/>
    <x v="18"/>
    <n v="4"/>
    <n v="33.42"/>
    <n v="0"/>
    <n v="133.68"/>
    <n v="13.19"/>
    <n v="46.97"/>
    <x v="2"/>
    <n v="133.68"/>
    <n v="0.35136146020347098"/>
    <n v="146.87"/>
  </r>
  <r>
    <x v="1065"/>
    <x v="490"/>
    <s v="Felix Schmidt"/>
    <x v="0"/>
    <s v="Canada"/>
    <x v="0"/>
    <x v="0"/>
    <x v="1"/>
    <n v="1"/>
    <n v="132.41"/>
    <n v="10"/>
    <n v="119.17"/>
    <n v="6.65"/>
    <n v="39.69"/>
    <x v="1"/>
    <n v="132.41"/>
    <n v="0.33305362087773766"/>
    <n v="125.82000000000001"/>
  </r>
  <r>
    <x v="1066"/>
    <x v="491"/>
    <s v="Hans Anderson"/>
    <x v="1"/>
    <s v="Japan"/>
    <x v="3"/>
    <x v="0"/>
    <x v="22"/>
    <n v="1"/>
    <n v="145.65"/>
    <n v="0"/>
    <n v="145.65"/>
    <n v="10.25"/>
    <n v="55.29"/>
    <x v="3"/>
    <n v="145.65"/>
    <n v="0.3796086508753862"/>
    <n v="155.9"/>
  </r>
  <r>
    <x v="1067"/>
    <x v="491"/>
    <s v="Ingrid Martin"/>
    <x v="0"/>
    <s v="United Kingdom"/>
    <x v="1"/>
    <x v="3"/>
    <x v="30"/>
    <n v="1"/>
    <n v="20.03"/>
    <n v="5"/>
    <n v="19.03"/>
    <n v="7.96"/>
    <n v="1.06"/>
    <x v="1"/>
    <n v="20.03"/>
    <n v="5.5701523909616392E-2"/>
    <n v="26.990000000000002"/>
  </r>
  <r>
    <x v="1068"/>
    <x v="491"/>
    <s v="Yuki Kim"/>
    <x v="0"/>
    <s v="United States"/>
    <x v="0"/>
    <x v="3"/>
    <x v="37"/>
    <n v="3"/>
    <n v="74.989999999999995"/>
    <n v="0"/>
    <n v="224.97"/>
    <n v="11.37"/>
    <n v="101.12"/>
    <x v="1"/>
    <n v="224.96999999999997"/>
    <n v="0.44948215317597906"/>
    <n v="236.34"/>
  </r>
  <r>
    <x v="1069"/>
    <x v="492"/>
    <s v="Diego Thomas"/>
    <x v="1"/>
    <s v="United States"/>
    <x v="0"/>
    <x v="3"/>
    <x v="27"/>
    <n v="3"/>
    <n v="45.38"/>
    <n v="10"/>
    <n v="122.53"/>
    <n v="9.66"/>
    <n v="44.8"/>
    <x v="2"/>
    <n v="136.14000000000001"/>
    <n v="0.36562474496041786"/>
    <n v="132.19"/>
  </r>
  <r>
    <x v="1070"/>
    <x v="492"/>
    <s v="Karen Rossi"/>
    <x v="1"/>
    <s v="South Korea"/>
    <x v="3"/>
    <x v="2"/>
    <x v="21"/>
    <n v="4"/>
    <n v="91.15"/>
    <n v="5"/>
    <n v="346.37"/>
    <n v="13.75"/>
    <n v="113.86"/>
    <x v="3"/>
    <n v="364.6"/>
    <n v="0.32872361925108989"/>
    <n v="360.12"/>
  </r>
  <r>
    <x v="1071"/>
    <x v="492"/>
    <s v="Amina Wang"/>
    <x v="1"/>
    <s v="United States"/>
    <x v="0"/>
    <x v="0"/>
    <x v="18"/>
    <n v="2"/>
    <n v="64.84"/>
    <n v="20"/>
    <n v="103.74"/>
    <n v="6.94"/>
    <n v="25.48"/>
    <x v="2"/>
    <n v="129.68"/>
    <n v="0.24561403508771931"/>
    <n v="110.67999999999999"/>
  </r>
  <r>
    <x v="1072"/>
    <x v="493"/>
    <s v="Richard Costa"/>
    <x v="1"/>
    <s v="Mexico"/>
    <x v="0"/>
    <x v="2"/>
    <x v="4"/>
    <n v="3"/>
    <n v="277.81"/>
    <n v="15"/>
    <n v="708.42"/>
    <n v="9.76"/>
    <n v="198.6"/>
    <x v="2"/>
    <n v="833.43000000000006"/>
    <n v="0.28034216989921235"/>
    <n v="718.18"/>
  </r>
  <r>
    <x v="1073"/>
    <x v="493"/>
    <s v="Oscar Johansson"/>
    <x v="1"/>
    <s v="China"/>
    <x v="3"/>
    <x v="1"/>
    <x v="23"/>
    <n v="4"/>
    <n v="15.31"/>
    <n v="15"/>
    <n v="52.05"/>
    <n v="17.07"/>
    <n v="7.42"/>
    <x v="3"/>
    <n v="61.24"/>
    <n v="0.14255523535062439"/>
    <n v="69.12"/>
  </r>
  <r>
    <x v="1074"/>
    <x v="494"/>
    <s v="Ingrid Laurent"/>
    <x v="1"/>
    <s v="Canada"/>
    <x v="0"/>
    <x v="3"/>
    <x v="24"/>
    <n v="2"/>
    <n v="57.71"/>
    <n v="5"/>
    <n v="109.65"/>
    <n v="6.72"/>
    <n v="45.22"/>
    <x v="1"/>
    <n v="115.42"/>
    <n v="0.41240310077519376"/>
    <n v="116.37"/>
  </r>
  <r>
    <x v="1075"/>
    <x v="495"/>
    <s v="Hans Park"/>
    <x v="0"/>
    <s v="Italy"/>
    <x v="1"/>
    <x v="3"/>
    <x v="37"/>
    <n v="4"/>
    <n v="36.93"/>
    <n v="15"/>
    <n v="125.56"/>
    <n v="14.92"/>
    <n v="36.78"/>
    <x v="0"/>
    <n v="147.72"/>
    <n v="0.29292768397578844"/>
    <n v="140.47999999999999"/>
  </r>
  <r>
    <x v="1076"/>
    <x v="496"/>
    <s v="Wei Thompson"/>
    <x v="1"/>
    <s v="India"/>
    <x v="3"/>
    <x v="1"/>
    <x v="12"/>
    <n v="1"/>
    <n v="20.09"/>
    <n v="15"/>
    <n v="17.079999999999998"/>
    <n v="10.58"/>
    <n v="-2.54"/>
    <x v="1"/>
    <n v="20.09"/>
    <n v="-0.14871194379391103"/>
    <n v="27.659999999999997"/>
  </r>
  <r>
    <x v="1077"/>
    <x v="497"/>
    <s v="Ethan Williams"/>
    <x v="1"/>
    <s v="Mexico"/>
    <x v="0"/>
    <x v="2"/>
    <x v="4"/>
    <n v="2"/>
    <n v="112.26"/>
    <n v="0"/>
    <n v="224.52"/>
    <n v="8.69"/>
    <n v="81.12"/>
    <x v="2"/>
    <n v="224.52"/>
    <n v="0.36130411544628543"/>
    <n v="233.21"/>
  </r>
  <r>
    <x v="1078"/>
    <x v="498"/>
    <s v="Sarah Khan"/>
    <x v="2"/>
    <s v="Italy"/>
    <x v="1"/>
    <x v="1"/>
    <x v="12"/>
    <n v="3"/>
    <n v="22.08"/>
    <n v="10"/>
    <n v="59.62"/>
    <n v="10.3"/>
    <n v="19.510000000000002"/>
    <x v="3"/>
    <n v="66.239999999999995"/>
    <n v="0.32723918148272396"/>
    <n v="69.92"/>
  </r>
  <r>
    <x v="1079"/>
    <x v="498"/>
    <s v="Ali Patel"/>
    <x v="1"/>
    <s v="Saudi Arabia"/>
    <x v="2"/>
    <x v="0"/>
    <x v="29"/>
    <n v="8"/>
    <n v="29.9"/>
    <n v="0"/>
    <n v="239.2"/>
    <n v="15.61"/>
    <n v="92.03"/>
    <x v="2"/>
    <n v="239.2"/>
    <n v="0.3847408026755853"/>
    <n v="254.81"/>
  </r>
  <r>
    <x v="1080"/>
    <x v="499"/>
    <s v="Noah Dubois"/>
    <x v="1"/>
    <s v="Mexico"/>
    <x v="0"/>
    <x v="0"/>
    <x v="31"/>
    <n v="2"/>
    <n v="79.84"/>
    <n v="10"/>
    <n v="143.71"/>
    <n v="7.24"/>
    <n v="48.65"/>
    <x v="2"/>
    <n v="159.68"/>
    <n v="0.33852898197759373"/>
    <n v="150.95000000000002"/>
  </r>
  <r>
    <x v="1081"/>
    <x v="499"/>
    <s v="Ivan MÃ¼ller"/>
    <x v="1"/>
    <s v="France"/>
    <x v="1"/>
    <x v="3"/>
    <x v="30"/>
    <n v="2"/>
    <n v="12.3"/>
    <n v="0"/>
    <n v="24.6"/>
    <n v="11.2"/>
    <n v="1.1000000000000001"/>
    <x v="1"/>
    <n v="24.6"/>
    <n v="4.4715447154471545E-2"/>
    <n v="35.799999999999997"/>
  </r>
  <r>
    <x v="1082"/>
    <x v="499"/>
    <s v="Jessica Williams"/>
    <x v="1"/>
    <s v="United States"/>
    <x v="0"/>
    <x v="0"/>
    <x v="35"/>
    <n v="1"/>
    <n v="30.33"/>
    <n v="5"/>
    <n v="28.81"/>
    <n v="6.89"/>
    <n v="5.24"/>
    <x v="3"/>
    <n v="30.33"/>
    <n v="0.181881291218327"/>
    <n v="35.699999999999996"/>
  </r>
  <r>
    <x v="1083"/>
    <x v="500"/>
    <s v="Clara Schmidt"/>
    <x v="0"/>
    <s v="Brazil"/>
    <x v="4"/>
    <x v="1"/>
    <x v="25"/>
    <n v="6"/>
    <n v="13.5"/>
    <n v="15"/>
    <n v="68.849999999999994"/>
    <n v="14.12"/>
    <n v="18.28"/>
    <x v="1"/>
    <n v="81"/>
    <n v="0.26550472040668122"/>
    <n v="82.97"/>
  </r>
  <r>
    <x v="1084"/>
    <x v="500"/>
    <s v="Pierre Patel"/>
    <x v="1"/>
    <s v="Germany"/>
    <x v="1"/>
    <x v="3"/>
    <x v="24"/>
    <n v="3"/>
    <n v="68.42"/>
    <n v="10"/>
    <n v="184.73"/>
    <n v="12.09"/>
    <n v="70.010000000000005"/>
    <x v="2"/>
    <n v="205.26"/>
    <n v="0.37898554647323124"/>
    <n v="196.82"/>
  </r>
  <r>
    <x v="1085"/>
    <x v="500"/>
    <s v="Olivia Garcia"/>
    <x v="2"/>
    <s v="United States"/>
    <x v="0"/>
    <x v="1"/>
    <x v="20"/>
    <n v="8"/>
    <n v="7.55"/>
    <n v="20"/>
    <n v="48.32"/>
    <n v="12.15"/>
    <n v="8.99"/>
    <x v="2"/>
    <n v="60.4"/>
    <n v="0.18605132450331127"/>
    <n v="60.47"/>
  </r>
  <r>
    <x v="1086"/>
    <x v="500"/>
    <s v="David Suzuki"/>
    <x v="1"/>
    <s v="UAE"/>
    <x v="2"/>
    <x v="0"/>
    <x v="7"/>
    <n v="5"/>
    <n v="57.26"/>
    <n v="10"/>
    <n v="257.67"/>
    <n v="17.079999999999998"/>
    <n v="83.12"/>
    <x v="3"/>
    <n v="286.3"/>
    <n v="0.32258314898901697"/>
    <n v="274.75"/>
  </r>
  <r>
    <x v="1087"/>
    <x v="500"/>
    <s v="Christopher MÃ¼ller"/>
    <x v="1"/>
    <s v="Mexico"/>
    <x v="0"/>
    <x v="2"/>
    <x v="15"/>
    <n v="1"/>
    <n v="187.47"/>
    <n v="0"/>
    <n v="187.47"/>
    <n v="6.23"/>
    <n v="68.760000000000005"/>
    <x v="3"/>
    <n v="187.47"/>
    <n v="0.36677868458953433"/>
    <n v="193.7"/>
  </r>
  <r>
    <x v="1088"/>
    <x v="501"/>
    <s v="William Robinson"/>
    <x v="1"/>
    <s v="Canada"/>
    <x v="0"/>
    <x v="0"/>
    <x v="28"/>
    <n v="2"/>
    <n v="50.79"/>
    <n v="0"/>
    <n v="101.58"/>
    <n v="7.71"/>
    <n v="38"/>
    <x v="2"/>
    <n v="101.58"/>
    <n v="0.37408938767473915"/>
    <n v="109.28999999999999"/>
  </r>
  <r>
    <x v="1089"/>
    <x v="501"/>
    <s v="Omar Weber"/>
    <x v="2"/>
    <s v="Brazil"/>
    <x v="4"/>
    <x v="3"/>
    <x v="24"/>
    <n v="1"/>
    <n v="31.92"/>
    <n v="0"/>
    <n v="31.92"/>
    <n v="12.07"/>
    <n v="3.89"/>
    <x v="0"/>
    <n v="31.92"/>
    <n v="0.1218671679197995"/>
    <n v="43.99"/>
  </r>
  <r>
    <x v="1090"/>
    <x v="502"/>
    <s v="Linda Fischer"/>
    <x v="1"/>
    <s v="United States"/>
    <x v="0"/>
    <x v="1"/>
    <x v="25"/>
    <n v="8"/>
    <n v="15.17"/>
    <n v="0"/>
    <n v="121.36"/>
    <n v="23.42"/>
    <n v="43.33"/>
    <x v="1"/>
    <n v="121.36"/>
    <n v="0.35703691496374423"/>
    <n v="144.78"/>
  </r>
  <r>
    <x v="1091"/>
    <x v="503"/>
    <s v="Ivan Thomas"/>
    <x v="2"/>
    <s v="Colombia"/>
    <x v="4"/>
    <x v="0"/>
    <x v="22"/>
    <n v="2"/>
    <n v="68.400000000000006"/>
    <n v="0"/>
    <n v="136.80000000000001"/>
    <n v="13.66"/>
    <n v="47.9"/>
    <x v="2"/>
    <n v="136.80000000000001"/>
    <n v="0.35014619883040932"/>
    <n v="150.46"/>
  </r>
  <r>
    <x v="1092"/>
    <x v="503"/>
    <s v="Maria Costa"/>
    <x v="1"/>
    <s v="Japan"/>
    <x v="3"/>
    <x v="3"/>
    <x v="24"/>
    <n v="5"/>
    <n v="57.12"/>
    <n v="0"/>
    <n v="285.60000000000002"/>
    <n v="19.41"/>
    <n v="123.39"/>
    <x v="1"/>
    <n v="285.59999999999997"/>
    <n v="0.43203781512605038"/>
    <n v="305.01000000000005"/>
  </r>
  <r>
    <x v="1093"/>
    <x v="503"/>
    <s v="Layla Johansson"/>
    <x v="1"/>
    <s v="United Kingdom"/>
    <x v="1"/>
    <x v="0"/>
    <x v="1"/>
    <n v="10"/>
    <n v="62.96"/>
    <n v="10"/>
    <n v="566.64"/>
    <n v="19.53"/>
    <n v="200.83"/>
    <x v="2"/>
    <n v="629.6"/>
    <n v="0.35442256106169706"/>
    <n v="586.16999999999996"/>
  </r>
  <r>
    <x v="1094"/>
    <x v="503"/>
    <s v="Richard Tanaka"/>
    <x v="0"/>
    <s v="India"/>
    <x v="3"/>
    <x v="2"/>
    <x v="15"/>
    <n v="5"/>
    <n v="214.38"/>
    <n v="15"/>
    <n v="911.12"/>
    <n v="18.93"/>
    <n v="249.05"/>
    <x v="1"/>
    <n v="1071.9000000000001"/>
    <n v="0.27334489419615421"/>
    <n v="930.05"/>
  </r>
  <r>
    <x v="1095"/>
    <x v="504"/>
    <s v="Joseph Romano"/>
    <x v="1"/>
    <s v="Brazil"/>
    <x v="4"/>
    <x v="1"/>
    <x v="38"/>
    <n v="2"/>
    <n v="8.93"/>
    <n v="10"/>
    <n v="16.07"/>
    <n v="14.32"/>
    <n v="-6.29"/>
    <x v="1"/>
    <n v="17.86"/>
    <n v="-0.39141257000622276"/>
    <n v="30.39"/>
  </r>
  <r>
    <x v="1096"/>
    <x v="504"/>
    <s v="Liam Nilsson"/>
    <x v="2"/>
    <s v="United Kingdom"/>
    <x v="1"/>
    <x v="1"/>
    <x v="20"/>
    <n v="4"/>
    <n v="17.600000000000001"/>
    <n v="0"/>
    <n v="70.400000000000006"/>
    <n v="14.18"/>
    <n v="24.54"/>
    <x v="2"/>
    <n v="70.400000000000006"/>
    <n v="0.34857954545454539"/>
    <n v="84.580000000000013"/>
  </r>
  <r>
    <x v="1097"/>
    <x v="505"/>
    <s v="Elizabeth Chen"/>
    <x v="2"/>
    <s v="Canada"/>
    <x v="0"/>
    <x v="3"/>
    <x v="30"/>
    <n v="9"/>
    <n v="22.04"/>
    <n v="0"/>
    <n v="198.36"/>
    <n v="9.7899999999999991"/>
    <n v="89.39"/>
    <x v="1"/>
    <n v="198.35999999999999"/>
    <n v="0.45064529138939302"/>
    <n v="208.15"/>
  </r>
  <r>
    <x v="1098"/>
    <x v="506"/>
    <s v="Omar Costa"/>
    <x v="0"/>
    <s v="Mexico"/>
    <x v="0"/>
    <x v="2"/>
    <x v="15"/>
    <n v="1"/>
    <n v="376.74"/>
    <n v="20"/>
    <n v="301.39"/>
    <n v="7.19"/>
    <n v="68.16"/>
    <x v="1"/>
    <n v="376.74"/>
    <n v="0.22615216165101695"/>
    <n v="308.58"/>
  </r>
  <r>
    <x v="1099"/>
    <x v="507"/>
    <s v="Linda Santos"/>
    <x v="0"/>
    <s v="United Kingdom"/>
    <x v="1"/>
    <x v="0"/>
    <x v="1"/>
    <n v="1"/>
    <n v="174.88"/>
    <n v="15"/>
    <n v="148.65"/>
    <n v="8.56"/>
    <n v="43.91"/>
    <x v="1"/>
    <n v="174.88"/>
    <n v="0.29539186007399931"/>
    <n v="157.21"/>
  </r>
  <r>
    <x v="1100"/>
    <x v="507"/>
    <s v="Ingrid White"/>
    <x v="1"/>
    <s v="Australia"/>
    <x v="3"/>
    <x v="1"/>
    <x v="38"/>
    <n v="1"/>
    <n v="13.21"/>
    <n v="5"/>
    <n v="12.55"/>
    <n v="10.34"/>
    <n v="-3.73"/>
    <x v="1"/>
    <n v="13.21"/>
    <n v="-0.29721115537848602"/>
    <n v="22.89"/>
  </r>
  <r>
    <x v="1101"/>
    <x v="507"/>
    <s v="Amir Moreau"/>
    <x v="2"/>
    <s v="India"/>
    <x v="3"/>
    <x v="0"/>
    <x v="3"/>
    <n v="2"/>
    <n v="43.13"/>
    <n v="0"/>
    <n v="86.26"/>
    <n v="11.52"/>
    <n v="27.3"/>
    <x v="2"/>
    <n v="86.26"/>
    <n v="0.31648504521214932"/>
    <n v="97.78"/>
  </r>
  <r>
    <x v="1102"/>
    <x v="508"/>
    <s v="Isabella Ferrari"/>
    <x v="0"/>
    <s v="Germany"/>
    <x v="1"/>
    <x v="0"/>
    <x v="18"/>
    <n v="4"/>
    <n v="41.61"/>
    <n v="20"/>
    <n v="133.15"/>
    <n v="11.64"/>
    <n v="29.97"/>
    <x v="1"/>
    <n v="166.44"/>
    <n v="0.22508449117536611"/>
    <n v="144.79000000000002"/>
  </r>
  <r>
    <x v="1103"/>
    <x v="508"/>
    <s v="Xiao Martin"/>
    <x v="2"/>
    <s v="Mexico"/>
    <x v="0"/>
    <x v="3"/>
    <x v="11"/>
    <n v="6"/>
    <n v="33.229999999999997"/>
    <n v="5"/>
    <n v="189.41"/>
    <n v="9.09"/>
    <n v="80.63"/>
    <x v="1"/>
    <n v="199.38"/>
    <n v="0.42569030146243597"/>
    <n v="198.5"/>
  </r>
  <r>
    <x v="1104"/>
    <x v="508"/>
    <s v="Oscar Williams"/>
    <x v="0"/>
    <s v="United States"/>
    <x v="0"/>
    <x v="3"/>
    <x v="30"/>
    <n v="4"/>
    <n v="12.55"/>
    <n v="25"/>
    <n v="37.65"/>
    <n v="9.91"/>
    <n v="2.64"/>
    <x v="1"/>
    <n v="50.2"/>
    <n v="7.0119521912350602E-2"/>
    <n v="47.56"/>
  </r>
  <r>
    <x v="1105"/>
    <x v="508"/>
    <s v="Ayumi Thomas"/>
    <x v="1"/>
    <s v="South Africa"/>
    <x v="2"/>
    <x v="3"/>
    <x v="37"/>
    <n v="8"/>
    <n v="62.5"/>
    <n v="25"/>
    <n v="375"/>
    <n v="24.32"/>
    <n v="100.68"/>
    <x v="2"/>
    <n v="500"/>
    <n v="0.26848"/>
    <n v="399.32"/>
  </r>
  <r>
    <x v="1106"/>
    <x v="508"/>
    <s v="Jamal Pereira"/>
    <x v="1"/>
    <s v="United States"/>
    <x v="0"/>
    <x v="0"/>
    <x v="18"/>
    <n v="2"/>
    <n v="31.01"/>
    <n v="10"/>
    <n v="55.82"/>
    <n v="6.85"/>
    <n v="14.86"/>
    <x v="3"/>
    <n v="62.02"/>
    <n v="0.26621282694374776"/>
    <n v="62.67"/>
  </r>
  <r>
    <x v="1107"/>
    <x v="508"/>
    <s v="William Romano"/>
    <x v="1"/>
    <s v="Canada"/>
    <x v="0"/>
    <x v="2"/>
    <x v="34"/>
    <n v="4"/>
    <n v="29.07"/>
    <n v="10"/>
    <n v="104.65"/>
    <n v="12.59"/>
    <n v="22.29"/>
    <x v="0"/>
    <n v="116.28"/>
    <n v="0.21299569995222167"/>
    <n v="117.24000000000001"/>
  </r>
  <r>
    <x v="1108"/>
    <x v="509"/>
    <s v="Zara Harris"/>
    <x v="0"/>
    <s v="Canada"/>
    <x v="0"/>
    <x v="0"/>
    <x v="35"/>
    <n v="5"/>
    <n v="62.9"/>
    <n v="0"/>
    <n v="314.5"/>
    <n v="12.05"/>
    <n v="129.47"/>
    <x v="3"/>
    <n v="314.5"/>
    <n v="0.41166931637519871"/>
    <n v="326.55"/>
  </r>
  <r>
    <x v="1109"/>
    <x v="509"/>
    <s v="Pierre Smith"/>
    <x v="1"/>
    <s v="Spain"/>
    <x v="1"/>
    <x v="1"/>
    <x v="12"/>
    <n v="1"/>
    <n v="13.51"/>
    <n v="10"/>
    <n v="12.16"/>
    <n v="7.94"/>
    <n v="-1.86"/>
    <x v="1"/>
    <n v="13.51"/>
    <n v="-0.15296052631578949"/>
    <n v="20.100000000000001"/>
  </r>
  <r>
    <x v="1110"/>
    <x v="509"/>
    <s v="Zara Clark"/>
    <x v="1"/>
    <s v="Brazil"/>
    <x v="4"/>
    <x v="2"/>
    <x v="21"/>
    <n v="3"/>
    <n v="64.94"/>
    <n v="20"/>
    <n v="155.86000000000001"/>
    <n v="11.57"/>
    <n v="27.4"/>
    <x v="2"/>
    <n v="194.82"/>
    <n v="0.17579879378929805"/>
    <n v="167.43"/>
  </r>
  <r>
    <x v="1111"/>
    <x v="509"/>
    <s v="Carlos Yamamoto"/>
    <x v="1"/>
    <s v="Mexico"/>
    <x v="0"/>
    <x v="3"/>
    <x v="27"/>
    <n v="1"/>
    <n v="20.04"/>
    <n v="0"/>
    <n v="20.04"/>
    <n v="6.51"/>
    <n v="3.51"/>
    <x v="1"/>
    <n v="20.04"/>
    <n v="0.17514970059880239"/>
    <n v="26.549999999999997"/>
  </r>
  <r>
    <x v="1112"/>
    <x v="509"/>
    <s v="Yuki Pereira"/>
    <x v="0"/>
    <s v="Canada"/>
    <x v="0"/>
    <x v="1"/>
    <x v="12"/>
    <n v="4"/>
    <n v="17.37"/>
    <n v="15"/>
    <n v="59.06"/>
    <n v="9.1"/>
    <n v="18.690000000000001"/>
    <x v="0"/>
    <n v="69.48"/>
    <n v="0.31645783948526923"/>
    <n v="68.16"/>
  </r>
  <r>
    <x v="1113"/>
    <x v="509"/>
    <s v="Isabella Johansson"/>
    <x v="0"/>
    <s v="South Africa"/>
    <x v="2"/>
    <x v="2"/>
    <x v="8"/>
    <n v="2"/>
    <n v="73.069999999999993"/>
    <n v="15"/>
    <n v="124.22"/>
    <n v="13.98"/>
    <n v="22.56"/>
    <x v="1"/>
    <n v="146.13999999999999"/>
    <n v="0.18161326678473674"/>
    <n v="138.19999999999999"/>
  </r>
  <r>
    <x v="1114"/>
    <x v="510"/>
    <s v="Carlos Ferrari"/>
    <x v="2"/>
    <s v="Mexico"/>
    <x v="0"/>
    <x v="1"/>
    <x v="10"/>
    <n v="2"/>
    <n v="5.97"/>
    <n v="5"/>
    <n v="11.34"/>
    <n v="7.01"/>
    <n v="-1.04"/>
    <x v="2"/>
    <n v="11.94"/>
    <n v="-9.1710758377425053E-2"/>
    <n v="18.350000000000001"/>
  </r>
  <r>
    <x v="1115"/>
    <x v="511"/>
    <s v="Diego Miller"/>
    <x v="1"/>
    <s v="Italy"/>
    <x v="1"/>
    <x v="2"/>
    <x v="32"/>
    <n v="4"/>
    <n v="67.400000000000006"/>
    <n v="5"/>
    <n v="256.12"/>
    <n v="9.33"/>
    <n v="85.03"/>
    <x v="0"/>
    <n v="269.60000000000002"/>
    <n v="0.33199281586756207"/>
    <n v="265.45"/>
  </r>
  <r>
    <x v="1116"/>
    <x v="512"/>
    <s v="Robert Garcia"/>
    <x v="1"/>
    <s v="Germany"/>
    <x v="1"/>
    <x v="1"/>
    <x v="17"/>
    <n v="3"/>
    <n v="13.57"/>
    <n v="5"/>
    <n v="38.67"/>
    <n v="12.98"/>
    <n v="7.37"/>
    <x v="1"/>
    <n v="40.71"/>
    <n v="0.19058701836048617"/>
    <n v="51.650000000000006"/>
  </r>
  <r>
    <x v="1117"/>
    <x v="512"/>
    <s v="Sakura Garcia"/>
    <x v="2"/>
    <s v="Spain"/>
    <x v="1"/>
    <x v="1"/>
    <x v="19"/>
    <n v="2"/>
    <n v="6.44"/>
    <n v="0"/>
    <n v="12.88"/>
    <n v="9.7100000000000009"/>
    <n v="-2.63"/>
    <x v="1"/>
    <n v="12.88"/>
    <n v="-0.20419254658385091"/>
    <n v="22.590000000000003"/>
  </r>
  <r>
    <x v="1118"/>
    <x v="513"/>
    <s v="Amina Taylor"/>
    <x v="1"/>
    <s v="India"/>
    <x v="3"/>
    <x v="1"/>
    <x v="2"/>
    <n v="6"/>
    <n v="13.09"/>
    <n v="10"/>
    <n v="70.69"/>
    <n v="20.97"/>
    <n v="14.38"/>
    <x v="2"/>
    <n v="78.539999999999992"/>
    <n v="0.20342339793464423"/>
    <n v="91.66"/>
  </r>
  <r>
    <x v="1119"/>
    <x v="514"/>
    <s v="James Ferrari"/>
    <x v="1"/>
    <s v="Canada"/>
    <x v="0"/>
    <x v="0"/>
    <x v="1"/>
    <n v="9"/>
    <n v="164.14"/>
    <n v="0"/>
    <n v="1477.26"/>
    <n v="18.25"/>
    <n v="646.52"/>
    <x v="1"/>
    <n v="1477.2599999999998"/>
    <n v="0.43764807819882756"/>
    <n v="1495.51"/>
  </r>
  <r>
    <x v="1120"/>
    <x v="514"/>
    <s v="Maria Thomas"/>
    <x v="0"/>
    <s v="China"/>
    <x v="3"/>
    <x v="2"/>
    <x v="34"/>
    <n v="3"/>
    <n v="49.49"/>
    <n v="15"/>
    <n v="126.2"/>
    <n v="16.07"/>
    <n v="21.05"/>
    <x v="1"/>
    <n v="148.47"/>
    <n v="0.1667987321711569"/>
    <n v="142.27000000000001"/>
  </r>
  <r>
    <x v="1121"/>
    <x v="515"/>
    <s v="Mia Ali"/>
    <x v="0"/>
    <s v="Colombia"/>
    <x v="4"/>
    <x v="1"/>
    <x v="6"/>
    <n v="2"/>
    <n v="18.149999999999999"/>
    <n v="15"/>
    <n v="30.85"/>
    <n v="14.89"/>
    <n v="-0.38"/>
    <x v="2"/>
    <n v="36.299999999999997"/>
    <n v="-1.2317666126418152E-2"/>
    <n v="45.74"/>
  </r>
  <r>
    <x v="1122"/>
    <x v="515"/>
    <s v="Omar Dubois"/>
    <x v="2"/>
    <s v="Australia"/>
    <x v="3"/>
    <x v="1"/>
    <x v="25"/>
    <n v="3"/>
    <n v="6.42"/>
    <n v="15"/>
    <n v="16.37"/>
    <n v="15.39"/>
    <n v="-7.69"/>
    <x v="1"/>
    <n v="19.259999999999998"/>
    <n v="-0.46976175931582165"/>
    <n v="31.76"/>
  </r>
  <r>
    <x v="1123"/>
    <x v="516"/>
    <s v="Sarah Miller"/>
    <x v="0"/>
    <s v="Colombia"/>
    <x v="4"/>
    <x v="0"/>
    <x v="18"/>
    <n v="3"/>
    <n v="55.32"/>
    <n v="10"/>
    <n v="149.36000000000001"/>
    <n v="16.68"/>
    <n v="41.4"/>
    <x v="2"/>
    <n v="165.96"/>
    <n v="0.27718264595607922"/>
    <n v="166.04000000000002"/>
  </r>
  <r>
    <x v="1124"/>
    <x v="517"/>
    <s v="Sarah Patel"/>
    <x v="1"/>
    <s v="Japan"/>
    <x v="3"/>
    <x v="1"/>
    <x v="6"/>
    <n v="5"/>
    <n v="17.850000000000001"/>
    <n v="0"/>
    <n v="89.25"/>
    <n v="14.45"/>
    <n v="34.64"/>
    <x v="3"/>
    <n v="89.25"/>
    <n v="0.38812324929971992"/>
    <n v="103.7"/>
  </r>
  <r>
    <x v="1125"/>
    <x v="517"/>
    <s v="Wei Patel"/>
    <x v="0"/>
    <s v="Colombia"/>
    <x v="4"/>
    <x v="0"/>
    <x v="29"/>
    <n v="5"/>
    <n v="18.670000000000002"/>
    <n v="5"/>
    <n v="88.68"/>
    <n v="14.38"/>
    <n v="22.96"/>
    <x v="0"/>
    <n v="93.350000000000009"/>
    <n v="0.25890843482183129"/>
    <n v="103.06"/>
  </r>
  <r>
    <x v="1126"/>
    <x v="517"/>
    <s v="Mia Chen"/>
    <x v="1"/>
    <s v="Spain"/>
    <x v="1"/>
    <x v="0"/>
    <x v="0"/>
    <n v="2"/>
    <n v="83.77"/>
    <n v="15"/>
    <n v="142.41"/>
    <n v="8.0500000000000007"/>
    <n v="42.21"/>
    <x v="1"/>
    <n v="167.54"/>
    <n v="0.29639772487887089"/>
    <n v="150.46"/>
  </r>
  <r>
    <x v="1127"/>
    <x v="518"/>
    <s v="Isabella Jones"/>
    <x v="0"/>
    <s v="Spain"/>
    <x v="1"/>
    <x v="0"/>
    <x v="35"/>
    <n v="4"/>
    <n v="48.97"/>
    <n v="20"/>
    <n v="156.69999999999999"/>
    <n v="10.82"/>
    <n v="38.15"/>
    <x v="1"/>
    <n v="195.88"/>
    <n v="0.24345883854499042"/>
    <n v="167.51999999999998"/>
  </r>
  <r>
    <x v="1128"/>
    <x v="519"/>
    <s v="Pierre Jones"/>
    <x v="0"/>
    <s v="United Kingdom"/>
    <x v="1"/>
    <x v="3"/>
    <x v="30"/>
    <n v="1"/>
    <n v="29.28"/>
    <n v="15"/>
    <n v="24.89"/>
    <n v="9.4"/>
    <n v="0.85"/>
    <x v="1"/>
    <n v="29.28"/>
    <n v="3.4150261149055845E-2"/>
    <n v="34.29"/>
  </r>
  <r>
    <x v="1129"/>
    <x v="520"/>
    <s v="Karen Ali"/>
    <x v="1"/>
    <s v="India"/>
    <x v="3"/>
    <x v="3"/>
    <x v="37"/>
    <n v="4"/>
    <n v="26"/>
    <n v="0"/>
    <n v="104"/>
    <n v="15.47"/>
    <n v="36.53"/>
    <x v="2"/>
    <n v="104"/>
    <n v="0.35125000000000001"/>
    <n v="119.47"/>
  </r>
  <r>
    <x v="1130"/>
    <x v="520"/>
    <s v="Amir Anderson"/>
    <x v="0"/>
    <s v="United Kingdom"/>
    <x v="1"/>
    <x v="0"/>
    <x v="18"/>
    <n v="4"/>
    <n v="31.83"/>
    <n v="5"/>
    <n v="120.95"/>
    <n v="12.01"/>
    <n v="38.909999999999997"/>
    <x v="3"/>
    <n v="127.32"/>
    <n v="0.32170318313352619"/>
    <n v="132.96"/>
  </r>
  <r>
    <x v="1131"/>
    <x v="521"/>
    <s v="Jennifer Yamamoto"/>
    <x v="1"/>
    <s v="France"/>
    <x v="1"/>
    <x v="2"/>
    <x v="21"/>
    <n v="2"/>
    <n v="61.97"/>
    <n v="0"/>
    <n v="123.94"/>
    <n v="11.14"/>
    <n v="38.44"/>
    <x v="3"/>
    <n v="123.94"/>
    <n v="0.31015007261578181"/>
    <n v="135.07999999999998"/>
  </r>
  <r>
    <x v="1132"/>
    <x v="521"/>
    <s v="Olivia Jones"/>
    <x v="1"/>
    <s v="United Kingdom"/>
    <x v="1"/>
    <x v="2"/>
    <x v="34"/>
    <n v="6"/>
    <n v="47.45"/>
    <n v="5"/>
    <n v="270.47000000000003"/>
    <n v="21.01"/>
    <n v="78.64"/>
    <x v="1"/>
    <n v="284.70000000000005"/>
    <n v="0.29075313343439196"/>
    <n v="291.48"/>
  </r>
  <r>
    <x v="1133"/>
    <x v="522"/>
    <s v="Mia Santos"/>
    <x v="1"/>
    <s v="Japan"/>
    <x v="3"/>
    <x v="1"/>
    <x v="2"/>
    <n v="6"/>
    <n v="6.49"/>
    <n v="15"/>
    <n v="33.1"/>
    <n v="12.35"/>
    <n v="3.23"/>
    <x v="1"/>
    <n v="38.94"/>
    <n v="9.7583081570996974E-2"/>
    <n v="45.45"/>
  </r>
  <r>
    <x v="1134"/>
    <x v="522"/>
    <s v="Carlos Patel"/>
    <x v="0"/>
    <s v="UAE"/>
    <x v="2"/>
    <x v="0"/>
    <x v="3"/>
    <n v="3"/>
    <n v="37.06"/>
    <n v="20"/>
    <n v="88.94"/>
    <n v="13.02"/>
    <n v="14.77"/>
    <x v="0"/>
    <n v="111.18"/>
    <n v="0.16606701146840566"/>
    <n v="101.96"/>
  </r>
  <r>
    <x v="1135"/>
    <x v="523"/>
    <s v="Olivia Johnson"/>
    <x v="0"/>
    <s v="Brazil"/>
    <x v="4"/>
    <x v="0"/>
    <x v="1"/>
    <n v="1"/>
    <n v="165.01"/>
    <n v="10"/>
    <n v="148.51"/>
    <n v="11.03"/>
    <n v="46.72"/>
    <x v="2"/>
    <n v="165.01"/>
    <n v="0.31459160999259311"/>
    <n v="159.54"/>
  </r>
  <r>
    <x v="1136"/>
    <x v="524"/>
    <s v="Robert Leroy"/>
    <x v="2"/>
    <s v="France"/>
    <x v="1"/>
    <x v="3"/>
    <x v="37"/>
    <n v="3"/>
    <n v="66.59"/>
    <n v="5"/>
    <n v="189.78"/>
    <n v="13.14"/>
    <n v="76.75"/>
    <x v="1"/>
    <n v="199.77"/>
    <n v="0.40441563916113393"/>
    <n v="202.92000000000002"/>
  </r>
  <r>
    <x v="1137"/>
    <x v="525"/>
    <s v="Michael Tanaka"/>
    <x v="1"/>
    <s v="Colombia"/>
    <x v="4"/>
    <x v="3"/>
    <x v="13"/>
    <n v="1"/>
    <n v="41.43"/>
    <n v="10"/>
    <n v="37.29"/>
    <n v="12.06"/>
    <n v="4.51"/>
    <x v="0"/>
    <n v="41.43"/>
    <n v="0.12094395280235988"/>
    <n v="49.35"/>
  </r>
  <r>
    <x v="1138"/>
    <x v="525"/>
    <s v="Thomas Chen"/>
    <x v="2"/>
    <s v="Mexico"/>
    <x v="0"/>
    <x v="2"/>
    <x v="36"/>
    <n v="1"/>
    <n v="160.44999999999999"/>
    <n v="5"/>
    <n v="152.43"/>
    <n v="5.89"/>
    <n v="50.27"/>
    <x v="2"/>
    <n v="160.44999999999999"/>
    <n v="0.32979072361083778"/>
    <n v="158.32"/>
  </r>
  <r>
    <x v="1139"/>
    <x v="526"/>
    <s v="Lucas Nilsson"/>
    <x v="1"/>
    <s v="United Kingdom"/>
    <x v="1"/>
    <x v="0"/>
    <x v="1"/>
    <n v="4"/>
    <n v="142.59"/>
    <n v="0"/>
    <n v="570.36"/>
    <n v="11.88"/>
    <n v="244.78"/>
    <x v="2"/>
    <n v="570.36"/>
    <n v="0.42916754330598217"/>
    <n v="582.24"/>
  </r>
  <r>
    <x v="1140"/>
    <x v="526"/>
    <s v="Omar Dubois"/>
    <x v="2"/>
    <s v="Spain"/>
    <x v="1"/>
    <x v="0"/>
    <x v="18"/>
    <n v="3"/>
    <n v="37.56"/>
    <n v="10"/>
    <n v="101.41"/>
    <n v="11.79"/>
    <n v="27.65"/>
    <x v="0"/>
    <n v="112.68"/>
    <n v="0.27265555665121782"/>
    <n v="113.19999999999999"/>
  </r>
  <r>
    <x v="1141"/>
    <x v="526"/>
    <s v="Omar Thompson"/>
    <x v="1"/>
    <s v="United Kingdom"/>
    <x v="1"/>
    <x v="2"/>
    <x v="15"/>
    <n v="4"/>
    <n v="287.66000000000003"/>
    <n v="5"/>
    <n v="1093.1099999999999"/>
    <n v="15.79"/>
    <n v="386.94"/>
    <x v="0"/>
    <n v="1150.6400000000001"/>
    <n v="0.3539808436479403"/>
    <n v="1108.8999999999999"/>
  </r>
  <r>
    <x v="1142"/>
    <x v="526"/>
    <s v="Raj Thompson"/>
    <x v="2"/>
    <s v="China"/>
    <x v="3"/>
    <x v="3"/>
    <x v="16"/>
    <n v="3"/>
    <n v="55.82"/>
    <n v="5"/>
    <n v="159.09"/>
    <n v="12.34"/>
    <n v="63.02"/>
    <x v="3"/>
    <n v="167.46"/>
    <n v="0.39612797787415926"/>
    <n v="171.43"/>
  </r>
  <r>
    <x v="1143"/>
    <x v="526"/>
    <s v="Hanna Sato"/>
    <x v="1"/>
    <s v="United States"/>
    <x v="0"/>
    <x v="1"/>
    <x v="19"/>
    <n v="6"/>
    <n v="7.06"/>
    <n v="20"/>
    <n v="33.89"/>
    <n v="9.61"/>
    <n v="5.22"/>
    <x v="3"/>
    <n v="42.36"/>
    <n v="0.1540277367955149"/>
    <n v="43.5"/>
  </r>
  <r>
    <x v="1144"/>
    <x v="527"/>
    <s v="Diego Johansson"/>
    <x v="1"/>
    <s v="UAE"/>
    <x v="2"/>
    <x v="1"/>
    <x v="25"/>
    <n v="2"/>
    <n v="16.71"/>
    <n v="5"/>
    <n v="31.75"/>
    <n v="14.63"/>
    <n v="2.08"/>
    <x v="1"/>
    <n v="33.42"/>
    <n v="6.5511811023622052E-2"/>
    <n v="46.38"/>
  </r>
  <r>
    <x v="1145"/>
    <x v="527"/>
    <s v="Layla Romano"/>
    <x v="0"/>
    <s v="China"/>
    <x v="3"/>
    <x v="1"/>
    <x v="12"/>
    <n v="10"/>
    <n v="8.48"/>
    <n v="10"/>
    <n v="76.319999999999993"/>
    <n v="21.04"/>
    <n v="17.12"/>
    <x v="2"/>
    <n v="84.800000000000011"/>
    <n v="0.22431865828092246"/>
    <n v="97.359999999999985"/>
  </r>
  <r>
    <x v="1146"/>
    <x v="527"/>
    <s v="Ivan Williams"/>
    <x v="0"/>
    <s v="India"/>
    <x v="3"/>
    <x v="0"/>
    <x v="22"/>
    <n v="5"/>
    <n v="113.75"/>
    <n v="5"/>
    <n v="540.30999999999995"/>
    <n v="19.739999999999998"/>
    <n v="207.76"/>
    <x v="3"/>
    <n v="568.75"/>
    <n v="0.38451999777905277"/>
    <n v="560.04999999999995"/>
  </r>
  <r>
    <x v="1147"/>
    <x v="528"/>
    <s v="Sakura Thomas"/>
    <x v="1"/>
    <s v="United States"/>
    <x v="0"/>
    <x v="2"/>
    <x v="5"/>
    <n v="8"/>
    <n v="88.37"/>
    <n v="5"/>
    <n v="671.61"/>
    <n v="16.48"/>
    <n v="230.95"/>
    <x v="0"/>
    <n v="706.96"/>
    <n v="0.34387516564672949"/>
    <n v="688.09"/>
  </r>
  <r>
    <x v="1148"/>
    <x v="529"/>
    <s v="Nadia Taylor"/>
    <x v="0"/>
    <s v="South Africa"/>
    <x v="2"/>
    <x v="1"/>
    <x v="10"/>
    <n v="3"/>
    <n v="5.9"/>
    <n v="5"/>
    <n v="16.82"/>
    <n v="15.21"/>
    <n v="-6.36"/>
    <x v="0"/>
    <n v="17.700000000000003"/>
    <n v="-0.37812128418549346"/>
    <n v="32.03"/>
  </r>
  <r>
    <x v="1149"/>
    <x v="529"/>
    <s v="John Suzuki"/>
    <x v="2"/>
    <s v="Canada"/>
    <x v="0"/>
    <x v="3"/>
    <x v="9"/>
    <n v="1"/>
    <n v="37.979999999999997"/>
    <n v="10"/>
    <n v="34.18"/>
    <n v="7.22"/>
    <n v="7.97"/>
    <x v="1"/>
    <n v="37.979999999999997"/>
    <n v="0.2331772966647162"/>
    <n v="41.4"/>
  </r>
  <r>
    <x v="1150"/>
    <x v="529"/>
    <s v="Oscar Martinez"/>
    <x v="0"/>
    <s v="Colombia"/>
    <x v="4"/>
    <x v="3"/>
    <x v="11"/>
    <n v="5"/>
    <n v="34.24"/>
    <n v="10"/>
    <n v="154.08000000000001"/>
    <n v="20.25"/>
    <n v="48.23"/>
    <x v="1"/>
    <n v="171.20000000000002"/>
    <n v="0.31301921079958461"/>
    <n v="174.33"/>
  </r>
  <r>
    <x v="1151"/>
    <x v="529"/>
    <s v="Emma MÃ¼ller"/>
    <x v="1"/>
    <s v="Italy"/>
    <x v="1"/>
    <x v="3"/>
    <x v="11"/>
    <n v="1"/>
    <n v="99.45"/>
    <n v="15"/>
    <n v="84.53"/>
    <n v="7.83"/>
    <n v="26.98"/>
    <x v="1"/>
    <n v="99.45"/>
    <n v="0.31917662368389921"/>
    <n v="92.36"/>
  </r>
  <r>
    <x v="1152"/>
    <x v="529"/>
    <s v="Mia Costa"/>
    <x v="1"/>
    <s v="Germany"/>
    <x v="1"/>
    <x v="0"/>
    <x v="18"/>
    <n v="10"/>
    <n v="53.93"/>
    <n v="5"/>
    <n v="512.33000000000004"/>
    <n v="19.66"/>
    <n v="196.06"/>
    <x v="0"/>
    <n v="539.29999999999995"/>
    <n v="0.38268303632424411"/>
    <n v="531.99"/>
  </r>
  <r>
    <x v="1153"/>
    <x v="530"/>
    <s v="Zara Thomas"/>
    <x v="1"/>
    <s v="United States"/>
    <x v="0"/>
    <x v="3"/>
    <x v="30"/>
    <n v="6"/>
    <n v="16.760000000000002"/>
    <n v="5"/>
    <n v="95.53"/>
    <n v="8.44"/>
    <n v="36.81"/>
    <x v="2"/>
    <n v="100.56"/>
    <n v="0.38532398199518481"/>
    <n v="103.97"/>
  </r>
  <r>
    <x v="1154"/>
    <x v="531"/>
    <s v="Giulia Yamamoto"/>
    <x v="1"/>
    <s v="Australia"/>
    <x v="3"/>
    <x v="3"/>
    <x v="27"/>
    <n v="4"/>
    <n v="20.47"/>
    <n v="10"/>
    <n v="73.69"/>
    <n v="11.8"/>
    <n v="20.95"/>
    <x v="2"/>
    <n v="81.88"/>
    <n v="0.28429909078572396"/>
    <n v="85.49"/>
  </r>
  <r>
    <x v="1155"/>
    <x v="531"/>
    <s v="Hans Miller"/>
    <x v="1"/>
    <s v="Italy"/>
    <x v="1"/>
    <x v="0"/>
    <x v="22"/>
    <n v="3"/>
    <n v="135.35"/>
    <n v="5"/>
    <n v="385.75"/>
    <n v="12.11"/>
    <n v="150.31"/>
    <x v="1"/>
    <n v="406.04999999999995"/>
    <n v="0.38965651328580686"/>
    <n v="397.86"/>
  </r>
  <r>
    <x v="1156"/>
    <x v="531"/>
    <s v="Liam Schmidt"/>
    <x v="1"/>
    <s v="Australia"/>
    <x v="3"/>
    <x v="1"/>
    <x v="23"/>
    <n v="4"/>
    <n v="13.9"/>
    <n v="0"/>
    <n v="55.6"/>
    <n v="11.78"/>
    <n v="18.8"/>
    <x v="1"/>
    <n v="55.6"/>
    <n v="0.33812949640287771"/>
    <n v="67.38"/>
  </r>
  <r>
    <x v="1157"/>
    <x v="531"/>
    <s v="Olivia Sharma"/>
    <x v="1"/>
    <s v="Mexico"/>
    <x v="0"/>
    <x v="0"/>
    <x v="0"/>
    <n v="4"/>
    <n v="58.38"/>
    <n v="0"/>
    <n v="233.52"/>
    <n v="13.39"/>
    <n v="91.69"/>
    <x v="2"/>
    <n v="233.52"/>
    <n v="0.3926430284343953"/>
    <n v="246.91000000000003"/>
  </r>
  <r>
    <x v="1158"/>
    <x v="531"/>
    <s v="John Wang"/>
    <x v="2"/>
    <s v="Australia"/>
    <x v="3"/>
    <x v="3"/>
    <x v="30"/>
    <n v="2"/>
    <n v="21.81"/>
    <n v="10"/>
    <n v="39.26"/>
    <n v="12.21"/>
    <n v="5.24"/>
    <x v="3"/>
    <n v="43.62"/>
    <n v="0.13346917982679574"/>
    <n v="51.47"/>
  </r>
  <r>
    <x v="1159"/>
    <x v="531"/>
    <s v="Mia Jones"/>
    <x v="2"/>
    <s v="France"/>
    <x v="1"/>
    <x v="3"/>
    <x v="26"/>
    <n v="8"/>
    <n v="48.56"/>
    <n v="5"/>
    <n v="369.06"/>
    <n v="24.35"/>
    <n v="150.47"/>
    <x v="2"/>
    <n v="388.48"/>
    <n v="0.40771148322765943"/>
    <n v="393.41"/>
  </r>
  <r>
    <x v="1160"/>
    <x v="531"/>
    <s v="Layla Patel"/>
    <x v="1"/>
    <s v="Mexico"/>
    <x v="0"/>
    <x v="2"/>
    <x v="14"/>
    <n v="1"/>
    <n v="371.21"/>
    <n v="10"/>
    <n v="334.09"/>
    <n v="5.6"/>
    <n v="105.76"/>
    <x v="1"/>
    <n v="371.21"/>
    <n v="0.31656140560926699"/>
    <n v="339.69"/>
  </r>
  <r>
    <x v="1161"/>
    <x v="532"/>
    <s v="Linda Weber"/>
    <x v="0"/>
    <s v="Japan"/>
    <x v="3"/>
    <x v="2"/>
    <x v="14"/>
    <n v="10"/>
    <n v="345.3"/>
    <n v="20"/>
    <n v="2762.4"/>
    <n v="32.74"/>
    <n v="657.86"/>
    <x v="1"/>
    <n v="3453"/>
    <n v="0.23814798725745728"/>
    <n v="2795.14"/>
  </r>
  <r>
    <x v="1162"/>
    <x v="532"/>
    <s v="Yuki Sharma"/>
    <x v="0"/>
    <s v="Mexico"/>
    <x v="0"/>
    <x v="3"/>
    <x v="33"/>
    <n v="3"/>
    <n v="51.23"/>
    <n v="25"/>
    <n v="115.27"/>
    <n v="9.6"/>
    <n v="28.82"/>
    <x v="0"/>
    <n v="153.69"/>
    <n v="0.25002168821028892"/>
    <n v="124.86999999999999"/>
  </r>
  <r>
    <x v="1163"/>
    <x v="532"/>
    <s v="Maria Yamamoto"/>
    <x v="1"/>
    <s v="China"/>
    <x v="3"/>
    <x v="2"/>
    <x v="32"/>
    <n v="8"/>
    <n v="35.17"/>
    <n v="5"/>
    <n v="267.29000000000002"/>
    <n v="25.72"/>
    <n v="72.75"/>
    <x v="1"/>
    <n v="281.36"/>
    <n v="0.27217628792697068"/>
    <n v="293.01"/>
  </r>
  <r>
    <x v="1164"/>
    <x v="533"/>
    <s v="Omar Jackson"/>
    <x v="2"/>
    <s v="Canada"/>
    <x v="0"/>
    <x v="3"/>
    <x v="37"/>
    <n v="2"/>
    <n v="66.94"/>
    <n v="0"/>
    <n v="133.88"/>
    <n v="9.1199999999999992"/>
    <n v="57.82"/>
    <x v="2"/>
    <n v="133.88"/>
    <n v="0.43187929489094712"/>
    <n v="143"/>
  </r>
  <r>
    <x v="1165"/>
    <x v="533"/>
    <s v="Michael Ferrari"/>
    <x v="1"/>
    <s v="Italy"/>
    <x v="1"/>
    <x v="0"/>
    <x v="29"/>
    <n v="1"/>
    <n v="26.72"/>
    <n v="0"/>
    <n v="26.72"/>
    <n v="9.0399999999999991"/>
    <n v="2.98"/>
    <x v="1"/>
    <n v="26.72"/>
    <n v="0.11152694610778444"/>
    <n v="35.76"/>
  </r>
  <r>
    <x v="1166"/>
    <x v="533"/>
    <s v="Nadia Wang"/>
    <x v="1"/>
    <s v="Spain"/>
    <x v="1"/>
    <x v="2"/>
    <x v="8"/>
    <n v="9"/>
    <n v="115.8"/>
    <n v="20"/>
    <n v="833.76"/>
    <n v="26.5"/>
    <n v="181.94"/>
    <x v="3"/>
    <n v="1042.2"/>
    <n v="0.21821627326808674"/>
    <n v="860.26"/>
  </r>
  <r>
    <x v="1167"/>
    <x v="533"/>
    <s v="Nadia Martinez"/>
    <x v="0"/>
    <s v="Mexico"/>
    <x v="0"/>
    <x v="1"/>
    <x v="10"/>
    <n v="2"/>
    <n v="9.2799999999999994"/>
    <n v="20"/>
    <n v="14.85"/>
    <n v="8.0399999999999991"/>
    <n v="-1.54"/>
    <x v="1"/>
    <n v="18.559999999999999"/>
    <n v="-0.10370370370370371"/>
    <n v="22.89"/>
  </r>
  <r>
    <x v="1168"/>
    <x v="533"/>
    <s v="Raj Schmidt"/>
    <x v="1"/>
    <s v="China"/>
    <x v="3"/>
    <x v="1"/>
    <x v="6"/>
    <n v="3"/>
    <n v="17.78"/>
    <n v="0"/>
    <n v="53.34"/>
    <n v="13.47"/>
    <n v="15.87"/>
    <x v="1"/>
    <n v="53.34"/>
    <n v="0.29752530933633292"/>
    <n v="66.81"/>
  </r>
  <r>
    <x v="1169"/>
    <x v="534"/>
    <s v="Li Miller"/>
    <x v="1"/>
    <s v="United Kingdom"/>
    <x v="1"/>
    <x v="2"/>
    <x v="15"/>
    <n v="4"/>
    <n v="275.12"/>
    <n v="5"/>
    <n v="1045.46"/>
    <n v="13.94"/>
    <n v="371.23"/>
    <x v="2"/>
    <n v="1100.48"/>
    <n v="0.35508771258584737"/>
    <n v="1059.4000000000001"/>
  </r>
  <r>
    <x v="1170"/>
    <x v="534"/>
    <s v="Richard Santos"/>
    <x v="1"/>
    <s v="India"/>
    <x v="3"/>
    <x v="0"/>
    <x v="3"/>
    <n v="5"/>
    <n v="53.38"/>
    <n v="10"/>
    <n v="240.21"/>
    <n v="11.59"/>
    <n v="81.819999999999993"/>
    <x v="3"/>
    <n v="266.90000000000003"/>
    <n v="0.34061862536946835"/>
    <n v="251.8"/>
  </r>
  <r>
    <x v="1171"/>
    <x v="535"/>
    <s v="Jessica Taylor"/>
    <x v="1"/>
    <s v="UAE"/>
    <x v="2"/>
    <x v="3"/>
    <x v="37"/>
    <n v="2"/>
    <n v="77.59"/>
    <n v="10"/>
    <n v="139.66"/>
    <n v="15.29"/>
    <n v="46.78"/>
    <x v="2"/>
    <n v="155.18"/>
    <n v="0.33495632249749391"/>
    <n v="154.94999999999999"/>
  </r>
  <r>
    <x v="1172"/>
    <x v="535"/>
    <s v="Wei Li"/>
    <x v="1"/>
    <s v="China"/>
    <x v="3"/>
    <x v="1"/>
    <x v="38"/>
    <n v="6"/>
    <n v="7"/>
    <n v="5"/>
    <n v="39.9"/>
    <n v="18.09"/>
    <n v="2.91"/>
    <x v="1"/>
    <n v="42"/>
    <n v="7.2932330827067682E-2"/>
    <n v="57.989999999999995"/>
  </r>
  <r>
    <x v="1173"/>
    <x v="535"/>
    <s v="Patricia Santos"/>
    <x v="2"/>
    <s v="China"/>
    <x v="3"/>
    <x v="3"/>
    <x v="9"/>
    <n v="1"/>
    <n v="61.38"/>
    <n v="10"/>
    <n v="55.24"/>
    <n v="10.68"/>
    <n v="13.87"/>
    <x v="0"/>
    <n v="61.38"/>
    <n v="0.251086169442433"/>
    <n v="65.92"/>
  </r>
  <r>
    <x v="1174"/>
    <x v="536"/>
    <s v="Linda Rodriguez"/>
    <x v="0"/>
    <s v="Mexico"/>
    <x v="0"/>
    <x v="1"/>
    <x v="17"/>
    <n v="7"/>
    <n v="9.7899999999999991"/>
    <n v="30"/>
    <n v="47.97"/>
    <n v="15.8"/>
    <n v="1.33"/>
    <x v="2"/>
    <n v="68.53"/>
    <n v="2.7725661872003336E-2"/>
    <n v="63.769999999999996"/>
  </r>
  <r>
    <x v="1175"/>
    <x v="536"/>
    <s v="Wei Khan"/>
    <x v="1"/>
    <s v="Mexico"/>
    <x v="0"/>
    <x v="1"/>
    <x v="25"/>
    <n v="1"/>
    <n v="8.5399999999999991"/>
    <n v="0"/>
    <n v="8.5399999999999991"/>
    <n v="7.42"/>
    <n v="-2.72"/>
    <x v="2"/>
    <n v="8.5399999999999991"/>
    <n v="-0.31850117096018743"/>
    <n v="15.959999999999999"/>
  </r>
  <r>
    <x v="1176"/>
    <x v="537"/>
    <s v="Kenji Jones"/>
    <x v="0"/>
    <s v="Canada"/>
    <x v="0"/>
    <x v="3"/>
    <x v="27"/>
    <n v="1"/>
    <n v="26.92"/>
    <n v="15"/>
    <n v="22.88"/>
    <n v="6.91"/>
    <n v="2.5099999999999998"/>
    <x v="1"/>
    <n v="26.92"/>
    <n v="0.1097027972027972"/>
    <n v="29.79"/>
  </r>
  <r>
    <x v="1177"/>
    <x v="538"/>
    <s v="Isabella Schmidt"/>
    <x v="1"/>
    <s v="Argentina"/>
    <x v="4"/>
    <x v="3"/>
    <x v="16"/>
    <n v="1"/>
    <n v="29.08"/>
    <n v="15"/>
    <n v="24.72"/>
    <n v="11.98"/>
    <n v="-1.8"/>
    <x v="1"/>
    <n v="29.08"/>
    <n v="-7.2815533980582534E-2"/>
    <n v="36.700000000000003"/>
  </r>
  <r>
    <x v="1178"/>
    <x v="538"/>
    <s v="Maria Johnson"/>
    <x v="0"/>
    <s v="United States"/>
    <x v="0"/>
    <x v="0"/>
    <x v="3"/>
    <n v="9"/>
    <n v="45.48"/>
    <n v="20"/>
    <n v="327.45999999999998"/>
    <n v="10.43"/>
    <n v="91.9"/>
    <x v="1"/>
    <n v="409.32"/>
    <n v="0.28064496427044527"/>
    <n v="337.89"/>
  </r>
  <r>
    <x v="1179"/>
    <x v="538"/>
    <s v="Sophie Johansson"/>
    <x v="0"/>
    <s v="Saudi Arabia"/>
    <x v="2"/>
    <x v="1"/>
    <x v="10"/>
    <n v="1"/>
    <n v="4.87"/>
    <n v="15"/>
    <n v="4.1399999999999997"/>
    <n v="12.43"/>
    <n v="-10.48"/>
    <x v="3"/>
    <n v="4.87"/>
    <n v="-2.531400966183575"/>
    <n v="16.57"/>
  </r>
  <r>
    <x v="1180"/>
    <x v="539"/>
    <s v="Li MÃ¼ller"/>
    <x v="0"/>
    <s v="Japan"/>
    <x v="3"/>
    <x v="0"/>
    <x v="29"/>
    <n v="3"/>
    <n v="19.93"/>
    <n v="25"/>
    <n v="44.84"/>
    <n v="13.57"/>
    <n v="-1.61"/>
    <x v="1"/>
    <n v="59.79"/>
    <n v="-3.5905441570026758E-2"/>
    <n v="58.410000000000004"/>
  </r>
  <r>
    <x v="1181"/>
    <x v="540"/>
    <s v="Lucas Park"/>
    <x v="1"/>
    <s v="Saudi Arabia"/>
    <x v="2"/>
    <x v="2"/>
    <x v="14"/>
    <n v="1"/>
    <n v="239.53"/>
    <n v="25"/>
    <n v="179.65"/>
    <n v="12.02"/>
    <n v="23.91"/>
    <x v="2"/>
    <n v="239.53"/>
    <n v="0.13309212357361536"/>
    <n v="191.67000000000002"/>
  </r>
  <r>
    <x v="1182"/>
    <x v="540"/>
    <s v="Ivan Romano"/>
    <x v="1"/>
    <s v="China"/>
    <x v="3"/>
    <x v="1"/>
    <x v="23"/>
    <n v="1"/>
    <n v="17.329999999999998"/>
    <n v="25"/>
    <n v="13"/>
    <n v="11.28"/>
    <n v="-6.08"/>
    <x v="1"/>
    <n v="17.329999999999998"/>
    <n v="-0.46769230769230768"/>
    <n v="24.28"/>
  </r>
  <r>
    <x v="1183"/>
    <x v="540"/>
    <s v="Thomas Johnson"/>
    <x v="0"/>
    <s v="United States"/>
    <x v="0"/>
    <x v="2"/>
    <x v="15"/>
    <n v="1"/>
    <n v="292.37"/>
    <n v="15"/>
    <n v="248.51"/>
    <n v="5.62"/>
    <n v="67.47"/>
    <x v="1"/>
    <n v="292.37"/>
    <n v="0.27149812884793367"/>
    <n v="254.13"/>
  </r>
  <r>
    <x v="1184"/>
    <x v="541"/>
    <s v="Zara Hassan"/>
    <x v="1"/>
    <s v="United States"/>
    <x v="0"/>
    <x v="1"/>
    <x v="20"/>
    <n v="1"/>
    <n v="13.36"/>
    <n v="0"/>
    <n v="13.36"/>
    <n v="7.32"/>
    <n v="0.03"/>
    <x v="1"/>
    <n v="13.36"/>
    <n v="2.2455089820359281E-3"/>
    <n v="20.68"/>
  </r>
  <r>
    <x v="1185"/>
    <x v="542"/>
    <s v="Thomas Jackson"/>
    <x v="2"/>
    <s v="South Africa"/>
    <x v="2"/>
    <x v="1"/>
    <x v="25"/>
    <n v="3"/>
    <n v="12.11"/>
    <n v="0"/>
    <n v="36.33"/>
    <n v="14.03"/>
    <n v="5.95"/>
    <x v="1"/>
    <n v="36.33"/>
    <n v="0.16377649325626206"/>
    <n v="50.36"/>
  </r>
  <r>
    <x v="1186"/>
    <x v="542"/>
    <s v="Ingrid Martinez"/>
    <x v="2"/>
    <s v="Canada"/>
    <x v="0"/>
    <x v="2"/>
    <x v="36"/>
    <n v="5"/>
    <n v="94.04"/>
    <n v="5"/>
    <n v="446.69"/>
    <n v="14.2"/>
    <n v="150.37"/>
    <x v="2"/>
    <n v="470.20000000000005"/>
    <n v="0.33663166849492937"/>
    <n v="460.89"/>
  </r>
  <r>
    <x v="1187"/>
    <x v="543"/>
    <s v="Elizabeth Patel"/>
    <x v="1"/>
    <s v="Argentina"/>
    <x v="4"/>
    <x v="0"/>
    <x v="7"/>
    <n v="1"/>
    <n v="40.25"/>
    <n v="5"/>
    <n v="38.24"/>
    <n v="12.49"/>
    <n v="3.61"/>
    <x v="1"/>
    <n v="40.25"/>
    <n v="9.4403765690376562E-2"/>
    <n v="50.730000000000004"/>
  </r>
  <r>
    <x v="1188"/>
    <x v="543"/>
    <s v="Susan Patel"/>
    <x v="0"/>
    <s v="Italy"/>
    <x v="1"/>
    <x v="0"/>
    <x v="29"/>
    <n v="2"/>
    <n v="24.54"/>
    <n v="15"/>
    <n v="41.72"/>
    <n v="10.57"/>
    <n v="4.16"/>
    <x v="2"/>
    <n v="49.08"/>
    <n v="9.9712368168744014E-2"/>
    <n v="52.29"/>
  </r>
  <r>
    <x v="1189"/>
    <x v="544"/>
    <s v="Hanna Thomas"/>
    <x v="0"/>
    <s v="Germany"/>
    <x v="1"/>
    <x v="0"/>
    <x v="22"/>
    <n v="2"/>
    <n v="96.97"/>
    <n v="15"/>
    <n v="164.85"/>
    <n v="8.99"/>
    <n v="49.19"/>
    <x v="2"/>
    <n v="193.94"/>
    <n v="0.29839247801031238"/>
    <n v="173.84"/>
  </r>
  <r>
    <x v="1190"/>
    <x v="544"/>
    <s v="Richard Jackson"/>
    <x v="2"/>
    <s v="United Kingdom"/>
    <x v="1"/>
    <x v="1"/>
    <x v="25"/>
    <n v="7"/>
    <n v="16.12"/>
    <n v="15"/>
    <n v="95.91"/>
    <n v="12.12"/>
    <n v="33.01"/>
    <x v="0"/>
    <n v="112.84"/>
    <n v="0.3441768324470858"/>
    <n v="108.03"/>
  </r>
  <r>
    <x v="1191"/>
    <x v="545"/>
    <s v="Olivia Nilsson"/>
    <x v="2"/>
    <s v="Australia"/>
    <x v="3"/>
    <x v="0"/>
    <x v="29"/>
    <n v="2"/>
    <n v="36.840000000000003"/>
    <n v="20"/>
    <n v="58.94"/>
    <n v="10.85"/>
    <n v="7.57"/>
    <x v="1"/>
    <n v="73.680000000000007"/>
    <n v="0.12843569731930779"/>
    <n v="69.789999999999992"/>
  </r>
  <r>
    <x v="1192"/>
    <x v="545"/>
    <s v="Giulia Li"/>
    <x v="1"/>
    <s v="South Africa"/>
    <x v="2"/>
    <x v="3"/>
    <x v="13"/>
    <n v="1"/>
    <n v="130.63"/>
    <n v="20"/>
    <n v="104.5"/>
    <n v="11.85"/>
    <n v="27.34"/>
    <x v="0"/>
    <n v="130.63"/>
    <n v="0.26162679425837321"/>
    <n v="116.35"/>
  </r>
  <r>
    <x v="1193"/>
    <x v="545"/>
    <s v="Fatima Williams"/>
    <x v="0"/>
    <s v="Italy"/>
    <x v="1"/>
    <x v="3"/>
    <x v="37"/>
    <n v="7"/>
    <n v="46.74"/>
    <n v="10"/>
    <n v="294.45999999999998"/>
    <n v="12.49"/>
    <n v="118.38"/>
    <x v="3"/>
    <n v="327.18"/>
    <n v="0.40202404401276914"/>
    <n v="306.95"/>
  </r>
  <r>
    <x v="1194"/>
    <x v="545"/>
    <s v="Amina Harris"/>
    <x v="1"/>
    <s v="United States"/>
    <x v="0"/>
    <x v="0"/>
    <x v="7"/>
    <n v="2"/>
    <n v="38.76"/>
    <n v="5"/>
    <n v="73.64"/>
    <n v="6.68"/>
    <n v="24.32"/>
    <x v="1"/>
    <n v="77.52"/>
    <n v="0.33025529603476372"/>
    <n v="80.319999999999993"/>
  </r>
  <r>
    <x v="1195"/>
    <x v="546"/>
    <s v="David Rodriguez"/>
    <x v="1"/>
    <s v="South Korea"/>
    <x v="3"/>
    <x v="2"/>
    <x v="8"/>
    <n v="3"/>
    <n v="87.75"/>
    <n v="10"/>
    <n v="236.93"/>
    <n v="11.1"/>
    <n v="67.88"/>
    <x v="3"/>
    <n v="263.25"/>
    <n v="0.28649812180812895"/>
    <n v="248.03"/>
  </r>
  <r>
    <x v="1196"/>
    <x v="546"/>
    <s v="Hanna Weber"/>
    <x v="0"/>
    <s v="China"/>
    <x v="3"/>
    <x v="1"/>
    <x v="2"/>
    <n v="8"/>
    <n v="10.52"/>
    <n v="20"/>
    <n v="67.33"/>
    <n v="19.22"/>
    <n v="10.24"/>
    <x v="1"/>
    <n v="84.16"/>
    <n v="0.15208673696717659"/>
    <n v="86.55"/>
  </r>
  <r>
    <x v="1197"/>
    <x v="546"/>
    <s v="William Ferrari"/>
    <x v="0"/>
    <s v="United Kingdom"/>
    <x v="1"/>
    <x v="1"/>
    <x v="20"/>
    <n v="3"/>
    <n v="13.97"/>
    <n v="0"/>
    <n v="41.91"/>
    <n v="10.72"/>
    <n v="12.33"/>
    <x v="3"/>
    <n v="41.910000000000004"/>
    <n v="0.294201861130995"/>
    <n v="52.629999999999995"/>
  </r>
  <r>
    <x v="1198"/>
    <x v="546"/>
    <s v="Ava Miller"/>
    <x v="1"/>
    <s v="China"/>
    <x v="3"/>
    <x v="0"/>
    <x v="3"/>
    <n v="5"/>
    <n v="51.41"/>
    <n v="5"/>
    <n v="244.2"/>
    <n v="16.43"/>
    <n v="86.39"/>
    <x v="2"/>
    <n v="257.04999999999995"/>
    <n v="0.35376740376740379"/>
    <n v="260.63"/>
  </r>
  <r>
    <x v="1199"/>
    <x v="546"/>
    <s v="Giulia Brown"/>
    <x v="1"/>
    <s v="Spain"/>
    <x v="1"/>
    <x v="0"/>
    <x v="29"/>
    <n v="4"/>
    <n v="23.76"/>
    <n v="0"/>
    <n v="95.04"/>
    <n v="14.61"/>
    <n v="28.16"/>
    <x v="0"/>
    <n v="95.04"/>
    <n v="0.29629629629629628"/>
    <n v="109.65"/>
  </r>
  <r>
    <x v="1200"/>
    <x v="547"/>
    <s v="Marco Rodriguez"/>
    <x v="1"/>
    <s v="Australia"/>
    <x v="3"/>
    <x v="3"/>
    <x v="26"/>
    <n v="1"/>
    <n v="47.84"/>
    <n v="5"/>
    <n v="45.45"/>
    <n v="11.34"/>
    <n v="10.19"/>
    <x v="2"/>
    <n v="47.84"/>
    <n v="0.22420242024202416"/>
    <n v="56.790000000000006"/>
  </r>
  <r>
    <x v="1201"/>
    <x v="548"/>
    <s v="Li Rossi"/>
    <x v="0"/>
    <s v="Brazil"/>
    <x v="4"/>
    <x v="0"/>
    <x v="28"/>
    <n v="3"/>
    <n v="45.95"/>
    <n v="15"/>
    <n v="117.17"/>
    <n v="15.95"/>
    <n v="25.4"/>
    <x v="0"/>
    <n v="137.85000000000002"/>
    <n v="0.21677903900315779"/>
    <n v="133.12"/>
  </r>
  <r>
    <x v="1202"/>
    <x v="548"/>
    <s v="Omar Thomas"/>
    <x v="1"/>
    <s v="Italy"/>
    <x v="1"/>
    <x v="3"/>
    <x v="30"/>
    <n v="7"/>
    <n v="16.16"/>
    <n v="0"/>
    <n v="113.12"/>
    <n v="13.07"/>
    <n v="43.49"/>
    <x v="3"/>
    <n v="113.12"/>
    <n v="0.38445898161244696"/>
    <n v="126.19"/>
  </r>
  <r>
    <x v="1203"/>
    <x v="549"/>
    <s v="Barbara Miller"/>
    <x v="1"/>
    <s v="China"/>
    <x v="3"/>
    <x v="3"/>
    <x v="24"/>
    <n v="2"/>
    <n v="39.32"/>
    <n v="5"/>
    <n v="74.709999999999994"/>
    <n v="13.59"/>
    <n v="21.8"/>
    <x v="1"/>
    <n v="78.64"/>
    <n v="0.29179494043635396"/>
    <n v="88.3"/>
  </r>
  <r>
    <x v="1204"/>
    <x v="549"/>
    <s v="Mary White"/>
    <x v="1"/>
    <s v="United States"/>
    <x v="0"/>
    <x v="2"/>
    <x v="39"/>
    <n v="3"/>
    <n v="210.89"/>
    <n v="5"/>
    <n v="601.04"/>
    <n v="11.78"/>
    <n v="209.66"/>
    <x v="0"/>
    <n v="632.66999999999996"/>
    <n v="0.34882869692532942"/>
    <n v="612.81999999999994"/>
  </r>
  <r>
    <x v="1205"/>
    <x v="549"/>
    <s v="Raj Sato"/>
    <x v="0"/>
    <s v="Brazil"/>
    <x v="4"/>
    <x v="1"/>
    <x v="2"/>
    <n v="9"/>
    <n v="11.89"/>
    <n v="10"/>
    <n v="96.31"/>
    <n v="25.6"/>
    <n v="22.56"/>
    <x v="2"/>
    <n v="107.01"/>
    <n v="0.23424358841241821"/>
    <n v="121.91"/>
  </r>
  <r>
    <x v="1206"/>
    <x v="550"/>
    <s v="Layla Garcia"/>
    <x v="0"/>
    <s v="United States"/>
    <x v="0"/>
    <x v="2"/>
    <x v="4"/>
    <n v="2"/>
    <n v="177.54"/>
    <n v="25"/>
    <n v="266.31"/>
    <n v="6.95"/>
    <n v="46.31"/>
    <x v="1"/>
    <n v="355.08"/>
    <n v="0.17389508467575382"/>
    <n v="273.26"/>
  </r>
  <r>
    <x v="1207"/>
    <x v="550"/>
    <s v="David Schmidt"/>
    <x v="1"/>
    <s v="Germany"/>
    <x v="1"/>
    <x v="3"/>
    <x v="37"/>
    <n v="12"/>
    <n v="42.25"/>
    <n v="0"/>
    <n v="507"/>
    <n v="23.04"/>
    <n v="230.46"/>
    <x v="3"/>
    <n v="507"/>
    <n v="0.45455621301775151"/>
    <n v="530.04"/>
  </r>
  <r>
    <x v="1208"/>
    <x v="550"/>
    <s v="Priya Sato"/>
    <x v="1"/>
    <s v="Spain"/>
    <x v="1"/>
    <x v="1"/>
    <x v="19"/>
    <n v="2"/>
    <n v="10.34"/>
    <n v="10"/>
    <n v="18.61"/>
    <n v="11.42"/>
    <n v="-2.12"/>
    <x v="0"/>
    <n v="20.68"/>
    <n v="-0.11391724879097261"/>
    <n v="30.03"/>
  </r>
  <r>
    <x v="1209"/>
    <x v="550"/>
    <s v="Carlos Davis"/>
    <x v="2"/>
    <s v="Australia"/>
    <x v="3"/>
    <x v="2"/>
    <x v="21"/>
    <n v="2"/>
    <n v="54.34"/>
    <n v="10"/>
    <n v="97.81"/>
    <n v="11.65"/>
    <n v="20.95"/>
    <x v="1"/>
    <n v="108.68"/>
    <n v="0.21419077803905531"/>
    <n v="109.46000000000001"/>
  </r>
  <r>
    <x v="1210"/>
    <x v="550"/>
    <s v="Fatima Singh"/>
    <x v="0"/>
    <s v="UAE"/>
    <x v="2"/>
    <x v="3"/>
    <x v="27"/>
    <n v="12"/>
    <n v="61.78"/>
    <n v="5"/>
    <n v="704.29"/>
    <n v="20.350000000000001"/>
    <n v="313.26"/>
    <x v="2"/>
    <n v="741.36"/>
    <n v="0.44478836842777836"/>
    <n v="724.64"/>
  </r>
  <r>
    <x v="1211"/>
    <x v="550"/>
    <s v="Barbara Moreau"/>
    <x v="2"/>
    <s v="South Africa"/>
    <x v="2"/>
    <x v="1"/>
    <x v="20"/>
    <n v="2"/>
    <n v="17.350000000000001"/>
    <n v="0"/>
    <n v="34.700000000000003"/>
    <n v="14.15"/>
    <n v="4.9400000000000004"/>
    <x v="2"/>
    <n v="34.700000000000003"/>
    <n v="0.14236311239193083"/>
    <n v="48.85"/>
  </r>
  <r>
    <x v="1212"/>
    <x v="551"/>
    <s v="Christopher Fischer"/>
    <x v="1"/>
    <s v="United Kingdom"/>
    <x v="1"/>
    <x v="1"/>
    <x v="38"/>
    <n v="2"/>
    <n v="8.2899999999999991"/>
    <n v="0"/>
    <n v="16.579999999999998"/>
    <n v="8.77"/>
    <n v="0.35"/>
    <x v="2"/>
    <n v="16.579999999999998"/>
    <n v="2.1109770808202654E-2"/>
    <n v="25.349999999999998"/>
  </r>
  <r>
    <x v="1213"/>
    <x v="552"/>
    <s v="James Harris"/>
    <x v="1"/>
    <s v="India"/>
    <x v="3"/>
    <x v="2"/>
    <x v="21"/>
    <n v="5"/>
    <n v="83.62"/>
    <n v="5"/>
    <n v="397.19"/>
    <n v="12.72"/>
    <n v="133.61000000000001"/>
    <x v="2"/>
    <n v="418.1"/>
    <n v="0.33638812658928979"/>
    <n v="409.91"/>
  </r>
  <r>
    <x v="1214"/>
    <x v="552"/>
    <s v="Layla Garcia"/>
    <x v="1"/>
    <s v="France"/>
    <x v="1"/>
    <x v="0"/>
    <x v="1"/>
    <n v="2"/>
    <n v="144.76"/>
    <n v="15"/>
    <n v="246.09"/>
    <n v="11.27"/>
    <n v="75.58"/>
    <x v="2"/>
    <n v="289.52"/>
    <n v="0.30712341013450362"/>
    <n v="257.36"/>
  </r>
  <r>
    <x v="1215"/>
    <x v="553"/>
    <s v="Ingrid Sato"/>
    <x v="1"/>
    <s v="Canada"/>
    <x v="0"/>
    <x v="2"/>
    <x v="5"/>
    <n v="1"/>
    <n v="88.95"/>
    <n v="5"/>
    <n v="84.5"/>
    <n v="7.1"/>
    <n v="24.03"/>
    <x v="0"/>
    <n v="88.95"/>
    <n v="0.28437869822485207"/>
    <n v="91.6"/>
  </r>
  <r>
    <x v="1216"/>
    <x v="553"/>
    <s v="Zara Fischer"/>
    <x v="1"/>
    <s v="India"/>
    <x v="3"/>
    <x v="2"/>
    <x v="21"/>
    <n v="1"/>
    <n v="44.69"/>
    <n v="0"/>
    <n v="44.69"/>
    <n v="10.64"/>
    <n v="7.24"/>
    <x v="0"/>
    <n v="44.69"/>
    <n v="0.16200492280152159"/>
    <n v="55.33"/>
  </r>
  <r>
    <x v="1217"/>
    <x v="553"/>
    <s v="Chen Patel"/>
    <x v="2"/>
    <s v="Japan"/>
    <x v="3"/>
    <x v="3"/>
    <x v="11"/>
    <n v="2"/>
    <n v="106.07"/>
    <n v="10"/>
    <n v="190.93"/>
    <n v="12.94"/>
    <n v="71.92"/>
    <x v="0"/>
    <n v="212.14"/>
    <n v="0.3766825538155345"/>
    <n v="203.87"/>
  </r>
  <r>
    <x v="1218"/>
    <x v="553"/>
    <s v="Sakura Ahmed"/>
    <x v="0"/>
    <s v="United Kingdom"/>
    <x v="1"/>
    <x v="2"/>
    <x v="32"/>
    <n v="3"/>
    <n v="55.43"/>
    <n v="15"/>
    <n v="141.35"/>
    <n v="13.74"/>
    <n v="27.84"/>
    <x v="0"/>
    <n v="166.29"/>
    <n v="0.19695790590732226"/>
    <n v="155.09"/>
  </r>
  <r>
    <x v="1219"/>
    <x v="553"/>
    <s v="Elizabeth Johnson"/>
    <x v="2"/>
    <s v="Canada"/>
    <x v="0"/>
    <x v="0"/>
    <x v="7"/>
    <n v="7"/>
    <n v="58.73"/>
    <n v="0"/>
    <n v="411.11"/>
    <n v="19.170000000000002"/>
    <n v="165.83"/>
    <x v="3"/>
    <n v="411.10999999999996"/>
    <n v="0.40337136046313643"/>
    <n v="430.28000000000003"/>
  </r>
  <r>
    <x v="1220"/>
    <x v="554"/>
    <s v="Ethan Sato"/>
    <x v="1"/>
    <s v="China"/>
    <x v="3"/>
    <x v="2"/>
    <x v="14"/>
    <n v="9"/>
    <n v="215.11"/>
    <n v="15"/>
    <n v="1645.59"/>
    <n v="23.4"/>
    <n v="460.6"/>
    <x v="2"/>
    <n v="1935.9900000000002"/>
    <n v="0.27989961047405493"/>
    <n v="1668.99"/>
  </r>
  <r>
    <x v="1221"/>
    <x v="555"/>
    <s v="Elizabeth Wang"/>
    <x v="0"/>
    <s v="United States"/>
    <x v="0"/>
    <x v="0"/>
    <x v="1"/>
    <n v="3"/>
    <n v="86.2"/>
    <n v="10"/>
    <n v="232.74"/>
    <n v="10.84"/>
    <n v="79.67"/>
    <x v="0"/>
    <n v="258.60000000000002"/>
    <n v="0.3423133109908052"/>
    <n v="243.58"/>
  </r>
  <r>
    <x v="1222"/>
    <x v="555"/>
    <s v="Mia Laurent"/>
    <x v="0"/>
    <s v="Germany"/>
    <x v="1"/>
    <x v="3"/>
    <x v="33"/>
    <n v="4"/>
    <n v="21.57"/>
    <n v="10"/>
    <n v="77.650000000000006"/>
    <n v="11.54"/>
    <n v="22.97"/>
    <x v="1"/>
    <n v="86.28"/>
    <n v="0.29581455247907273"/>
    <n v="89.19"/>
  </r>
  <r>
    <x v="1223"/>
    <x v="555"/>
    <s v="Linda Thompson"/>
    <x v="1"/>
    <s v="France"/>
    <x v="1"/>
    <x v="1"/>
    <x v="6"/>
    <n v="5"/>
    <n v="20.84"/>
    <n v="0"/>
    <n v="104.2"/>
    <n v="15.39"/>
    <n v="41.92"/>
    <x v="2"/>
    <n v="104.2"/>
    <n v="0.40230326295585411"/>
    <n v="119.59"/>
  </r>
  <r>
    <x v="1224"/>
    <x v="556"/>
    <s v="Fatima Zhang"/>
    <x v="1"/>
    <s v="United States"/>
    <x v="0"/>
    <x v="1"/>
    <x v="38"/>
    <n v="2"/>
    <n v="6.32"/>
    <n v="0"/>
    <n v="12.64"/>
    <n v="8.56"/>
    <n v="-1.61"/>
    <x v="2"/>
    <n v="12.64"/>
    <n v="-0.127373417721519"/>
    <n v="21.200000000000003"/>
  </r>
  <r>
    <x v="1225"/>
    <x v="557"/>
    <s v="Mary Fischer"/>
    <x v="1"/>
    <s v="Colombia"/>
    <x v="4"/>
    <x v="2"/>
    <x v="32"/>
    <n v="1"/>
    <n v="40.909999999999997"/>
    <n v="20"/>
    <n v="32.729999999999997"/>
    <n v="12"/>
    <n v="-3.82"/>
    <x v="3"/>
    <n v="40.909999999999997"/>
    <n v="-0.11671249618087383"/>
    <n v="44.73"/>
  </r>
  <r>
    <x v="1226"/>
    <x v="557"/>
    <s v="Hanna Sharma"/>
    <x v="2"/>
    <s v="China"/>
    <x v="3"/>
    <x v="2"/>
    <x v="39"/>
    <n v="8"/>
    <n v="171.68"/>
    <n v="10"/>
    <n v="1236.0999999999999"/>
    <n v="16.97"/>
    <n v="395.07"/>
    <x v="2"/>
    <n v="1373.44"/>
    <n v="0.31961006391068686"/>
    <n v="1253.07"/>
  </r>
  <r>
    <x v="1227"/>
    <x v="557"/>
    <s v="Ayumi Laurent"/>
    <x v="1"/>
    <s v="Argentina"/>
    <x v="4"/>
    <x v="2"/>
    <x v="36"/>
    <n v="2"/>
    <n v="288.51"/>
    <n v="0"/>
    <n v="577.02"/>
    <n v="13.32"/>
    <n v="217.49"/>
    <x v="3"/>
    <n v="577.02"/>
    <n v="0.37691934421683826"/>
    <n v="590.34"/>
  </r>
  <r>
    <x v="1228"/>
    <x v="557"/>
    <s v="Noah Ferrari"/>
    <x v="1"/>
    <s v="Canada"/>
    <x v="0"/>
    <x v="3"/>
    <x v="27"/>
    <n v="4"/>
    <n v="57.02"/>
    <n v="10"/>
    <n v="205.27"/>
    <n v="7.42"/>
    <n v="83.81"/>
    <x v="1"/>
    <n v="228.08"/>
    <n v="0.40829151848784528"/>
    <n v="212.69"/>
  </r>
  <r>
    <x v="1229"/>
    <x v="557"/>
    <s v="Thomas Costa"/>
    <x v="1"/>
    <s v="Italy"/>
    <x v="1"/>
    <x v="3"/>
    <x v="9"/>
    <n v="3"/>
    <n v="58.15"/>
    <n v="5"/>
    <n v="165.73"/>
    <n v="14.36"/>
    <n v="64.14"/>
    <x v="2"/>
    <n v="174.45"/>
    <n v="0.38701502443733787"/>
    <n v="180.08999999999997"/>
  </r>
  <r>
    <x v="1230"/>
    <x v="557"/>
    <s v="Wei Wang"/>
    <x v="1"/>
    <s v="Japan"/>
    <x v="3"/>
    <x v="1"/>
    <x v="10"/>
    <n v="14"/>
    <n v="7.5"/>
    <n v="0"/>
    <n v="105"/>
    <n v="20.9"/>
    <n v="36.85"/>
    <x v="1"/>
    <n v="105"/>
    <n v="0.35095238095238096"/>
    <n v="125.9"/>
  </r>
  <r>
    <x v="1231"/>
    <x v="558"/>
    <s v="Ali Hassan"/>
    <x v="2"/>
    <s v="Mexico"/>
    <x v="0"/>
    <x v="0"/>
    <x v="3"/>
    <n v="2"/>
    <n v="56.22"/>
    <n v="5"/>
    <n v="106.82"/>
    <n v="9.83"/>
    <n v="35.15"/>
    <x v="1"/>
    <n v="112.44"/>
    <n v="0.32905822879610558"/>
    <n v="116.64999999999999"/>
  </r>
  <r>
    <x v="1232"/>
    <x v="559"/>
    <s v="Layla Williams"/>
    <x v="0"/>
    <s v="Japan"/>
    <x v="3"/>
    <x v="2"/>
    <x v="15"/>
    <n v="5"/>
    <n v="186.09"/>
    <n v="15"/>
    <n v="790.88"/>
    <n v="11.72"/>
    <n v="220.89"/>
    <x v="3"/>
    <n v="930.45"/>
    <n v="0.27929647987052397"/>
    <n v="802.6"/>
  </r>
  <r>
    <x v="1233"/>
    <x v="559"/>
    <s v="Wei Moreau"/>
    <x v="1"/>
    <s v="Germany"/>
    <x v="1"/>
    <x v="0"/>
    <x v="18"/>
    <n v="1"/>
    <n v="57.7"/>
    <n v="0"/>
    <n v="57.7"/>
    <n v="7.94"/>
    <n v="18.02"/>
    <x v="2"/>
    <n v="57.7"/>
    <n v="0.31230502599653376"/>
    <n v="65.64"/>
  </r>
  <r>
    <x v="1234"/>
    <x v="560"/>
    <s v="Hans Miller"/>
    <x v="2"/>
    <s v="United States"/>
    <x v="0"/>
    <x v="0"/>
    <x v="7"/>
    <n v="4"/>
    <n v="74.260000000000005"/>
    <n v="0"/>
    <n v="297.04000000000002"/>
    <n v="11.24"/>
    <n v="122.43"/>
    <x v="2"/>
    <n v="297.04000000000002"/>
    <n v="0.41216671155399948"/>
    <n v="308.28000000000003"/>
  </r>
  <r>
    <x v="1235"/>
    <x v="561"/>
    <s v="Omar Yamamoto"/>
    <x v="2"/>
    <s v="France"/>
    <x v="1"/>
    <x v="0"/>
    <x v="35"/>
    <n v="4"/>
    <n v="66.349999999999994"/>
    <n v="5"/>
    <n v="252.13"/>
    <n v="12.59"/>
    <n v="93.57"/>
    <x v="1"/>
    <n v="265.39999999999998"/>
    <n v="0.37111807400943958"/>
    <n v="264.71999999999997"/>
  </r>
  <r>
    <x v="1236"/>
    <x v="562"/>
    <s v="Nadia Dubois"/>
    <x v="1"/>
    <s v="United States"/>
    <x v="0"/>
    <x v="3"/>
    <x v="13"/>
    <n v="1"/>
    <n v="45.27"/>
    <n v="5"/>
    <n v="43.01"/>
    <n v="6.72"/>
    <n v="13.65"/>
    <x v="1"/>
    <n v="45.27"/>
    <n v="0.31736805394094397"/>
    <n v="49.73"/>
  </r>
  <r>
    <x v="1237"/>
    <x v="562"/>
    <s v="Felix Romano"/>
    <x v="0"/>
    <s v="Mexico"/>
    <x v="0"/>
    <x v="1"/>
    <x v="19"/>
    <n v="2"/>
    <n v="6.86"/>
    <n v="0"/>
    <n v="13.72"/>
    <n v="8.1"/>
    <n v="-0.55000000000000004"/>
    <x v="3"/>
    <n v="13.72"/>
    <n v="-4.0087463556851312E-2"/>
    <n v="21.82"/>
  </r>
  <r>
    <x v="1238"/>
    <x v="563"/>
    <s v="Zara Williams"/>
    <x v="1"/>
    <s v="Japan"/>
    <x v="3"/>
    <x v="0"/>
    <x v="31"/>
    <n v="7"/>
    <n v="123.89"/>
    <n v="0"/>
    <n v="867.23"/>
    <n v="19.559999999999999"/>
    <n v="370.69"/>
    <x v="1"/>
    <n v="867.23"/>
    <n v="0.42744139386321967"/>
    <n v="886.79"/>
  </r>
  <r>
    <x v="1239"/>
    <x v="563"/>
    <s v="Joseph Ali"/>
    <x v="1"/>
    <s v="France"/>
    <x v="1"/>
    <x v="1"/>
    <x v="23"/>
    <n v="1"/>
    <n v="15.77"/>
    <n v="10"/>
    <n v="14.19"/>
    <n v="8.7799999999999994"/>
    <n v="-1.69"/>
    <x v="2"/>
    <n v="15.77"/>
    <n v="-0.11909795630725864"/>
    <n v="22.97"/>
  </r>
  <r>
    <x v="1240"/>
    <x v="563"/>
    <s v="Ahmed Tanaka"/>
    <x v="0"/>
    <s v="United States"/>
    <x v="0"/>
    <x v="1"/>
    <x v="20"/>
    <n v="1"/>
    <n v="8.27"/>
    <n v="15"/>
    <n v="7.03"/>
    <n v="5.6"/>
    <n v="-2.29"/>
    <x v="1"/>
    <n v="8.27"/>
    <n v="-0.32574679943100993"/>
    <n v="12.629999999999999"/>
  </r>
  <r>
    <x v="1241"/>
    <x v="563"/>
    <s v="Ivan Robinson"/>
    <x v="1"/>
    <s v="France"/>
    <x v="1"/>
    <x v="3"/>
    <x v="16"/>
    <n v="11"/>
    <n v="36.18"/>
    <n v="10"/>
    <n v="358.18"/>
    <n v="16.03"/>
    <n v="143.16"/>
    <x v="1"/>
    <n v="397.98"/>
    <n v="0.39968730805740127"/>
    <n v="374.21000000000004"/>
  </r>
  <r>
    <x v="1242"/>
    <x v="563"/>
    <s v="Christopher Miller"/>
    <x v="1"/>
    <s v="Australia"/>
    <x v="3"/>
    <x v="1"/>
    <x v="25"/>
    <n v="3"/>
    <n v="13.86"/>
    <n v="0"/>
    <n v="41.58"/>
    <n v="13.05"/>
    <n v="9.82"/>
    <x v="2"/>
    <n v="41.58"/>
    <n v="0.2361712361712362"/>
    <n v="54.629999999999995"/>
  </r>
  <r>
    <x v="1243"/>
    <x v="564"/>
    <s v="Pierre Hassan"/>
    <x v="2"/>
    <s v="United States"/>
    <x v="0"/>
    <x v="2"/>
    <x v="32"/>
    <n v="4"/>
    <n v="36.53"/>
    <n v="5"/>
    <n v="138.81"/>
    <n v="13.3"/>
    <n v="37.840000000000003"/>
    <x v="3"/>
    <n v="146.12"/>
    <n v="0.27260283841221816"/>
    <n v="152.11000000000001"/>
  </r>
  <r>
    <x v="1244"/>
    <x v="565"/>
    <s v="Sophie Kim"/>
    <x v="1"/>
    <s v="Australia"/>
    <x v="3"/>
    <x v="0"/>
    <x v="3"/>
    <n v="1"/>
    <n v="40.909999999999997"/>
    <n v="15"/>
    <n v="34.770000000000003"/>
    <n v="10.18"/>
    <n v="2.09"/>
    <x v="0"/>
    <n v="40.909999999999997"/>
    <n v="6.0109289617486329E-2"/>
    <n v="44.95"/>
  </r>
  <r>
    <x v="1245"/>
    <x v="566"/>
    <s v="Ayumi Robinson"/>
    <x v="0"/>
    <s v="United States"/>
    <x v="0"/>
    <x v="0"/>
    <x v="35"/>
    <n v="3"/>
    <n v="62.77"/>
    <n v="0"/>
    <n v="188.31"/>
    <n v="11.8"/>
    <n v="72.94"/>
    <x v="1"/>
    <n v="188.31"/>
    <n v="0.38734002442780519"/>
    <n v="200.11"/>
  </r>
  <r>
    <x v="1246"/>
    <x v="566"/>
    <s v="Amir Johansson"/>
    <x v="1"/>
    <s v="Australia"/>
    <x v="3"/>
    <x v="1"/>
    <x v="6"/>
    <n v="4"/>
    <n v="9.84"/>
    <n v="10"/>
    <n v="35.42"/>
    <n v="13.78"/>
    <n v="3.93"/>
    <x v="0"/>
    <n v="39.36"/>
    <n v="0.11095426312817618"/>
    <n v="49.2"/>
  </r>
  <r>
    <x v="1247"/>
    <x v="567"/>
    <s v="Li Miller"/>
    <x v="1"/>
    <s v="France"/>
    <x v="1"/>
    <x v="0"/>
    <x v="35"/>
    <n v="2"/>
    <n v="39.61"/>
    <n v="20"/>
    <n v="63.38"/>
    <n v="10.199999999999999"/>
    <n v="9.61"/>
    <x v="1"/>
    <n v="79.22"/>
    <n v="0.15162511833385925"/>
    <n v="73.58"/>
  </r>
  <r>
    <x v="1248"/>
    <x v="567"/>
    <s v="Lucas MÃ¼ller"/>
    <x v="1"/>
    <s v="China"/>
    <x v="3"/>
    <x v="3"/>
    <x v="33"/>
    <n v="1"/>
    <n v="31.83"/>
    <n v="15"/>
    <n v="27.06"/>
    <n v="11.46"/>
    <n v="-0.32"/>
    <x v="2"/>
    <n v="31.83"/>
    <n v="-1.1825572801182557E-2"/>
    <n v="38.519999999999996"/>
  </r>
  <r>
    <x v="1249"/>
    <x v="567"/>
    <s v="Clara Miller"/>
    <x v="0"/>
    <s v="South Africa"/>
    <x v="2"/>
    <x v="2"/>
    <x v="4"/>
    <n v="5"/>
    <n v="239.49"/>
    <n v="5"/>
    <n v="1137.58"/>
    <n v="17.88"/>
    <n v="401.23"/>
    <x v="2"/>
    <n v="1197.45"/>
    <n v="0.35270486471281143"/>
    <n v="1155.46"/>
  </r>
  <r>
    <x v="1250"/>
    <x v="567"/>
    <s v="James Oliveira"/>
    <x v="0"/>
    <s v="United States"/>
    <x v="0"/>
    <x v="1"/>
    <x v="10"/>
    <n v="6"/>
    <n v="6.5"/>
    <n v="20"/>
    <n v="31.2"/>
    <n v="16.690000000000001"/>
    <n v="-3.04"/>
    <x v="2"/>
    <n v="39"/>
    <n v="-9.7435897435897437E-2"/>
    <n v="47.89"/>
  </r>
  <r>
    <x v="1251"/>
    <x v="567"/>
    <s v="Sophie Pereira"/>
    <x v="2"/>
    <s v="Spain"/>
    <x v="1"/>
    <x v="3"/>
    <x v="13"/>
    <n v="5"/>
    <n v="79.16"/>
    <n v="15"/>
    <n v="336.43"/>
    <n v="12.69"/>
    <n v="125.84"/>
    <x v="1"/>
    <n v="395.79999999999995"/>
    <n v="0.3740451208275124"/>
    <n v="349.12"/>
  </r>
  <r>
    <x v="1252"/>
    <x v="568"/>
    <s v="Oscar Zhang"/>
    <x v="1"/>
    <s v="United Kingdom"/>
    <x v="1"/>
    <x v="0"/>
    <x v="18"/>
    <n v="10"/>
    <n v="46.43"/>
    <n v="10"/>
    <n v="417.87"/>
    <n v="22.39"/>
    <n v="140.11000000000001"/>
    <x v="1"/>
    <n v="464.3"/>
    <n v="0.33529566611625627"/>
    <n v="440.26"/>
  </r>
  <r>
    <x v="1253"/>
    <x v="568"/>
    <s v="Priya Smith"/>
    <x v="1"/>
    <s v="Italy"/>
    <x v="1"/>
    <x v="2"/>
    <x v="36"/>
    <n v="6"/>
    <n v="259.75"/>
    <n v="0"/>
    <n v="1558.5"/>
    <n v="10.69"/>
    <n v="612.71"/>
    <x v="1"/>
    <n v="1558.5"/>
    <n v="0.39314084055181264"/>
    <n v="1569.19"/>
  </r>
  <r>
    <x v="1254"/>
    <x v="569"/>
    <s v="Carlos Sharma"/>
    <x v="0"/>
    <s v="Mexico"/>
    <x v="0"/>
    <x v="0"/>
    <x v="7"/>
    <n v="5"/>
    <n v="60.7"/>
    <n v="15"/>
    <n v="257.97000000000003"/>
    <n v="16.21"/>
    <n v="74.84"/>
    <x v="3"/>
    <n v="303.5"/>
    <n v="0.2901112532465015"/>
    <n v="274.18"/>
  </r>
  <r>
    <x v="1255"/>
    <x v="569"/>
    <s v="Ava Fischer"/>
    <x v="1"/>
    <s v="Mexico"/>
    <x v="0"/>
    <x v="1"/>
    <x v="20"/>
    <n v="2"/>
    <n v="14.78"/>
    <n v="0"/>
    <n v="29.56"/>
    <n v="6.96"/>
    <n v="9.3000000000000007"/>
    <x v="2"/>
    <n v="29.56"/>
    <n v="0.31461434370771318"/>
    <n v="36.519999999999996"/>
  </r>
  <r>
    <x v="1256"/>
    <x v="569"/>
    <s v="Ivan Martin"/>
    <x v="1"/>
    <s v="Italy"/>
    <x v="1"/>
    <x v="1"/>
    <x v="19"/>
    <n v="1"/>
    <n v="13.3"/>
    <n v="0"/>
    <n v="13.3"/>
    <n v="7.89"/>
    <n v="-0.56999999999999995"/>
    <x v="0"/>
    <n v="13.3"/>
    <n v="-4.2857142857142851E-2"/>
    <n v="21.19"/>
  </r>
  <r>
    <x v="1257"/>
    <x v="570"/>
    <s v="Jennifer Romano"/>
    <x v="1"/>
    <s v="Canada"/>
    <x v="0"/>
    <x v="3"/>
    <x v="33"/>
    <n v="4"/>
    <n v="18.59"/>
    <n v="5"/>
    <n v="70.64"/>
    <n v="9.08"/>
    <n v="24.38"/>
    <x v="1"/>
    <n v="74.36"/>
    <n v="0.34513023782559454"/>
    <n v="79.72"/>
  </r>
  <r>
    <x v="1258"/>
    <x v="570"/>
    <s v="Jessica MÃ¼ller"/>
    <x v="1"/>
    <s v="Australia"/>
    <x v="3"/>
    <x v="3"/>
    <x v="11"/>
    <n v="7"/>
    <n v="75.25"/>
    <n v="10"/>
    <n v="474.07"/>
    <n v="19.97"/>
    <n v="190.72"/>
    <x v="2"/>
    <n v="526.75"/>
    <n v="0.40230345729533612"/>
    <n v="494.03999999999996"/>
  </r>
  <r>
    <x v="1259"/>
    <x v="571"/>
    <s v="Raj Johnson"/>
    <x v="1"/>
    <s v="India"/>
    <x v="3"/>
    <x v="2"/>
    <x v="5"/>
    <n v="3"/>
    <n v="181.78"/>
    <n v="5"/>
    <n v="518.07000000000005"/>
    <n v="11.35"/>
    <n v="179.52"/>
    <x v="2"/>
    <n v="545.34"/>
    <n v="0.34651687995830677"/>
    <n v="529.42000000000007"/>
  </r>
  <r>
    <x v="1260"/>
    <x v="571"/>
    <s v="Olivia Zhang"/>
    <x v="2"/>
    <s v="Mexico"/>
    <x v="0"/>
    <x v="1"/>
    <x v="2"/>
    <n v="5"/>
    <n v="15.61"/>
    <n v="5"/>
    <n v="74.150000000000006"/>
    <n v="14.63"/>
    <n v="24.4"/>
    <x v="2"/>
    <n v="78.05"/>
    <n v="0.32906271072151039"/>
    <n v="88.78"/>
  </r>
  <r>
    <x v="1261"/>
    <x v="571"/>
    <s v="Ava Rodriguez"/>
    <x v="0"/>
    <s v="France"/>
    <x v="1"/>
    <x v="1"/>
    <x v="6"/>
    <n v="2"/>
    <n v="11.05"/>
    <n v="5"/>
    <n v="21"/>
    <n v="8.64"/>
    <n v="2.41"/>
    <x v="2"/>
    <n v="22.1"/>
    <n v="0.11476190476190477"/>
    <n v="29.64"/>
  </r>
  <r>
    <x v="1262"/>
    <x v="572"/>
    <s v="James Ali"/>
    <x v="2"/>
    <s v="United States"/>
    <x v="0"/>
    <x v="1"/>
    <x v="17"/>
    <n v="1"/>
    <n v="6.95"/>
    <n v="10"/>
    <n v="6.25"/>
    <n v="5.78"/>
    <n v="-2.66"/>
    <x v="1"/>
    <n v="6.95"/>
    <n v="-0.42560000000000003"/>
    <n v="12.030000000000001"/>
  </r>
  <r>
    <x v="1263"/>
    <x v="572"/>
    <s v="Liam Patel"/>
    <x v="2"/>
    <s v="Argentina"/>
    <x v="4"/>
    <x v="1"/>
    <x v="17"/>
    <n v="7"/>
    <n v="17.170000000000002"/>
    <n v="20"/>
    <n v="96.15"/>
    <n v="24.44"/>
    <n v="17.62"/>
    <x v="2"/>
    <n v="120.19000000000001"/>
    <n v="0.18325533021320853"/>
    <n v="120.59"/>
  </r>
  <r>
    <x v="1264"/>
    <x v="572"/>
    <s v="Oscar Anderson"/>
    <x v="0"/>
    <s v="United Kingdom"/>
    <x v="1"/>
    <x v="3"/>
    <x v="27"/>
    <n v="2"/>
    <n v="50.22"/>
    <n v="10"/>
    <n v="90.4"/>
    <n v="9.49"/>
    <n v="30.69"/>
    <x v="1"/>
    <n v="100.44"/>
    <n v="0.33949115044247785"/>
    <n v="99.89"/>
  </r>
  <r>
    <x v="1265"/>
    <x v="573"/>
    <s v="Ethan Moreau"/>
    <x v="1"/>
    <s v="Spain"/>
    <x v="1"/>
    <x v="0"/>
    <x v="18"/>
    <n v="1"/>
    <n v="66.12"/>
    <n v="20"/>
    <n v="52.9"/>
    <n v="8.77"/>
    <n v="7.76"/>
    <x v="3"/>
    <n v="66.12"/>
    <n v="0.14669187145557655"/>
    <n v="61.67"/>
  </r>
  <r>
    <x v="1266"/>
    <x v="574"/>
    <s v="Maria Suzuki"/>
    <x v="0"/>
    <s v="Mexico"/>
    <x v="0"/>
    <x v="3"/>
    <x v="26"/>
    <n v="4"/>
    <n v="36.61"/>
    <n v="25"/>
    <n v="109.83"/>
    <n v="11.22"/>
    <n v="25.39"/>
    <x v="2"/>
    <n v="146.44"/>
    <n v="0.23117545297277611"/>
    <n v="121.05"/>
  </r>
  <r>
    <x v="1267"/>
    <x v="574"/>
    <s v="Sakura Thomas"/>
    <x v="0"/>
    <s v="United States"/>
    <x v="0"/>
    <x v="0"/>
    <x v="35"/>
    <n v="12"/>
    <n v="54.74"/>
    <n v="10"/>
    <n v="591.19000000000005"/>
    <n v="18.95"/>
    <n v="210.96"/>
    <x v="2"/>
    <n v="656.88"/>
    <n v="0.35683959471574278"/>
    <n v="610.1400000000001"/>
  </r>
  <r>
    <x v="1268"/>
    <x v="574"/>
    <s v="Jessica Moreau"/>
    <x v="0"/>
    <s v="United Kingdom"/>
    <x v="1"/>
    <x v="3"/>
    <x v="13"/>
    <n v="7"/>
    <n v="81.97"/>
    <n v="0"/>
    <n v="573.79"/>
    <n v="17.03"/>
    <n v="269.87"/>
    <x v="2"/>
    <n v="573.79"/>
    <n v="0.47032886596141449"/>
    <n v="590.81999999999994"/>
  </r>
  <r>
    <x v="1269"/>
    <x v="574"/>
    <s v="Linda Smith"/>
    <x v="1"/>
    <s v="Mexico"/>
    <x v="0"/>
    <x v="2"/>
    <x v="36"/>
    <n v="6"/>
    <n v="120.71"/>
    <n v="5"/>
    <n v="688.05"/>
    <n v="16.62"/>
    <n v="236.87"/>
    <x v="1"/>
    <n v="724.26"/>
    <n v="0.34426277160090113"/>
    <n v="704.67"/>
  </r>
  <r>
    <x v="1270"/>
    <x v="575"/>
    <s v="Sarah Santos"/>
    <x v="1"/>
    <s v="Colombia"/>
    <x v="4"/>
    <x v="0"/>
    <x v="22"/>
    <n v="6"/>
    <n v="62.59"/>
    <n v="0"/>
    <n v="375.54"/>
    <n v="23.28"/>
    <n v="145.71"/>
    <x v="1"/>
    <n v="375.54"/>
    <n v="0.3880012781594504"/>
    <n v="398.82000000000005"/>
  </r>
  <r>
    <x v="1271"/>
    <x v="576"/>
    <s v="James Johansson"/>
    <x v="0"/>
    <s v="Germany"/>
    <x v="1"/>
    <x v="0"/>
    <x v="35"/>
    <n v="8"/>
    <n v="63.14"/>
    <n v="15"/>
    <n v="429.35"/>
    <n v="19.46"/>
    <n v="132.07"/>
    <x v="2"/>
    <n v="505.12"/>
    <n v="0.30760451845813436"/>
    <n v="448.81"/>
  </r>
  <r>
    <x v="1272"/>
    <x v="577"/>
    <s v="Pierre Weber"/>
    <x v="1"/>
    <s v="United Kingdom"/>
    <x v="1"/>
    <x v="3"/>
    <x v="33"/>
    <n v="6"/>
    <n v="38.82"/>
    <n v="15"/>
    <n v="197.98"/>
    <n v="19.03"/>
    <n v="62.49"/>
    <x v="2"/>
    <n v="232.92000000000002"/>
    <n v="0.31563794322658856"/>
    <n v="217.01"/>
  </r>
  <r>
    <x v="1273"/>
    <x v="577"/>
    <s v="Yuki Thomas"/>
    <x v="0"/>
    <s v="Brazil"/>
    <x v="4"/>
    <x v="2"/>
    <x v="14"/>
    <n v="1"/>
    <n v="446.58"/>
    <n v="15"/>
    <n v="379.59"/>
    <n v="10.59"/>
    <n v="101.05"/>
    <x v="1"/>
    <n v="446.58"/>
    <n v="0.26620827735187969"/>
    <n v="390.17999999999995"/>
  </r>
  <r>
    <x v="1274"/>
    <x v="577"/>
    <s v="Nadia Harris"/>
    <x v="2"/>
    <s v="Mexico"/>
    <x v="0"/>
    <x v="3"/>
    <x v="26"/>
    <n v="3"/>
    <n v="24.35"/>
    <n v="15"/>
    <n v="62.09"/>
    <n v="8.1"/>
    <n v="17.46"/>
    <x v="0"/>
    <n v="73.050000000000011"/>
    <n v="0.28120470285070059"/>
    <n v="70.19"/>
  </r>
  <r>
    <x v="1275"/>
    <x v="578"/>
    <s v="Clara Garcia"/>
    <x v="1"/>
    <s v="Japan"/>
    <x v="3"/>
    <x v="1"/>
    <x v="23"/>
    <n v="6"/>
    <n v="7.36"/>
    <n v="10"/>
    <n v="39.74"/>
    <n v="18.57"/>
    <n v="1.3"/>
    <x v="3"/>
    <n v="44.160000000000004"/>
    <n v="3.2712632108706591E-2"/>
    <n v="58.31"/>
  </r>
  <r>
    <x v="1276"/>
    <x v="578"/>
    <s v="Lucas Sato"/>
    <x v="0"/>
    <s v="Canada"/>
    <x v="0"/>
    <x v="2"/>
    <x v="4"/>
    <n v="3"/>
    <n v="250.01"/>
    <n v="10"/>
    <n v="675.03"/>
    <n v="7.92"/>
    <n v="217.09"/>
    <x v="2"/>
    <n v="750.03"/>
    <n v="0.32160052145830559"/>
    <n v="682.94999999999993"/>
  </r>
  <r>
    <x v="1277"/>
    <x v="579"/>
    <s v="Ingrid Yamamoto"/>
    <x v="0"/>
    <s v="Japan"/>
    <x v="3"/>
    <x v="1"/>
    <x v="20"/>
    <n v="1"/>
    <n v="16.46"/>
    <n v="25"/>
    <n v="12.35"/>
    <n v="11.48"/>
    <n v="-6.54"/>
    <x v="2"/>
    <n v="16.46"/>
    <n v="-0.52955465587044537"/>
    <n v="23.83"/>
  </r>
  <r>
    <x v="1278"/>
    <x v="580"/>
    <s v="Xiao Robinson"/>
    <x v="0"/>
    <s v="Canada"/>
    <x v="0"/>
    <x v="3"/>
    <x v="24"/>
    <n v="2"/>
    <n v="66.53"/>
    <n v="5"/>
    <n v="126.41"/>
    <n v="9.3800000000000008"/>
    <n v="50.5"/>
    <x v="1"/>
    <n v="133.06"/>
    <n v="0.39949371094059016"/>
    <n v="135.79"/>
  </r>
  <r>
    <x v="1279"/>
    <x v="580"/>
    <s v="Wei Ali"/>
    <x v="0"/>
    <s v="France"/>
    <x v="1"/>
    <x v="3"/>
    <x v="33"/>
    <n v="3"/>
    <n v="45.43"/>
    <n v="0"/>
    <n v="136.29"/>
    <n v="9.9499999999999993"/>
    <n v="58.19"/>
    <x v="1"/>
    <n v="136.29"/>
    <n v="0.42695722356739307"/>
    <n v="146.23999999999998"/>
  </r>
  <r>
    <x v="1280"/>
    <x v="580"/>
    <s v="Jamal Wang"/>
    <x v="1"/>
    <s v="United States"/>
    <x v="0"/>
    <x v="1"/>
    <x v="23"/>
    <n v="2"/>
    <n v="11.64"/>
    <n v="0"/>
    <n v="23.28"/>
    <n v="8.51"/>
    <n v="4.29"/>
    <x v="1"/>
    <n v="23.28"/>
    <n v="0.1842783505154639"/>
    <n v="31.79"/>
  </r>
  <r>
    <x v="1281"/>
    <x v="581"/>
    <s v="Ivan Moreau"/>
    <x v="1"/>
    <s v="Canada"/>
    <x v="0"/>
    <x v="0"/>
    <x v="1"/>
    <n v="4"/>
    <n v="171.86"/>
    <n v="0"/>
    <n v="687.44"/>
    <n v="13.48"/>
    <n v="295.87"/>
    <x v="2"/>
    <n v="687.44"/>
    <n v="0.43039392528802511"/>
    <n v="700.92000000000007"/>
  </r>
  <r>
    <x v="1282"/>
    <x v="581"/>
    <s v="Sarah Johansson"/>
    <x v="2"/>
    <s v="South Korea"/>
    <x v="3"/>
    <x v="0"/>
    <x v="18"/>
    <n v="1"/>
    <n v="36.61"/>
    <n v="10"/>
    <n v="32.950000000000003"/>
    <n v="10.73"/>
    <n v="2.08"/>
    <x v="2"/>
    <n v="36.61"/>
    <n v="6.3125948406676777E-2"/>
    <n v="43.680000000000007"/>
  </r>
  <r>
    <x v="1283"/>
    <x v="581"/>
    <s v="Maria Yamamoto"/>
    <x v="1"/>
    <s v="Canada"/>
    <x v="0"/>
    <x v="3"/>
    <x v="37"/>
    <n v="3"/>
    <n v="25.68"/>
    <n v="0"/>
    <n v="77.040000000000006"/>
    <n v="10.44"/>
    <n v="28.08"/>
    <x v="1"/>
    <n v="77.039999999999992"/>
    <n v="0.36448598130841114"/>
    <n v="87.48"/>
  </r>
  <r>
    <x v="1284"/>
    <x v="581"/>
    <s v="Linda Harris"/>
    <x v="1"/>
    <s v="UAE"/>
    <x v="2"/>
    <x v="3"/>
    <x v="37"/>
    <n v="4"/>
    <n v="55.09"/>
    <n v="0"/>
    <n v="220.36"/>
    <n v="17.41"/>
    <n v="92.77"/>
    <x v="0"/>
    <n v="220.36"/>
    <n v="0.42099292067525862"/>
    <n v="237.77"/>
  </r>
  <r>
    <x v="1285"/>
    <x v="582"/>
    <s v="Ivan Park"/>
    <x v="1"/>
    <s v="China"/>
    <x v="3"/>
    <x v="1"/>
    <x v="17"/>
    <n v="1"/>
    <n v="14.87"/>
    <n v="10"/>
    <n v="13.38"/>
    <n v="10.11"/>
    <n v="-3.42"/>
    <x v="2"/>
    <n v="14.87"/>
    <n v="-0.25560538116591924"/>
    <n v="23.490000000000002"/>
  </r>
  <r>
    <x v="1286"/>
    <x v="582"/>
    <s v="Elizabeth Leroy"/>
    <x v="0"/>
    <s v="France"/>
    <x v="1"/>
    <x v="2"/>
    <x v="4"/>
    <n v="6"/>
    <n v="282.23"/>
    <n v="5"/>
    <n v="1608.71"/>
    <n v="20.02"/>
    <n v="572.66"/>
    <x v="1"/>
    <n v="1693.38"/>
    <n v="0.35597466292868196"/>
    <n v="1628.73"/>
  </r>
  <r>
    <x v="1287"/>
    <x v="583"/>
    <s v="Jennifer Zhang"/>
    <x v="1"/>
    <s v="Australia"/>
    <x v="3"/>
    <x v="1"/>
    <x v="10"/>
    <n v="6"/>
    <n v="5.74"/>
    <n v="15"/>
    <n v="29.27"/>
    <n v="16.98"/>
    <n v="-3.21"/>
    <x v="1"/>
    <n v="34.44"/>
    <n v="-0.10966860266484454"/>
    <n v="46.25"/>
  </r>
  <r>
    <x v="1288"/>
    <x v="583"/>
    <s v="Nadia Santos"/>
    <x v="1"/>
    <s v="South Korea"/>
    <x v="3"/>
    <x v="1"/>
    <x v="20"/>
    <n v="12"/>
    <n v="10.53"/>
    <n v="20"/>
    <n v="101.09"/>
    <n v="32.83"/>
    <n v="11.4"/>
    <x v="3"/>
    <n v="126.35999999999999"/>
    <n v="0.11277079829854585"/>
    <n v="133.92000000000002"/>
  </r>
  <r>
    <x v="1289"/>
    <x v="583"/>
    <s v="Mia Li"/>
    <x v="0"/>
    <s v="Mexico"/>
    <x v="0"/>
    <x v="2"/>
    <x v="8"/>
    <n v="3"/>
    <n v="76.16"/>
    <n v="5"/>
    <n v="217.06"/>
    <n v="8.25"/>
    <n v="71.72"/>
    <x v="3"/>
    <n v="228.48"/>
    <n v="0.33041555330323413"/>
    <n v="225.31"/>
  </r>
  <r>
    <x v="1290"/>
    <x v="584"/>
    <s v="Ethan Johnson"/>
    <x v="1"/>
    <s v="South Africa"/>
    <x v="2"/>
    <x v="2"/>
    <x v="21"/>
    <n v="4"/>
    <n v="84.66"/>
    <n v="5"/>
    <n v="321.70999999999998"/>
    <n v="13.55"/>
    <n v="104.98"/>
    <x v="3"/>
    <n v="338.64"/>
    <n v="0.32631873426377794"/>
    <n v="335.26"/>
  </r>
  <r>
    <x v="1291"/>
    <x v="584"/>
    <s v="Ahmed Ali"/>
    <x v="1"/>
    <s v="Mexico"/>
    <x v="0"/>
    <x v="3"/>
    <x v="27"/>
    <n v="12"/>
    <n v="44.66"/>
    <n v="5"/>
    <n v="509.12"/>
    <n v="14.12"/>
    <n v="227.04"/>
    <x v="1"/>
    <n v="535.91999999999996"/>
    <n v="0.44594594594594594"/>
    <n v="523.24"/>
  </r>
  <r>
    <x v="1292"/>
    <x v="585"/>
    <s v="Ahmed Thomas"/>
    <x v="0"/>
    <s v="Colombia"/>
    <x v="4"/>
    <x v="2"/>
    <x v="14"/>
    <n v="2"/>
    <n v="329.54"/>
    <n v="0"/>
    <n v="659.08"/>
    <n v="12.54"/>
    <n v="251.09"/>
    <x v="2"/>
    <n v="659.08"/>
    <n v="0.38097044364872246"/>
    <n v="671.62"/>
  </r>
  <r>
    <x v="1293"/>
    <x v="585"/>
    <s v="Ahmed Johnson"/>
    <x v="0"/>
    <s v="Italy"/>
    <x v="1"/>
    <x v="1"/>
    <x v="2"/>
    <n v="5"/>
    <n v="5.79"/>
    <n v="5"/>
    <n v="27.5"/>
    <n v="18.73"/>
    <n v="-4.26"/>
    <x v="3"/>
    <n v="28.95"/>
    <n v="-0.15490909090909091"/>
    <n v="46.230000000000004"/>
  </r>
  <r>
    <x v="1294"/>
    <x v="585"/>
    <s v="Thomas Thompson"/>
    <x v="1"/>
    <s v="United States"/>
    <x v="0"/>
    <x v="1"/>
    <x v="10"/>
    <n v="6"/>
    <n v="6.27"/>
    <n v="5"/>
    <n v="35.74"/>
    <n v="19.36"/>
    <n v="-0.55000000000000004"/>
    <x v="0"/>
    <n v="37.619999999999997"/>
    <n v="-1.5388919977616117E-2"/>
    <n v="55.1"/>
  </r>
  <r>
    <x v="1295"/>
    <x v="585"/>
    <s v="Barbara Johnson"/>
    <x v="0"/>
    <s v="China"/>
    <x v="3"/>
    <x v="1"/>
    <x v="25"/>
    <n v="3"/>
    <n v="8.94"/>
    <n v="15"/>
    <n v="22.8"/>
    <n v="14.91"/>
    <n v="-4.18"/>
    <x v="1"/>
    <n v="26.82"/>
    <n v="-0.18333333333333332"/>
    <n v="37.71"/>
  </r>
  <r>
    <x v="1296"/>
    <x v="585"/>
    <s v="Isabella White"/>
    <x v="0"/>
    <s v="India"/>
    <x v="3"/>
    <x v="0"/>
    <x v="7"/>
    <n v="5"/>
    <n v="39.270000000000003"/>
    <n v="30"/>
    <n v="137.44"/>
    <n v="19.48"/>
    <n v="9.9700000000000006"/>
    <x v="3"/>
    <n v="196.35000000000002"/>
    <n v="7.2540745052386502E-2"/>
    <n v="156.91999999999999"/>
  </r>
  <r>
    <x v="1297"/>
    <x v="586"/>
    <s v="Jessica Nilsson"/>
    <x v="2"/>
    <s v="Brazil"/>
    <x v="4"/>
    <x v="1"/>
    <x v="23"/>
    <n v="7"/>
    <n v="13.74"/>
    <n v="5"/>
    <n v="91.37"/>
    <n v="21.95"/>
    <n v="26.14"/>
    <x v="0"/>
    <n v="96.18"/>
    <n v="0.28608952610265953"/>
    <n v="113.32000000000001"/>
  </r>
  <r>
    <x v="1298"/>
    <x v="586"/>
    <s v="Zara Weber"/>
    <x v="1"/>
    <s v="Japan"/>
    <x v="3"/>
    <x v="1"/>
    <x v="38"/>
    <n v="4"/>
    <n v="12.49"/>
    <n v="5"/>
    <n v="47.46"/>
    <n v="14.76"/>
    <n v="10.220000000000001"/>
    <x v="3"/>
    <n v="49.96"/>
    <n v="0.21533923303834809"/>
    <n v="62.22"/>
  </r>
  <r>
    <x v="1299"/>
    <x v="587"/>
    <s v="Ivan Ali"/>
    <x v="2"/>
    <s v="United States"/>
    <x v="0"/>
    <x v="3"/>
    <x v="9"/>
    <n v="4"/>
    <n v="38.770000000000003"/>
    <n v="0"/>
    <n v="155.08000000000001"/>
    <n v="12.57"/>
    <n v="64.97"/>
    <x v="1"/>
    <n v="155.08000000000001"/>
    <n v="0.41894506061387665"/>
    <n v="167.65"/>
  </r>
  <r>
    <x v="1300"/>
    <x v="587"/>
    <s v="Ava Rossi"/>
    <x v="1"/>
    <s v="Italy"/>
    <x v="1"/>
    <x v="2"/>
    <x v="5"/>
    <n v="1"/>
    <n v="173.33"/>
    <n v="10"/>
    <n v="156"/>
    <n v="8.65"/>
    <n v="43.35"/>
    <x v="0"/>
    <n v="173.33"/>
    <n v="0.2778846153846154"/>
    <n v="164.65"/>
  </r>
  <r>
    <x v="1301"/>
    <x v="588"/>
    <s v="Ayumi Taylor"/>
    <x v="2"/>
    <s v="Spain"/>
    <x v="1"/>
    <x v="2"/>
    <x v="32"/>
    <n v="4"/>
    <n v="66.19"/>
    <n v="5"/>
    <n v="251.52"/>
    <n v="12.09"/>
    <n v="80.569999999999993"/>
    <x v="1"/>
    <n v="264.76"/>
    <n v="0.32033237913486001"/>
    <n v="263.61"/>
  </r>
  <r>
    <x v="1302"/>
    <x v="589"/>
    <s v="Ahmed Sharma"/>
    <x v="1"/>
    <s v="China"/>
    <x v="3"/>
    <x v="0"/>
    <x v="22"/>
    <n v="2"/>
    <n v="72.64"/>
    <n v="10"/>
    <n v="130.75"/>
    <n v="12.34"/>
    <n v="38.51"/>
    <x v="2"/>
    <n v="145.28"/>
    <n v="0.29453154875717014"/>
    <n v="143.09"/>
  </r>
  <r>
    <x v="1303"/>
    <x v="589"/>
    <s v="Clara MÃ¼ller"/>
    <x v="1"/>
    <s v="Mexico"/>
    <x v="0"/>
    <x v="2"/>
    <x v="36"/>
    <n v="10"/>
    <n v="253.85"/>
    <n v="0"/>
    <n v="2538.5"/>
    <n v="22.56"/>
    <n v="992.84"/>
    <x v="0"/>
    <n v="2538.5"/>
    <n v="0.39111286192633449"/>
    <n v="2561.06"/>
  </r>
  <r>
    <x v="1304"/>
    <x v="590"/>
    <s v="Clara Ali"/>
    <x v="1"/>
    <s v="Canada"/>
    <x v="0"/>
    <x v="1"/>
    <x v="2"/>
    <n v="6"/>
    <n v="12.47"/>
    <n v="5"/>
    <n v="71.08"/>
    <n v="8.33"/>
    <n v="29.08"/>
    <x v="0"/>
    <n v="74.820000000000007"/>
    <n v="0.40911648846370285"/>
    <n v="79.41"/>
  </r>
  <r>
    <x v="1305"/>
    <x v="591"/>
    <s v="Sarah Davis"/>
    <x v="1"/>
    <s v="South Africa"/>
    <x v="2"/>
    <x v="0"/>
    <x v="18"/>
    <n v="1"/>
    <n v="70.900000000000006"/>
    <n v="0"/>
    <n v="70.900000000000006"/>
    <n v="11.52"/>
    <n v="20.39"/>
    <x v="2"/>
    <n v="70.900000000000006"/>
    <n v="0.2875881523272214"/>
    <n v="82.42"/>
  </r>
  <r>
    <x v="1306"/>
    <x v="591"/>
    <s v="Ingrid Santos"/>
    <x v="1"/>
    <s v="France"/>
    <x v="1"/>
    <x v="1"/>
    <x v="25"/>
    <n v="1"/>
    <n v="6.45"/>
    <n v="5"/>
    <n v="6.13"/>
    <n v="7.56"/>
    <n v="-4.33"/>
    <x v="0"/>
    <n v="6.45"/>
    <n v="-0.70636215334420882"/>
    <n v="13.69"/>
  </r>
  <r>
    <x v="1307"/>
    <x v="592"/>
    <s v="Patricia Costa"/>
    <x v="2"/>
    <s v="United Kingdom"/>
    <x v="1"/>
    <x v="3"/>
    <x v="37"/>
    <n v="2"/>
    <n v="69.3"/>
    <n v="0"/>
    <n v="138.6"/>
    <n v="11.07"/>
    <n v="58.23"/>
    <x v="2"/>
    <n v="138.6"/>
    <n v="0.42012987012987013"/>
    <n v="149.66999999999999"/>
  </r>
  <r>
    <x v="1308"/>
    <x v="592"/>
    <s v="Liam Russo"/>
    <x v="1"/>
    <s v="Germany"/>
    <x v="1"/>
    <x v="2"/>
    <x v="4"/>
    <n v="7"/>
    <n v="212.35"/>
    <n v="20"/>
    <n v="1189.1600000000001"/>
    <n v="14.04"/>
    <n v="283.25"/>
    <x v="2"/>
    <n v="1486.45"/>
    <n v="0.2381933465639611"/>
    <n v="1203.2"/>
  </r>
  <r>
    <x v="1309"/>
    <x v="592"/>
    <s v="Karen Romano"/>
    <x v="1"/>
    <s v="Canada"/>
    <x v="0"/>
    <x v="2"/>
    <x v="8"/>
    <n v="2"/>
    <n v="76.2"/>
    <n v="5"/>
    <n v="144.78"/>
    <n v="8.8800000000000008"/>
    <n v="44.46"/>
    <x v="1"/>
    <n v="152.4"/>
    <n v="0.30708661417322836"/>
    <n v="153.66"/>
  </r>
  <r>
    <x v="1310"/>
    <x v="593"/>
    <s v="Richard Park"/>
    <x v="1"/>
    <s v="Nigeria"/>
    <x v="2"/>
    <x v="0"/>
    <x v="18"/>
    <n v="1"/>
    <n v="44.65"/>
    <n v="5"/>
    <n v="42.42"/>
    <n v="13.09"/>
    <n v="4.7699999999999996"/>
    <x v="1"/>
    <n v="44.65"/>
    <n v="0.11244695898161243"/>
    <n v="55.510000000000005"/>
  </r>
  <r>
    <x v="1311"/>
    <x v="594"/>
    <s v="Mary Clark"/>
    <x v="1"/>
    <s v="United States"/>
    <x v="0"/>
    <x v="1"/>
    <x v="2"/>
    <n v="3"/>
    <n v="13.27"/>
    <n v="25"/>
    <n v="29.86"/>
    <n v="12.34"/>
    <n v="-0.39"/>
    <x v="1"/>
    <n v="39.81"/>
    <n v="-1.3060951105157401E-2"/>
    <n v="42.2"/>
  </r>
  <r>
    <x v="1312"/>
    <x v="595"/>
    <s v="Jamal Chen"/>
    <x v="0"/>
    <s v="Saudi Arabia"/>
    <x v="2"/>
    <x v="0"/>
    <x v="1"/>
    <n v="1"/>
    <n v="105.02"/>
    <n v="10"/>
    <n v="94.52"/>
    <n v="11.57"/>
    <n v="25.19"/>
    <x v="1"/>
    <n v="105.02"/>
    <n v="0.26650444350402036"/>
    <n v="106.09"/>
  </r>
  <r>
    <x v="1313"/>
    <x v="596"/>
    <s v="Nadia Robinson"/>
    <x v="2"/>
    <s v="China"/>
    <x v="3"/>
    <x v="3"/>
    <x v="16"/>
    <n v="7"/>
    <n v="49.09"/>
    <n v="0"/>
    <n v="343.63"/>
    <n v="18.149999999999999"/>
    <n v="153.66"/>
    <x v="1"/>
    <n v="343.63"/>
    <n v="0.44716701102930478"/>
    <n v="361.78"/>
  </r>
  <r>
    <x v="1314"/>
    <x v="596"/>
    <s v="Giulia Johansson"/>
    <x v="1"/>
    <s v="Japan"/>
    <x v="3"/>
    <x v="2"/>
    <x v="14"/>
    <n v="4"/>
    <n v="416.86"/>
    <n v="0"/>
    <n v="1667.44"/>
    <n v="13.27"/>
    <n v="653.71"/>
    <x v="0"/>
    <n v="1667.44"/>
    <n v="0.39204409154152475"/>
    <n v="1680.71"/>
  </r>
  <r>
    <x v="1315"/>
    <x v="597"/>
    <s v="Pierre Ahmed"/>
    <x v="0"/>
    <s v="United Kingdom"/>
    <x v="1"/>
    <x v="3"/>
    <x v="27"/>
    <n v="7"/>
    <n v="20.149999999999999"/>
    <n v="10"/>
    <n v="126.94"/>
    <n v="22.2"/>
    <n v="34.22"/>
    <x v="0"/>
    <n v="141.04999999999998"/>
    <n v="0.26957617772175829"/>
    <n v="149.13999999999999"/>
  </r>
  <r>
    <x v="1316"/>
    <x v="597"/>
    <s v="Zara Davis"/>
    <x v="2"/>
    <s v="UAE"/>
    <x v="2"/>
    <x v="1"/>
    <x v="23"/>
    <n v="2"/>
    <n v="12.97"/>
    <n v="15"/>
    <n v="22.05"/>
    <n v="14.41"/>
    <n v="-4.03"/>
    <x v="1"/>
    <n v="25.94"/>
    <n v="-0.18276643990929706"/>
    <n v="36.46"/>
  </r>
  <r>
    <x v="1317"/>
    <x v="598"/>
    <s v="Liam Taylor"/>
    <x v="0"/>
    <s v="South Korea"/>
    <x v="3"/>
    <x v="0"/>
    <x v="29"/>
    <n v="2"/>
    <n v="47.58"/>
    <n v="15"/>
    <n v="80.89"/>
    <n v="11.18"/>
    <n v="17.37"/>
    <x v="1"/>
    <n v="95.16"/>
    <n v="0.21473606131783904"/>
    <n v="92.07"/>
  </r>
  <r>
    <x v="1318"/>
    <x v="598"/>
    <s v="Yuki Costa"/>
    <x v="1"/>
    <s v="South Africa"/>
    <x v="2"/>
    <x v="1"/>
    <x v="12"/>
    <n v="5"/>
    <n v="22.51"/>
    <n v="5"/>
    <n v="106.92"/>
    <n v="19.75"/>
    <n v="36.520000000000003"/>
    <x v="0"/>
    <n v="112.55000000000001"/>
    <n v="0.34156378600823045"/>
    <n v="126.67"/>
  </r>
  <r>
    <x v="1319"/>
    <x v="599"/>
    <s v="Ayumi Khan"/>
    <x v="1"/>
    <s v="United States"/>
    <x v="0"/>
    <x v="2"/>
    <x v="36"/>
    <n v="1"/>
    <n v="142.21"/>
    <n v="0"/>
    <n v="142.21"/>
    <n v="6.95"/>
    <n v="49.93"/>
    <x v="2"/>
    <n v="142.21"/>
    <n v="0.35110048519794668"/>
    <n v="149.16"/>
  </r>
  <r>
    <x v="1320"/>
    <x v="599"/>
    <s v="Jamal Taylor"/>
    <x v="1"/>
    <s v="Canada"/>
    <x v="0"/>
    <x v="0"/>
    <x v="28"/>
    <n v="2"/>
    <n v="60.18"/>
    <n v="0"/>
    <n v="120.36"/>
    <n v="8.33"/>
    <n v="45.83"/>
    <x v="0"/>
    <n v="120.36"/>
    <n v="0.38077434363575935"/>
    <n v="128.69"/>
  </r>
  <r>
    <x v="1321"/>
    <x v="600"/>
    <s v="Layla Ahmed"/>
    <x v="2"/>
    <s v="Japan"/>
    <x v="3"/>
    <x v="0"/>
    <x v="7"/>
    <n v="3"/>
    <n v="44.45"/>
    <n v="15"/>
    <n v="113.35"/>
    <n v="16.34"/>
    <n v="23.67"/>
    <x v="3"/>
    <n v="133.35000000000002"/>
    <n v="0.20882223202470226"/>
    <n v="129.69"/>
  </r>
  <r>
    <x v="1322"/>
    <x v="600"/>
    <s v="Ivan Jones"/>
    <x v="1"/>
    <s v="Mexico"/>
    <x v="0"/>
    <x v="2"/>
    <x v="39"/>
    <n v="7"/>
    <n v="234.12"/>
    <n v="0"/>
    <n v="1638.84"/>
    <n v="10.77"/>
    <n v="644.77"/>
    <x v="2"/>
    <n v="1638.8400000000001"/>
    <n v="0.39343071928925338"/>
    <n v="1649.61"/>
  </r>
  <r>
    <x v="1323"/>
    <x v="601"/>
    <s v="Jessica Anderson"/>
    <x v="0"/>
    <s v="Canada"/>
    <x v="0"/>
    <x v="2"/>
    <x v="39"/>
    <n v="1"/>
    <n v="115.76"/>
    <n v="10"/>
    <n v="104.18"/>
    <n v="6.46"/>
    <n v="28.26"/>
    <x v="2"/>
    <n v="115.76"/>
    <n v="0.2712612785563448"/>
    <n v="110.64"/>
  </r>
  <r>
    <x v="1324"/>
    <x v="601"/>
    <s v="David Rossi"/>
    <x v="1"/>
    <s v="Nigeria"/>
    <x v="2"/>
    <x v="2"/>
    <x v="14"/>
    <n v="3"/>
    <n v="219.08"/>
    <n v="5"/>
    <n v="624.38"/>
    <n v="16.97"/>
    <n v="213.07"/>
    <x v="1"/>
    <n v="657.24"/>
    <n v="0.34125052051635224"/>
    <n v="641.35"/>
  </r>
  <r>
    <x v="1325"/>
    <x v="601"/>
    <s v="Thomas Thomas"/>
    <x v="2"/>
    <s v="Mexico"/>
    <x v="0"/>
    <x v="1"/>
    <x v="6"/>
    <n v="2"/>
    <n v="23.83"/>
    <n v="0"/>
    <n v="47.66"/>
    <n v="8.8699999999999992"/>
    <n v="17.34"/>
    <x v="3"/>
    <n v="47.66"/>
    <n v="0.36382710868652962"/>
    <n v="56.529999999999994"/>
  </r>
  <r>
    <x v="1326"/>
    <x v="602"/>
    <s v="Oscar Nilsson"/>
    <x v="1"/>
    <s v="France"/>
    <x v="1"/>
    <x v="2"/>
    <x v="39"/>
    <n v="5"/>
    <n v="127.03"/>
    <n v="5"/>
    <n v="603.39"/>
    <n v="16.489999999999998"/>
    <n v="205.81"/>
    <x v="2"/>
    <n v="635.15"/>
    <n v="0.34108951092991269"/>
    <n v="619.88"/>
  </r>
  <r>
    <x v="1327"/>
    <x v="603"/>
    <s v="Nadia Oliveira"/>
    <x v="1"/>
    <s v="Mexico"/>
    <x v="0"/>
    <x v="3"/>
    <x v="24"/>
    <n v="6"/>
    <n v="26.43"/>
    <n v="5"/>
    <n v="150.65"/>
    <n v="8.1"/>
    <n v="63.26"/>
    <x v="0"/>
    <n v="158.57999999999998"/>
    <n v="0.41991370726850313"/>
    <n v="158.75"/>
  </r>
  <r>
    <x v="1328"/>
    <x v="603"/>
    <s v="Oscar Schmidt"/>
    <x v="0"/>
    <s v="Japan"/>
    <x v="3"/>
    <x v="1"/>
    <x v="2"/>
    <n v="1"/>
    <n v="9.2100000000000009"/>
    <n v="20"/>
    <n v="7.37"/>
    <n v="11.17"/>
    <n v="-7.94"/>
    <x v="1"/>
    <n v="9.2100000000000009"/>
    <n v="-1.0773405698778833"/>
    <n v="18.54"/>
  </r>
  <r>
    <x v="1329"/>
    <x v="604"/>
    <s v="Richard Jackson"/>
    <x v="1"/>
    <s v="United States"/>
    <x v="0"/>
    <x v="1"/>
    <x v="25"/>
    <n v="4"/>
    <n v="9.43"/>
    <n v="20"/>
    <n v="30.18"/>
    <n v="12.83"/>
    <n v="0.38"/>
    <x v="2"/>
    <n v="37.72"/>
    <n v="1.2591119946984758E-2"/>
    <n v="43.01"/>
  </r>
  <r>
    <x v="1330"/>
    <x v="604"/>
    <s v="James Johansson"/>
    <x v="2"/>
    <s v="Mexico"/>
    <x v="0"/>
    <x v="1"/>
    <x v="6"/>
    <n v="3"/>
    <n v="18.18"/>
    <n v="0"/>
    <n v="54.54"/>
    <n v="7.27"/>
    <n v="22.73"/>
    <x v="2"/>
    <n v="54.54"/>
    <n v="0.41675834250091676"/>
    <n v="61.81"/>
  </r>
  <r>
    <x v="1331"/>
    <x v="605"/>
    <s v="Sakura Costa"/>
    <x v="1"/>
    <s v="United States"/>
    <x v="0"/>
    <x v="0"/>
    <x v="35"/>
    <n v="4"/>
    <n v="45.26"/>
    <n v="0"/>
    <n v="181.04"/>
    <n v="7.24"/>
    <n v="74.23"/>
    <x v="1"/>
    <n v="181.04"/>
    <n v="0.41001988510826343"/>
    <n v="188.28"/>
  </r>
  <r>
    <x v="1332"/>
    <x v="605"/>
    <s v="Richard Rossi"/>
    <x v="1"/>
    <s v="Brazil"/>
    <x v="4"/>
    <x v="1"/>
    <x v="23"/>
    <n v="2"/>
    <n v="12.48"/>
    <n v="10"/>
    <n v="22.46"/>
    <n v="12.39"/>
    <n v="-1.1599999999999999"/>
    <x v="3"/>
    <n v="24.96"/>
    <n v="-5.1647373107747099E-2"/>
    <n v="34.85"/>
  </r>
  <r>
    <x v="1333"/>
    <x v="606"/>
    <s v="Liam Davis"/>
    <x v="1"/>
    <s v="Italy"/>
    <x v="1"/>
    <x v="1"/>
    <x v="6"/>
    <n v="3"/>
    <n v="9.4"/>
    <n v="5"/>
    <n v="26.79"/>
    <n v="11.24"/>
    <n v="2.86"/>
    <x v="3"/>
    <n v="28.200000000000003"/>
    <n v="0.10675625233296006"/>
    <n v="38.03"/>
  </r>
  <r>
    <x v="1334"/>
    <x v="606"/>
    <s v="Jamal Kim"/>
    <x v="1"/>
    <s v="Canada"/>
    <x v="0"/>
    <x v="1"/>
    <x v="25"/>
    <n v="3"/>
    <n v="9.86"/>
    <n v="10"/>
    <n v="26.62"/>
    <n v="7.69"/>
    <n v="5.62"/>
    <x v="1"/>
    <n v="29.58"/>
    <n v="0.21111945905334334"/>
    <n v="34.31"/>
  </r>
  <r>
    <x v="1335"/>
    <x v="607"/>
    <s v="Sophie Ahmed"/>
    <x v="0"/>
    <s v="United Kingdom"/>
    <x v="1"/>
    <x v="0"/>
    <x v="18"/>
    <n v="3"/>
    <n v="73.19"/>
    <n v="10"/>
    <n v="197.61"/>
    <n v="12.36"/>
    <n v="64.489999999999995"/>
    <x v="1"/>
    <n v="219.57"/>
    <n v="0.32634988107889273"/>
    <n v="209.97000000000003"/>
  </r>
  <r>
    <x v="1336"/>
    <x v="608"/>
    <s v="Christopher Jackson"/>
    <x v="1"/>
    <s v="Japan"/>
    <x v="3"/>
    <x v="1"/>
    <x v="20"/>
    <n v="12"/>
    <n v="11.27"/>
    <n v="10"/>
    <n v="121.72"/>
    <n v="19.04"/>
    <n v="41.82"/>
    <x v="1"/>
    <n v="135.24"/>
    <n v="0.34357541899441341"/>
    <n v="140.76"/>
  </r>
  <r>
    <x v="1337"/>
    <x v="609"/>
    <s v="Diego Kim"/>
    <x v="1"/>
    <s v="United Kingdom"/>
    <x v="1"/>
    <x v="3"/>
    <x v="9"/>
    <n v="10"/>
    <n v="56.84"/>
    <n v="5"/>
    <n v="539.98"/>
    <n v="24.76"/>
    <n v="231.02"/>
    <x v="0"/>
    <n v="568.40000000000009"/>
    <n v="0.42783066039482942"/>
    <n v="564.74"/>
  </r>
  <r>
    <x v="1338"/>
    <x v="609"/>
    <s v="Barbara Khan"/>
    <x v="1"/>
    <s v="United States"/>
    <x v="0"/>
    <x v="3"/>
    <x v="9"/>
    <n v="3"/>
    <n v="17.66"/>
    <n v="0"/>
    <n v="52.98"/>
    <n v="6.7"/>
    <n v="19.79"/>
    <x v="1"/>
    <n v="52.980000000000004"/>
    <n v="0.37353718384295959"/>
    <n v="59.68"/>
  </r>
  <r>
    <x v="1339"/>
    <x v="610"/>
    <s v="Priya Ferrari"/>
    <x v="1"/>
    <s v="Canada"/>
    <x v="0"/>
    <x v="0"/>
    <x v="0"/>
    <n v="5"/>
    <n v="185.01"/>
    <n v="0"/>
    <n v="925.05"/>
    <n v="11.11"/>
    <n v="405.16"/>
    <x v="3"/>
    <n v="925.05"/>
    <n v="0.4379871358304957"/>
    <n v="936.16"/>
  </r>
  <r>
    <x v="1340"/>
    <x v="611"/>
    <s v="Emma MÃ¼ller"/>
    <x v="0"/>
    <s v="Germany"/>
    <x v="1"/>
    <x v="3"/>
    <x v="11"/>
    <n v="5"/>
    <n v="82.49"/>
    <n v="10"/>
    <n v="371.2"/>
    <n v="12.32"/>
    <n v="152.66"/>
    <x v="1"/>
    <n v="412.45"/>
    <n v="0.41126077586206899"/>
    <n v="383.52"/>
  </r>
  <r>
    <x v="1341"/>
    <x v="612"/>
    <s v="Clara Laurent"/>
    <x v="0"/>
    <s v="United States"/>
    <x v="0"/>
    <x v="2"/>
    <x v="5"/>
    <n v="6"/>
    <n v="71.81"/>
    <n v="5"/>
    <n v="409.32"/>
    <n v="15.55"/>
    <n v="135.25"/>
    <x v="1"/>
    <n v="430.86"/>
    <n v="0.33042607251050521"/>
    <n v="424.87"/>
  </r>
  <r>
    <x v="1342"/>
    <x v="613"/>
    <s v="Liam Rodriguez"/>
    <x v="1"/>
    <s v="Nigeria"/>
    <x v="2"/>
    <x v="0"/>
    <x v="35"/>
    <n v="5"/>
    <n v="67.72"/>
    <n v="0"/>
    <n v="338.6"/>
    <n v="14.18"/>
    <n v="138.19"/>
    <x v="1"/>
    <n v="338.6"/>
    <n v="0.40812167749556993"/>
    <n v="352.78000000000003"/>
  </r>
  <r>
    <x v="1343"/>
    <x v="614"/>
    <s v="Marco Kim"/>
    <x v="2"/>
    <s v="Argentina"/>
    <x v="4"/>
    <x v="1"/>
    <x v="2"/>
    <n v="2"/>
    <n v="5.74"/>
    <n v="20"/>
    <n v="9.18"/>
    <n v="13.02"/>
    <n v="-9.01"/>
    <x v="1"/>
    <n v="11.48"/>
    <n v="-0.98148148148148151"/>
    <n v="22.2"/>
  </r>
  <r>
    <x v="1344"/>
    <x v="614"/>
    <s v="Robert Rodriguez"/>
    <x v="1"/>
    <s v="Japan"/>
    <x v="3"/>
    <x v="0"/>
    <x v="3"/>
    <n v="4"/>
    <n v="87.29"/>
    <n v="0"/>
    <n v="349.16"/>
    <n v="12.84"/>
    <n v="144.28"/>
    <x v="3"/>
    <n v="349.16"/>
    <n v="0.41322030014892885"/>
    <n v="362"/>
  </r>
  <r>
    <x v="1345"/>
    <x v="615"/>
    <s v="Michael Nilsson"/>
    <x v="0"/>
    <s v="Argentina"/>
    <x v="4"/>
    <x v="0"/>
    <x v="31"/>
    <n v="2"/>
    <n v="95.46"/>
    <n v="10"/>
    <n v="171.83"/>
    <n v="14.34"/>
    <n v="52.48"/>
    <x v="1"/>
    <n v="190.92"/>
    <n v="0.30541814584182037"/>
    <n v="186.17000000000002"/>
  </r>
  <r>
    <x v="1346"/>
    <x v="615"/>
    <s v="Ali Leroy"/>
    <x v="1"/>
    <s v="South Korea"/>
    <x v="3"/>
    <x v="2"/>
    <x v="21"/>
    <n v="1"/>
    <n v="32.200000000000003"/>
    <n v="0"/>
    <n v="32.200000000000003"/>
    <n v="11.24"/>
    <n v="1.64"/>
    <x v="1"/>
    <n v="32.200000000000003"/>
    <n v="5.0931677018633534E-2"/>
    <n v="43.440000000000005"/>
  </r>
  <r>
    <x v="1347"/>
    <x v="616"/>
    <s v="Amir Rodriguez"/>
    <x v="1"/>
    <s v="Saudi Arabia"/>
    <x v="2"/>
    <x v="2"/>
    <x v="36"/>
    <n v="1"/>
    <n v="266.33"/>
    <n v="10"/>
    <n v="239.7"/>
    <n v="12.81"/>
    <n v="67.09"/>
    <x v="3"/>
    <n v="266.33"/>
    <n v="0.27989153108051734"/>
    <n v="252.51"/>
  </r>
  <r>
    <x v="1348"/>
    <x v="617"/>
    <s v="Karen Santos"/>
    <x v="1"/>
    <s v="United Kingdom"/>
    <x v="1"/>
    <x v="2"/>
    <x v="15"/>
    <n v="8"/>
    <n v="162.72999999999999"/>
    <n v="5"/>
    <n v="1236.75"/>
    <n v="21.92"/>
    <n v="433.73"/>
    <x v="3"/>
    <n v="1301.8399999999999"/>
    <n v="0.35070143521326058"/>
    <n v="1258.67"/>
  </r>
  <r>
    <x v="1349"/>
    <x v="618"/>
    <s v="Patricia Ferrari"/>
    <x v="1"/>
    <s v="Germany"/>
    <x v="1"/>
    <x v="1"/>
    <x v="38"/>
    <n v="4"/>
    <n v="9.15"/>
    <n v="0"/>
    <n v="36.6"/>
    <n v="14.1"/>
    <n v="6.03"/>
    <x v="0"/>
    <n v="36.6"/>
    <n v="0.16475409836065574"/>
    <n v="50.7"/>
  </r>
  <r>
    <x v="1350"/>
    <x v="618"/>
    <s v="Robert Harris"/>
    <x v="2"/>
    <s v="China"/>
    <x v="3"/>
    <x v="3"/>
    <x v="37"/>
    <n v="2"/>
    <n v="31.26"/>
    <n v="15"/>
    <n v="53.14"/>
    <n v="10.33"/>
    <n v="11.55"/>
    <x v="0"/>
    <n v="62.52"/>
    <n v="0.21735039518253671"/>
    <n v="63.47"/>
  </r>
  <r>
    <x v="1351"/>
    <x v="618"/>
    <s v="Hanna Weber"/>
    <x v="1"/>
    <s v="Canada"/>
    <x v="0"/>
    <x v="2"/>
    <x v="36"/>
    <n v="5"/>
    <n v="186.71"/>
    <n v="15"/>
    <n v="793.52"/>
    <n v="11.33"/>
    <n v="222.06"/>
    <x v="3"/>
    <n v="933.55000000000007"/>
    <n v="0.27984171791511242"/>
    <n v="804.85"/>
  </r>
  <r>
    <x v="1352"/>
    <x v="618"/>
    <s v="Mary Khan"/>
    <x v="2"/>
    <s v="United States"/>
    <x v="0"/>
    <x v="2"/>
    <x v="34"/>
    <n v="4"/>
    <n v="49.36"/>
    <n v="20"/>
    <n v="157.94999999999999"/>
    <n v="12.59"/>
    <n v="26.9"/>
    <x v="2"/>
    <n v="197.44"/>
    <n v="0.1703070591959481"/>
    <n v="170.54"/>
  </r>
  <r>
    <x v="1353"/>
    <x v="619"/>
    <s v="Christopher Martinez"/>
    <x v="1"/>
    <s v="India"/>
    <x v="3"/>
    <x v="2"/>
    <x v="5"/>
    <n v="3"/>
    <n v="68.02"/>
    <n v="15"/>
    <n v="173.45"/>
    <n v="15.65"/>
    <n v="35.36"/>
    <x v="2"/>
    <n v="204.06"/>
    <n v="0.20386278466416835"/>
    <n v="189.1"/>
  </r>
  <r>
    <x v="1354"/>
    <x v="620"/>
    <s v="Giulia Rodriguez"/>
    <x v="2"/>
    <s v="Saudi Arabia"/>
    <x v="2"/>
    <x v="2"/>
    <x v="21"/>
    <n v="4"/>
    <n v="79.25"/>
    <n v="20"/>
    <n v="253.6"/>
    <n v="18.23"/>
    <n v="45.17"/>
    <x v="1"/>
    <n v="317"/>
    <n v="0.17811514195583597"/>
    <n v="271.83"/>
  </r>
  <r>
    <x v="1355"/>
    <x v="620"/>
    <s v="Barbara Sharma"/>
    <x v="0"/>
    <s v="Canada"/>
    <x v="0"/>
    <x v="0"/>
    <x v="35"/>
    <n v="1"/>
    <n v="43.25"/>
    <n v="5"/>
    <n v="41.09"/>
    <n v="5.62"/>
    <n v="11.68"/>
    <x v="3"/>
    <n v="43.25"/>
    <n v="0.28425407641761985"/>
    <n v="46.71"/>
  </r>
  <r>
    <x v="1356"/>
    <x v="620"/>
    <s v="Thomas Laurent"/>
    <x v="1"/>
    <s v="China"/>
    <x v="3"/>
    <x v="2"/>
    <x v="15"/>
    <n v="2"/>
    <n v="306.48"/>
    <n v="0"/>
    <n v="612.96"/>
    <n v="11.3"/>
    <n v="233.88"/>
    <x v="1"/>
    <n v="612.96"/>
    <n v="0.38155833985904458"/>
    <n v="624.26"/>
  </r>
  <r>
    <x v="1357"/>
    <x v="620"/>
    <s v="Michael Davis"/>
    <x v="2"/>
    <s v="Mexico"/>
    <x v="0"/>
    <x v="0"/>
    <x v="29"/>
    <n v="2"/>
    <n v="52.22"/>
    <n v="15"/>
    <n v="88.77"/>
    <n v="9.8800000000000008"/>
    <n v="21.45"/>
    <x v="0"/>
    <n v="104.44"/>
    <n v="0.24163568773234201"/>
    <n v="98.649999999999991"/>
  </r>
  <r>
    <x v="1358"/>
    <x v="620"/>
    <s v="Isabella Tanaka"/>
    <x v="1"/>
    <s v="Germany"/>
    <x v="1"/>
    <x v="2"/>
    <x v="34"/>
    <n v="1"/>
    <n v="16.32"/>
    <n v="10"/>
    <n v="14.69"/>
    <n v="9.3699999999999992"/>
    <n v="-4.47"/>
    <x v="1"/>
    <n v="16.32"/>
    <n v="-0.30428863172226006"/>
    <n v="24.06"/>
  </r>
  <r>
    <x v="1359"/>
    <x v="620"/>
    <s v="Barbara Singh"/>
    <x v="1"/>
    <s v="United States"/>
    <x v="0"/>
    <x v="0"/>
    <x v="22"/>
    <n v="6"/>
    <n v="92.96"/>
    <n v="0"/>
    <n v="557.76"/>
    <n v="10.11"/>
    <n v="240.88"/>
    <x v="3"/>
    <n v="557.76"/>
    <n v="0.43187033849684453"/>
    <n v="567.87"/>
  </r>
  <r>
    <x v="1360"/>
    <x v="621"/>
    <s v="Raj Garcia"/>
    <x v="1"/>
    <s v="Argentina"/>
    <x v="4"/>
    <x v="0"/>
    <x v="7"/>
    <n v="7"/>
    <n v="63.72"/>
    <n v="20"/>
    <n v="356.83"/>
    <n v="27.31"/>
    <n v="84.2"/>
    <x v="1"/>
    <n v="446.03999999999996"/>
    <n v="0.23596670683518764"/>
    <n v="384.14"/>
  </r>
  <r>
    <x v="1361"/>
    <x v="622"/>
    <s v="Kenji Martin"/>
    <x v="1"/>
    <s v="Italy"/>
    <x v="1"/>
    <x v="2"/>
    <x v="36"/>
    <n v="1"/>
    <n v="291.52"/>
    <n v="0"/>
    <n v="291.52"/>
    <n v="8.7799999999999994"/>
    <n v="107.83"/>
    <x v="1"/>
    <n v="291.52"/>
    <n v="0.36988885839736557"/>
    <n v="300.29999999999995"/>
  </r>
  <r>
    <x v="1362"/>
    <x v="623"/>
    <s v="Isabella Davis"/>
    <x v="1"/>
    <s v="France"/>
    <x v="1"/>
    <x v="3"/>
    <x v="24"/>
    <n v="3"/>
    <n v="62.51"/>
    <n v="20"/>
    <n v="150.02000000000001"/>
    <n v="12.95"/>
    <n v="43.31"/>
    <x v="2"/>
    <n v="187.53"/>
    <n v="0.28869484068790829"/>
    <n v="162.97"/>
  </r>
  <r>
    <x v="1363"/>
    <x v="624"/>
    <s v="Mary Patel"/>
    <x v="1"/>
    <s v="Spain"/>
    <x v="1"/>
    <x v="0"/>
    <x v="31"/>
    <n v="1"/>
    <n v="72.27"/>
    <n v="10"/>
    <n v="65.040000000000006"/>
    <n v="9.2200000000000006"/>
    <n v="16.07"/>
    <x v="3"/>
    <n v="72.27"/>
    <n v="0.24707872078720786"/>
    <n v="74.260000000000005"/>
  </r>
  <r>
    <x v="1364"/>
    <x v="625"/>
    <s v="Christopher Clark"/>
    <x v="0"/>
    <s v="Colombia"/>
    <x v="4"/>
    <x v="0"/>
    <x v="31"/>
    <n v="1"/>
    <n v="62.62"/>
    <n v="10"/>
    <n v="56.36"/>
    <n v="11.29"/>
    <n v="10.63"/>
    <x v="2"/>
    <n v="62.62"/>
    <n v="0.18860894251242016"/>
    <n v="67.650000000000006"/>
  </r>
  <r>
    <x v="1365"/>
    <x v="625"/>
    <s v="Mia Weber"/>
    <x v="1"/>
    <s v="Italy"/>
    <x v="1"/>
    <x v="2"/>
    <x v="8"/>
    <n v="7"/>
    <n v="46.41"/>
    <n v="25"/>
    <n v="243.65"/>
    <n v="12.24"/>
    <n v="36.49"/>
    <x v="0"/>
    <n v="324.87"/>
    <n v="0.14976400574594706"/>
    <n v="255.89000000000001"/>
  </r>
  <r>
    <x v="1366"/>
    <x v="626"/>
    <s v="Marco Davis"/>
    <x v="1"/>
    <s v="Australia"/>
    <x v="3"/>
    <x v="3"/>
    <x v="33"/>
    <n v="4"/>
    <n v="27.85"/>
    <n v="5"/>
    <n v="105.83"/>
    <n v="18.91"/>
    <n v="31.22"/>
    <x v="2"/>
    <n v="111.4"/>
    <n v="0.29500141736747615"/>
    <n v="124.74"/>
  </r>
  <r>
    <x v="1367"/>
    <x v="626"/>
    <s v="Maria Moreau"/>
    <x v="1"/>
    <s v="Germany"/>
    <x v="1"/>
    <x v="3"/>
    <x v="33"/>
    <n v="6"/>
    <n v="35.29"/>
    <n v="5"/>
    <n v="201.15"/>
    <n v="17.46"/>
    <n v="77.819999999999993"/>
    <x v="0"/>
    <n v="211.74"/>
    <n v="0.38687546607009687"/>
    <n v="218.61"/>
  </r>
  <r>
    <x v="1368"/>
    <x v="626"/>
    <s v="James Patel"/>
    <x v="0"/>
    <s v="Mexico"/>
    <x v="0"/>
    <x v="0"/>
    <x v="1"/>
    <n v="2"/>
    <n v="148.04"/>
    <n v="5"/>
    <n v="281.27999999999997"/>
    <n v="9.59"/>
    <n v="108.85"/>
    <x v="1"/>
    <n v="296.08"/>
    <n v="0.38698094425483504"/>
    <n v="290.86999999999995"/>
  </r>
  <r>
    <x v="1369"/>
    <x v="626"/>
    <s v="Priya Singh"/>
    <x v="1"/>
    <s v="Italy"/>
    <x v="1"/>
    <x v="3"/>
    <x v="37"/>
    <n v="5"/>
    <n v="26.79"/>
    <n v="0"/>
    <n v="133.94999999999999"/>
    <n v="18.600000000000001"/>
    <n v="48.37"/>
    <x v="2"/>
    <n v="133.94999999999999"/>
    <n v="0.36110488988428519"/>
    <n v="152.54999999999998"/>
  </r>
  <r>
    <x v="1370"/>
    <x v="627"/>
    <s v="Ayumi Smith"/>
    <x v="1"/>
    <s v="China"/>
    <x v="3"/>
    <x v="3"/>
    <x v="24"/>
    <n v="2"/>
    <n v="27.73"/>
    <n v="10"/>
    <n v="49.91"/>
    <n v="11.7"/>
    <n v="10.48"/>
    <x v="2"/>
    <n v="55.46"/>
    <n v="0.20997796032859148"/>
    <n v="61.61"/>
  </r>
  <r>
    <x v="1371"/>
    <x v="627"/>
    <s v="Emma Clark"/>
    <x v="1"/>
    <s v="Mexico"/>
    <x v="0"/>
    <x v="1"/>
    <x v="17"/>
    <n v="4"/>
    <n v="9.42"/>
    <n v="5"/>
    <n v="35.799999999999997"/>
    <n v="14.51"/>
    <n v="4.33"/>
    <x v="0"/>
    <n v="37.68"/>
    <n v="0.12094972067039107"/>
    <n v="50.309999999999995"/>
  </r>
  <r>
    <x v="1372"/>
    <x v="628"/>
    <s v="Li Harris"/>
    <x v="1"/>
    <s v="India"/>
    <x v="3"/>
    <x v="0"/>
    <x v="0"/>
    <n v="1"/>
    <n v="119.38"/>
    <n v="0"/>
    <n v="119.38"/>
    <n v="9.73"/>
    <n v="43.99"/>
    <x v="1"/>
    <n v="119.38"/>
    <n v="0.36848718378287826"/>
    <n v="129.10999999999999"/>
  </r>
  <r>
    <x v="1373"/>
    <x v="628"/>
    <s v="Noah Suzuki"/>
    <x v="1"/>
    <s v="Japan"/>
    <x v="3"/>
    <x v="0"/>
    <x v="3"/>
    <n v="3"/>
    <n v="57.05"/>
    <n v="15"/>
    <n v="145.47999999999999"/>
    <n v="10.86"/>
    <n v="40.49"/>
    <x v="3"/>
    <n v="171.14999999999998"/>
    <n v="0.27832004399230137"/>
    <n v="156.33999999999997"/>
  </r>
  <r>
    <x v="1374"/>
    <x v="629"/>
    <s v="Omar Yamamoto"/>
    <x v="1"/>
    <s v="Nigeria"/>
    <x v="2"/>
    <x v="1"/>
    <x v="20"/>
    <n v="8"/>
    <n v="14.06"/>
    <n v="15"/>
    <n v="95.61"/>
    <n v="23.41"/>
    <n v="21.58"/>
    <x v="1"/>
    <n v="112.48"/>
    <n v="0.22570860788620437"/>
    <n v="119.02"/>
  </r>
  <r>
    <x v="1375"/>
    <x v="629"/>
    <s v="Robert Wang"/>
    <x v="2"/>
    <s v="Canada"/>
    <x v="0"/>
    <x v="3"/>
    <x v="37"/>
    <n v="5"/>
    <n v="51.1"/>
    <n v="10"/>
    <n v="229.95"/>
    <n v="11.04"/>
    <n v="91.16"/>
    <x v="3"/>
    <n v="255.5"/>
    <n v="0.39643400739291151"/>
    <n v="240.98999999999998"/>
  </r>
  <r>
    <x v="1376"/>
    <x v="630"/>
    <s v="Ayumi Pereira"/>
    <x v="1"/>
    <s v="Canada"/>
    <x v="0"/>
    <x v="3"/>
    <x v="16"/>
    <n v="1"/>
    <n v="26.45"/>
    <n v="15"/>
    <n v="22.48"/>
    <n v="6.09"/>
    <n v="3.17"/>
    <x v="2"/>
    <n v="26.45"/>
    <n v="0.14101423487544484"/>
    <n v="28.57"/>
  </r>
  <r>
    <x v="1377"/>
    <x v="630"/>
    <s v="Chen Rossi"/>
    <x v="0"/>
    <s v="Canada"/>
    <x v="0"/>
    <x v="1"/>
    <x v="23"/>
    <n v="1"/>
    <n v="15.54"/>
    <n v="25"/>
    <n v="11.65"/>
    <n v="6.71"/>
    <n v="-2.0499999999999998"/>
    <x v="0"/>
    <n v="15.54"/>
    <n v="-0.17596566523605148"/>
    <n v="18.36"/>
  </r>
  <r>
    <x v="1378"/>
    <x v="631"/>
    <s v="Ahmed Dubois"/>
    <x v="1"/>
    <s v="Mexico"/>
    <x v="0"/>
    <x v="2"/>
    <x v="32"/>
    <n v="1"/>
    <n v="42.63"/>
    <n v="0"/>
    <n v="42.63"/>
    <n v="7.17"/>
    <n v="9.8800000000000008"/>
    <x v="1"/>
    <n v="42.63"/>
    <n v="0.23176167018531552"/>
    <n v="49.800000000000004"/>
  </r>
  <r>
    <x v="1379"/>
    <x v="631"/>
    <s v="Robert Chen"/>
    <x v="1"/>
    <s v="Canada"/>
    <x v="0"/>
    <x v="2"/>
    <x v="4"/>
    <n v="1"/>
    <n v="302.08"/>
    <n v="10"/>
    <n v="271.87"/>
    <n v="6.17"/>
    <n v="84.45"/>
    <x v="2"/>
    <n v="302.08"/>
    <n v="0.31062640232464045"/>
    <n v="278.04000000000002"/>
  </r>
  <r>
    <x v="1380"/>
    <x v="632"/>
    <s v="Kenji Smith"/>
    <x v="1"/>
    <s v="Germany"/>
    <x v="1"/>
    <x v="2"/>
    <x v="34"/>
    <n v="3"/>
    <n v="22.63"/>
    <n v="5"/>
    <n v="64.5"/>
    <n v="12.28"/>
    <n v="11.49"/>
    <x v="1"/>
    <n v="67.89"/>
    <n v="0.17813953488372095"/>
    <n v="76.78"/>
  </r>
  <r>
    <x v="1381"/>
    <x v="632"/>
    <s v="Jessica Moreau"/>
    <x v="1"/>
    <s v="United States"/>
    <x v="0"/>
    <x v="2"/>
    <x v="32"/>
    <n v="2"/>
    <n v="60.59"/>
    <n v="0"/>
    <n v="121.18"/>
    <n v="7.99"/>
    <n v="40.479999999999997"/>
    <x v="1"/>
    <n v="121.18"/>
    <n v="0.33404852285855746"/>
    <n v="129.17000000000002"/>
  </r>
  <r>
    <x v="1382"/>
    <x v="633"/>
    <s v="Patricia Park"/>
    <x v="0"/>
    <s v="Mexico"/>
    <x v="0"/>
    <x v="1"/>
    <x v="12"/>
    <n v="2"/>
    <n v="16.2"/>
    <n v="10"/>
    <n v="29.16"/>
    <n v="6.5"/>
    <n v="8.08"/>
    <x v="3"/>
    <n v="32.4"/>
    <n v="0.27709190672153633"/>
    <n v="35.659999999999997"/>
  </r>
  <r>
    <x v="1383"/>
    <x v="633"/>
    <s v="James Ahmed"/>
    <x v="2"/>
    <s v="Canada"/>
    <x v="0"/>
    <x v="0"/>
    <x v="0"/>
    <n v="1"/>
    <n v="230.1"/>
    <n v="5"/>
    <n v="218.59"/>
    <n v="7.29"/>
    <n v="84.74"/>
    <x v="1"/>
    <n v="230.1"/>
    <n v="0.38766640742943409"/>
    <n v="225.88"/>
  </r>
  <r>
    <x v="1384"/>
    <x v="634"/>
    <s v="Oscar Martinez"/>
    <x v="0"/>
    <s v="Japan"/>
    <x v="3"/>
    <x v="0"/>
    <x v="3"/>
    <n v="7"/>
    <n v="78.3"/>
    <n v="15"/>
    <n v="465.88"/>
    <n v="25.97"/>
    <n v="138.44999999999999"/>
    <x v="1"/>
    <n v="548.1"/>
    <n v="0.29717953120975354"/>
    <n v="491.85"/>
  </r>
  <r>
    <x v="1385"/>
    <x v="635"/>
    <s v="Li Suzuki"/>
    <x v="1"/>
    <s v="Italy"/>
    <x v="1"/>
    <x v="2"/>
    <x v="8"/>
    <n v="3"/>
    <n v="46.46"/>
    <n v="20"/>
    <n v="111.5"/>
    <n v="8.73"/>
    <n v="19.14"/>
    <x v="2"/>
    <n v="139.38"/>
    <n v="0.17165919282511211"/>
    <n v="120.23"/>
  </r>
  <r>
    <x v="1386"/>
    <x v="636"/>
    <s v="Jessica Schmidt"/>
    <x v="1"/>
    <s v="India"/>
    <x v="3"/>
    <x v="3"/>
    <x v="27"/>
    <n v="3"/>
    <n v="53.74"/>
    <n v="10"/>
    <n v="145.1"/>
    <n v="16.16"/>
    <n v="48.33"/>
    <x v="1"/>
    <n v="161.22"/>
    <n v="0.33308063404548588"/>
    <n v="161.26"/>
  </r>
  <r>
    <x v="1387"/>
    <x v="637"/>
    <s v="Isabella Jackson"/>
    <x v="0"/>
    <s v="Japan"/>
    <x v="3"/>
    <x v="1"/>
    <x v="10"/>
    <n v="1"/>
    <n v="3.03"/>
    <n v="20"/>
    <n v="2.42"/>
    <n v="11.16"/>
    <n v="-10.1"/>
    <x v="0"/>
    <n v="3.03"/>
    <n v="-4.1735537190082646"/>
    <n v="13.58"/>
  </r>
  <r>
    <x v="1388"/>
    <x v="637"/>
    <s v="Thomas Tanaka"/>
    <x v="1"/>
    <s v="India"/>
    <x v="3"/>
    <x v="1"/>
    <x v="17"/>
    <n v="1"/>
    <n v="15.32"/>
    <n v="0"/>
    <n v="15.32"/>
    <n v="10.87"/>
    <n v="-2.44"/>
    <x v="1"/>
    <n v="15.32"/>
    <n v="-0.15926892950391644"/>
    <n v="26.189999999999998"/>
  </r>
  <r>
    <x v="1389"/>
    <x v="637"/>
    <s v="Mary Miller"/>
    <x v="2"/>
    <s v="France"/>
    <x v="1"/>
    <x v="0"/>
    <x v="35"/>
    <n v="1"/>
    <n v="47.45"/>
    <n v="20"/>
    <n v="37.96"/>
    <n v="8.7200000000000006"/>
    <n v="3.14"/>
    <x v="1"/>
    <n v="47.45"/>
    <n v="8.27186512118019E-2"/>
    <n v="46.68"/>
  </r>
  <r>
    <x v="1390"/>
    <x v="637"/>
    <s v="Sakura Harris"/>
    <x v="1"/>
    <s v="Germany"/>
    <x v="1"/>
    <x v="1"/>
    <x v="19"/>
    <n v="1"/>
    <n v="12.93"/>
    <n v="0"/>
    <n v="12.93"/>
    <n v="8.94"/>
    <n v="-1.83"/>
    <x v="2"/>
    <n v="12.93"/>
    <n v="-0.14153132250580047"/>
    <n v="21.869999999999997"/>
  </r>
  <r>
    <x v="1391"/>
    <x v="638"/>
    <s v="Richard Dubois"/>
    <x v="2"/>
    <s v="Mexico"/>
    <x v="0"/>
    <x v="3"/>
    <x v="13"/>
    <n v="1"/>
    <n v="71.91"/>
    <n v="5"/>
    <n v="68.31"/>
    <n v="7.27"/>
    <n v="25.09"/>
    <x v="1"/>
    <n v="71.91"/>
    <n v="0.36729614990484555"/>
    <n v="75.58"/>
  </r>
  <r>
    <x v="1392"/>
    <x v="638"/>
    <s v="Raj Yamamoto"/>
    <x v="1"/>
    <s v="South Korea"/>
    <x v="3"/>
    <x v="0"/>
    <x v="1"/>
    <n v="1"/>
    <n v="167.77"/>
    <n v="0"/>
    <n v="167.77"/>
    <n v="10.07"/>
    <n v="65.430000000000007"/>
    <x v="1"/>
    <n v="167.77"/>
    <n v="0.38999821183763489"/>
    <n v="177.84"/>
  </r>
  <r>
    <x v="1393"/>
    <x v="639"/>
    <s v="Ethan Li"/>
    <x v="1"/>
    <s v="China"/>
    <x v="3"/>
    <x v="3"/>
    <x v="13"/>
    <n v="2"/>
    <n v="61.54"/>
    <n v="0"/>
    <n v="123.08"/>
    <n v="12.34"/>
    <n v="49.2"/>
    <x v="1"/>
    <n v="123.08"/>
    <n v="0.39974000649983754"/>
    <n v="135.41999999999999"/>
  </r>
  <r>
    <x v="1394"/>
    <x v="639"/>
    <s v="Amir Taylor"/>
    <x v="1"/>
    <s v="France"/>
    <x v="1"/>
    <x v="0"/>
    <x v="1"/>
    <n v="1"/>
    <n v="146.19999999999999"/>
    <n v="5"/>
    <n v="138.88999999999999"/>
    <n v="7.89"/>
    <n v="50.59"/>
    <x v="0"/>
    <n v="146.19999999999999"/>
    <n v="0.36424508603931177"/>
    <n v="146.77999999999997"/>
  </r>
  <r>
    <x v="1395"/>
    <x v="640"/>
    <s v="Clara Costa"/>
    <x v="0"/>
    <s v="Germany"/>
    <x v="1"/>
    <x v="2"/>
    <x v="34"/>
    <n v="1"/>
    <n v="40.32"/>
    <n v="10"/>
    <n v="36.29"/>
    <n v="9.2899999999999991"/>
    <n v="2.81"/>
    <x v="0"/>
    <n v="40.32"/>
    <n v="7.7431799393772399E-2"/>
    <n v="45.58"/>
  </r>
  <r>
    <x v="1396"/>
    <x v="641"/>
    <s v="Elizabeth Schmidt"/>
    <x v="1"/>
    <s v="China"/>
    <x v="3"/>
    <x v="0"/>
    <x v="0"/>
    <n v="6"/>
    <n v="228"/>
    <n v="15"/>
    <n v="1162.8"/>
    <n v="21.34"/>
    <n v="389.06"/>
    <x v="1"/>
    <n v="1368"/>
    <n v="0.33458892328861373"/>
    <n v="1184.1399999999999"/>
  </r>
  <r>
    <x v="1397"/>
    <x v="641"/>
    <s v="Raj Martinez"/>
    <x v="1"/>
    <s v="Brazil"/>
    <x v="4"/>
    <x v="0"/>
    <x v="0"/>
    <n v="9"/>
    <n v="107.1"/>
    <n v="0"/>
    <n v="963.9"/>
    <n v="24.75"/>
    <n v="409"/>
    <x v="2"/>
    <n v="963.9"/>
    <n v="0.42431787529826748"/>
    <n v="988.65"/>
  </r>
  <r>
    <x v="1398"/>
    <x v="642"/>
    <s v="Ahmed Smith"/>
    <x v="1"/>
    <s v="Mexico"/>
    <x v="0"/>
    <x v="1"/>
    <x v="25"/>
    <n v="1"/>
    <n v="11.74"/>
    <n v="5"/>
    <n v="11.15"/>
    <n v="7.16"/>
    <n v="-1.29"/>
    <x v="1"/>
    <n v="11.74"/>
    <n v="-0.11569506726457399"/>
    <n v="18.310000000000002"/>
  </r>
  <r>
    <x v="1399"/>
    <x v="642"/>
    <s v="Karen Suzuki"/>
    <x v="2"/>
    <s v="Japan"/>
    <x v="3"/>
    <x v="0"/>
    <x v="31"/>
    <n v="2"/>
    <n v="182.51"/>
    <n v="5"/>
    <n v="346.77"/>
    <n v="10.49"/>
    <n v="135.52000000000001"/>
    <x v="3"/>
    <n v="365.02"/>
    <n v="0.39080658649825539"/>
    <n v="357.26"/>
  </r>
  <r>
    <x v="1400"/>
    <x v="643"/>
    <s v="Jamal Singh"/>
    <x v="2"/>
    <s v="Colombia"/>
    <x v="4"/>
    <x v="0"/>
    <x v="28"/>
    <n v="7"/>
    <n v="59.14"/>
    <n v="15"/>
    <n v="351.88"/>
    <n v="23.53"/>
    <n v="100.66"/>
    <x v="1"/>
    <n v="413.98"/>
    <n v="0.2860634307150165"/>
    <n v="375.40999999999997"/>
  </r>
  <r>
    <x v="1401"/>
    <x v="644"/>
    <s v="Ayumi Clark"/>
    <x v="2"/>
    <s v="United States"/>
    <x v="0"/>
    <x v="2"/>
    <x v="15"/>
    <n v="2"/>
    <n v="239.93"/>
    <n v="0"/>
    <n v="479.86"/>
    <n v="6.98"/>
    <n v="184.96"/>
    <x v="1"/>
    <n v="479.86"/>
    <n v="0.38544575501187844"/>
    <n v="486.84000000000003"/>
  </r>
  <r>
    <x v="1402"/>
    <x v="645"/>
    <s v="Lucas Yamamoto"/>
    <x v="1"/>
    <s v="South Africa"/>
    <x v="2"/>
    <x v="0"/>
    <x v="3"/>
    <n v="2"/>
    <n v="48.49"/>
    <n v="10"/>
    <n v="87.28"/>
    <n v="12.86"/>
    <n v="21.08"/>
    <x v="0"/>
    <n v="96.98"/>
    <n v="0.24152153987167735"/>
    <n v="100.14"/>
  </r>
  <r>
    <x v="1403"/>
    <x v="645"/>
    <s v="Olga Taylor"/>
    <x v="2"/>
    <s v="United States"/>
    <x v="0"/>
    <x v="0"/>
    <x v="29"/>
    <n v="4"/>
    <n v="45.77"/>
    <n v="10"/>
    <n v="164.77"/>
    <n v="13.41"/>
    <n v="50.67"/>
    <x v="1"/>
    <n v="183.08"/>
    <n v="0.30751957273775565"/>
    <n v="178.18"/>
  </r>
  <r>
    <x v="1404"/>
    <x v="646"/>
    <s v="Emma Dubois"/>
    <x v="1"/>
    <s v="France"/>
    <x v="1"/>
    <x v="1"/>
    <x v="19"/>
    <n v="6"/>
    <n v="14.68"/>
    <n v="15"/>
    <n v="74.87"/>
    <n v="15.34"/>
    <n v="19.89"/>
    <x v="1"/>
    <n v="88.08"/>
    <n v="0.26566047816214772"/>
    <n v="90.210000000000008"/>
  </r>
  <r>
    <x v="1405"/>
    <x v="647"/>
    <s v="Ingrid Williams"/>
    <x v="0"/>
    <s v="France"/>
    <x v="1"/>
    <x v="2"/>
    <x v="15"/>
    <n v="4"/>
    <n v="163.97"/>
    <n v="0"/>
    <n v="655.88"/>
    <n v="16.75"/>
    <n v="245.6"/>
    <x v="2"/>
    <n v="655.88"/>
    <n v="0.37445874245288774"/>
    <n v="672.63"/>
  </r>
  <r>
    <x v="1406"/>
    <x v="647"/>
    <s v="Jennifer Thomas"/>
    <x v="1"/>
    <s v="Brazil"/>
    <x v="4"/>
    <x v="3"/>
    <x v="11"/>
    <n v="3"/>
    <n v="55.66"/>
    <n v="5"/>
    <n v="158.63"/>
    <n v="16.73"/>
    <n v="58.41"/>
    <x v="0"/>
    <n v="166.98"/>
    <n v="0.36821534388198951"/>
    <n v="175.35999999999999"/>
  </r>
  <r>
    <x v="1407"/>
    <x v="647"/>
    <s v="Joseph Weber"/>
    <x v="1"/>
    <s v="Canada"/>
    <x v="0"/>
    <x v="0"/>
    <x v="31"/>
    <n v="1"/>
    <n v="112.7"/>
    <n v="5"/>
    <n v="107.06"/>
    <n v="6.08"/>
    <n v="38.99"/>
    <x v="1"/>
    <n v="112.7"/>
    <n v="0.36418830562301513"/>
    <n v="113.14"/>
  </r>
  <r>
    <x v="1408"/>
    <x v="647"/>
    <s v="Hanna Williams"/>
    <x v="0"/>
    <s v="Mexico"/>
    <x v="0"/>
    <x v="0"/>
    <x v="3"/>
    <n v="4"/>
    <n v="71.02"/>
    <n v="15"/>
    <n v="241.47"/>
    <n v="7.41"/>
    <n v="77.819999999999993"/>
    <x v="2"/>
    <n v="284.08"/>
    <n v="0.32227605913778107"/>
    <n v="248.88"/>
  </r>
  <r>
    <x v="1409"/>
    <x v="648"/>
    <s v="Olivia Zhang"/>
    <x v="1"/>
    <s v="Mexico"/>
    <x v="0"/>
    <x v="1"/>
    <x v="10"/>
    <n v="3"/>
    <n v="3.72"/>
    <n v="0"/>
    <n v="11.16"/>
    <n v="9.25"/>
    <n v="-3.11"/>
    <x v="2"/>
    <n v="11.16"/>
    <n v="-0.27867383512544802"/>
    <n v="20.41"/>
  </r>
  <r>
    <x v="1410"/>
    <x v="649"/>
    <s v="Chen Romano"/>
    <x v="1"/>
    <s v="South Korea"/>
    <x v="3"/>
    <x v="1"/>
    <x v="17"/>
    <n v="2"/>
    <n v="11.45"/>
    <n v="5"/>
    <n v="21.75"/>
    <n v="11.85"/>
    <n v="-0.4"/>
    <x v="3"/>
    <n v="22.9"/>
    <n v="-1.8390804597701149E-2"/>
    <n v="33.6"/>
  </r>
  <r>
    <x v="1411"/>
    <x v="649"/>
    <s v="Michael Leroy"/>
    <x v="2"/>
    <s v="United States"/>
    <x v="0"/>
    <x v="1"/>
    <x v="25"/>
    <n v="6"/>
    <n v="14.94"/>
    <n v="15"/>
    <n v="76.19"/>
    <n v="10.4"/>
    <n v="25.45"/>
    <x v="1"/>
    <n v="89.64"/>
    <n v="0.33403333770836069"/>
    <n v="86.59"/>
  </r>
  <r>
    <x v="1412"/>
    <x v="649"/>
    <s v="Kenji Johansson"/>
    <x v="1"/>
    <s v="Italy"/>
    <x v="1"/>
    <x v="0"/>
    <x v="3"/>
    <n v="1"/>
    <n v="52.34"/>
    <n v="5"/>
    <n v="49.72"/>
    <n v="7.84"/>
    <n v="13.09"/>
    <x v="3"/>
    <n v="52.34"/>
    <n v="0.26327433628318586"/>
    <n v="57.56"/>
  </r>
  <r>
    <x v="1413"/>
    <x v="650"/>
    <s v="Robert Patel"/>
    <x v="0"/>
    <s v="South Korea"/>
    <x v="3"/>
    <x v="2"/>
    <x v="39"/>
    <n v="6"/>
    <n v="128.18"/>
    <n v="5"/>
    <n v="730.63"/>
    <n v="15.96"/>
    <n v="253.22"/>
    <x v="0"/>
    <n v="769.08"/>
    <n v="0.34657761110274693"/>
    <n v="746.59"/>
  </r>
  <r>
    <x v="1414"/>
    <x v="651"/>
    <s v="Jessica Park"/>
    <x v="2"/>
    <s v="Spain"/>
    <x v="1"/>
    <x v="1"/>
    <x v="2"/>
    <n v="1"/>
    <n v="7.4"/>
    <n v="0"/>
    <n v="7.4"/>
    <n v="8.0500000000000007"/>
    <n v="-3.98"/>
    <x v="2"/>
    <n v="7.4"/>
    <n v="-0.53783783783783778"/>
    <n v="15.450000000000001"/>
  </r>
  <r>
    <x v="1415"/>
    <x v="651"/>
    <s v="Maria MÃ¼ller"/>
    <x v="0"/>
    <s v="United States"/>
    <x v="0"/>
    <x v="1"/>
    <x v="17"/>
    <n v="1"/>
    <n v="12.48"/>
    <n v="10"/>
    <n v="11.23"/>
    <n v="5.52"/>
    <n v="0.09"/>
    <x v="1"/>
    <n v="12.48"/>
    <n v="8.0142475512021364E-3"/>
    <n v="16.75"/>
  </r>
  <r>
    <x v="1416"/>
    <x v="652"/>
    <s v="Hans MÃ¼ller"/>
    <x v="1"/>
    <s v="Nigeria"/>
    <x v="2"/>
    <x v="2"/>
    <x v="14"/>
    <n v="1"/>
    <n v="418.59"/>
    <n v="0"/>
    <n v="418.59"/>
    <n v="12.47"/>
    <n v="154.97"/>
    <x v="1"/>
    <n v="418.59"/>
    <n v="0.3702190687785184"/>
    <n v="431.06"/>
  </r>
  <r>
    <x v="1417"/>
    <x v="653"/>
    <s v="John Rodriguez"/>
    <x v="1"/>
    <s v="Argentina"/>
    <x v="4"/>
    <x v="0"/>
    <x v="18"/>
    <n v="2"/>
    <n v="28.19"/>
    <n v="5"/>
    <n v="53.56"/>
    <n v="12.32"/>
    <n v="10.23"/>
    <x v="0"/>
    <n v="56.38"/>
    <n v="0.19100074682598955"/>
    <n v="65.88"/>
  </r>
  <r>
    <x v="1418"/>
    <x v="654"/>
    <s v="Susan White"/>
    <x v="2"/>
    <s v="Brazil"/>
    <x v="4"/>
    <x v="0"/>
    <x v="35"/>
    <n v="9"/>
    <n v="45.95"/>
    <n v="20"/>
    <n v="330.84"/>
    <n v="24.56"/>
    <n v="78.83"/>
    <x v="1"/>
    <n v="413.55"/>
    <n v="0.23827227662918632"/>
    <n v="355.4"/>
  </r>
  <r>
    <x v="1419"/>
    <x v="655"/>
    <s v="Ivan Leroy"/>
    <x v="2"/>
    <s v="Mexico"/>
    <x v="0"/>
    <x v="3"/>
    <x v="9"/>
    <n v="1"/>
    <n v="48.23"/>
    <n v="0"/>
    <n v="48.23"/>
    <n v="6.21"/>
    <n v="17.899999999999999"/>
    <x v="3"/>
    <n v="48.23"/>
    <n v="0.37113829566659756"/>
    <n v="54.44"/>
  </r>
  <r>
    <x v="1420"/>
    <x v="656"/>
    <s v="Sarah Sharma"/>
    <x v="2"/>
    <s v="Mexico"/>
    <x v="0"/>
    <x v="1"/>
    <x v="19"/>
    <n v="5"/>
    <n v="13.18"/>
    <n v="20"/>
    <n v="52.72"/>
    <n v="12.13"/>
    <n v="10.93"/>
    <x v="3"/>
    <n v="65.900000000000006"/>
    <n v="0.20732169954476479"/>
    <n v="64.849999999999994"/>
  </r>
  <r>
    <x v="1421"/>
    <x v="656"/>
    <s v="Giulia Singh"/>
    <x v="1"/>
    <s v="United States"/>
    <x v="0"/>
    <x v="3"/>
    <x v="33"/>
    <n v="1"/>
    <n v="17.18"/>
    <n v="0"/>
    <n v="17.18"/>
    <n v="7.15"/>
    <n v="1.44"/>
    <x v="2"/>
    <n v="17.18"/>
    <n v="8.381839348079162E-2"/>
    <n v="24.33"/>
  </r>
  <r>
    <x v="1422"/>
    <x v="656"/>
    <s v="Giulia Taylor"/>
    <x v="1"/>
    <s v="Germany"/>
    <x v="1"/>
    <x v="2"/>
    <x v="5"/>
    <n v="2"/>
    <n v="135.69"/>
    <n v="10"/>
    <n v="244.24"/>
    <n v="8.42"/>
    <n v="72.989999999999995"/>
    <x v="2"/>
    <n v="271.38"/>
    <n v="0.29884539796921056"/>
    <n v="252.66"/>
  </r>
  <r>
    <x v="1423"/>
    <x v="657"/>
    <s v="Xiao Weber"/>
    <x v="2"/>
    <s v="United Kingdom"/>
    <x v="1"/>
    <x v="3"/>
    <x v="26"/>
    <n v="1"/>
    <n v="34.17"/>
    <n v="5"/>
    <n v="32.46"/>
    <n v="8.6999999999999993"/>
    <n v="6.68"/>
    <x v="3"/>
    <n v="34.17"/>
    <n v="0.20579174368453479"/>
    <n v="41.16"/>
  </r>
  <r>
    <x v="1424"/>
    <x v="657"/>
    <s v="Jennifer Harris"/>
    <x v="2"/>
    <s v="Italy"/>
    <x v="1"/>
    <x v="0"/>
    <x v="3"/>
    <n v="2"/>
    <n v="51.32"/>
    <n v="20"/>
    <n v="82.11"/>
    <n v="11.91"/>
    <n v="13.75"/>
    <x v="1"/>
    <n v="102.64"/>
    <n v="0.16745828766289125"/>
    <n v="94.02"/>
  </r>
  <r>
    <x v="1425"/>
    <x v="657"/>
    <s v="Pierre Leroy"/>
    <x v="2"/>
    <s v="Mexico"/>
    <x v="0"/>
    <x v="3"/>
    <x v="11"/>
    <n v="9"/>
    <n v="64.33"/>
    <n v="5"/>
    <n v="550.02"/>
    <n v="22.61"/>
    <n v="237.92"/>
    <x v="2"/>
    <n v="578.97"/>
    <n v="0.43256608850587253"/>
    <n v="572.63"/>
  </r>
  <r>
    <x v="1426"/>
    <x v="658"/>
    <s v="Mia Anderson"/>
    <x v="1"/>
    <s v="France"/>
    <x v="1"/>
    <x v="2"/>
    <x v="39"/>
    <n v="3"/>
    <n v="137.47"/>
    <n v="10"/>
    <n v="371.17"/>
    <n v="12.7"/>
    <n v="111.02"/>
    <x v="2"/>
    <n v="412.40999999999997"/>
    <n v="0.29910822534148768"/>
    <n v="383.87"/>
  </r>
  <r>
    <x v="1427"/>
    <x v="659"/>
    <s v="Richard Ali"/>
    <x v="1"/>
    <s v="Japan"/>
    <x v="3"/>
    <x v="3"/>
    <x v="27"/>
    <n v="1"/>
    <n v="61.85"/>
    <n v="0"/>
    <n v="61.85"/>
    <n v="11.16"/>
    <n v="19.77"/>
    <x v="2"/>
    <n v="61.85"/>
    <n v="0.31964430072756667"/>
    <n v="73.010000000000005"/>
  </r>
  <r>
    <x v="1428"/>
    <x v="659"/>
    <s v="Richard Zhang"/>
    <x v="0"/>
    <s v="Saudi Arabia"/>
    <x v="2"/>
    <x v="0"/>
    <x v="18"/>
    <n v="4"/>
    <n v="67.37"/>
    <n v="10"/>
    <n v="242.53"/>
    <n v="15.81"/>
    <n v="78.510000000000005"/>
    <x v="2"/>
    <n v="269.48"/>
    <n v="0.32371253040860926"/>
    <n v="258.33999999999997"/>
  </r>
  <r>
    <x v="1429"/>
    <x v="660"/>
    <s v="Ali Taylor"/>
    <x v="1"/>
    <s v="Mexico"/>
    <x v="0"/>
    <x v="0"/>
    <x v="3"/>
    <n v="3"/>
    <n v="81.59"/>
    <n v="5"/>
    <n v="232.53"/>
    <n v="7.31"/>
    <n v="90.6"/>
    <x v="2"/>
    <n v="244.77"/>
    <n v="0.38962714488453098"/>
    <n v="239.84"/>
  </r>
  <r>
    <x v="1430"/>
    <x v="661"/>
    <s v="Olivia White"/>
    <x v="1"/>
    <s v="India"/>
    <x v="3"/>
    <x v="2"/>
    <x v="34"/>
    <n v="3"/>
    <n v="48.66"/>
    <n v="5"/>
    <n v="138.68"/>
    <n v="11.5"/>
    <n v="39.590000000000003"/>
    <x v="0"/>
    <n v="145.97999999999999"/>
    <n v="0.28547735794635132"/>
    <n v="150.18"/>
  </r>
  <r>
    <x v="1431"/>
    <x v="661"/>
    <s v="Ahmed Zhang"/>
    <x v="0"/>
    <s v="United States"/>
    <x v="0"/>
    <x v="3"/>
    <x v="30"/>
    <n v="7"/>
    <n v="29.97"/>
    <n v="5"/>
    <n v="199.3"/>
    <n v="15.57"/>
    <n v="78.84"/>
    <x v="3"/>
    <n v="209.79"/>
    <n v="0.39558454591068742"/>
    <n v="214.87"/>
  </r>
  <r>
    <x v="1432"/>
    <x v="662"/>
    <s v="Layla Johansson"/>
    <x v="0"/>
    <s v="Nigeria"/>
    <x v="2"/>
    <x v="0"/>
    <x v="28"/>
    <n v="1"/>
    <n v="29.02"/>
    <n v="5"/>
    <n v="27.57"/>
    <n v="11.87"/>
    <n v="-0.26"/>
    <x v="0"/>
    <n v="29.02"/>
    <n v="-9.4305404425099743E-3"/>
    <n v="39.44"/>
  </r>
  <r>
    <x v="1433"/>
    <x v="663"/>
    <s v="Patricia Wang"/>
    <x v="0"/>
    <s v="Germany"/>
    <x v="1"/>
    <x v="2"/>
    <x v="21"/>
    <n v="2"/>
    <n v="78.8"/>
    <n v="5"/>
    <n v="149.72"/>
    <n v="11.19"/>
    <n v="43.97"/>
    <x v="2"/>
    <n v="157.6"/>
    <n v="0.2936815388725621"/>
    <n v="160.91"/>
  </r>
  <r>
    <x v="1434"/>
    <x v="663"/>
    <s v="Sakura Zhang"/>
    <x v="1"/>
    <s v="Spain"/>
    <x v="1"/>
    <x v="0"/>
    <x v="3"/>
    <n v="2"/>
    <n v="67.91"/>
    <n v="0"/>
    <n v="135.82"/>
    <n v="8.98"/>
    <n v="52.14"/>
    <x v="2"/>
    <n v="135.82"/>
    <n v="0.38389044323369165"/>
    <n v="144.79999999999998"/>
  </r>
  <r>
    <x v="1435"/>
    <x v="664"/>
    <s v="Carlos Jones"/>
    <x v="2"/>
    <s v="Mexico"/>
    <x v="0"/>
    <x v="1"/>
    <x v="6"/>
    <n v="3"/>
    <n v="17.48"/>
    <n v="10"/>
    <n v="47.2"/>
    <n v="7.91"/>
    <n v="15.69"/>
    <x v="2"/>
    <n v="52.44"/>
    <n v="0.33241525423728813"/>
    <n v="55.11"/>
  </r>
  <r>
    <x v="1436"/>
    <x v="665"/>
    <s v="John Martin"/>
    <x v="2"/>
    <s v="Germany"/>
    <x v="1"/>
    <x v="3"/>
    <x v="9"/>
    <n v="2"/>
    <n v="55.31"/>
    <n v="10"/>
    <n v="99.56"/>
    <n v="10.62"/>
    <n v="33.630000000000003"/>
    <x v="2"/>
    <n v="110.62"/>
    <n v="0.33778625954198477"/>
    <n v="110.18"/>
  </r>
  <r>
    <x v="1437"/>
    <x v="665"/>
    <s v="Emma Anderson"/>
    <x v="2"/>
    <s v="Mexico"/>
    <x v="0"/>
    <x v="0"/>
    <x v="29"/>
    <n v="5"/>
    <n v="25.46"/>
    <n v="5"/>
    <n v="120.94"/>
    <n v="16.36"/>
    <n v="34.56"/>
    <x v="1"/>
    <n v="127.30000000000001"/>
    <n v="0.28576153464527865"/>
    <n v="137.30000000000001"/>
  </r>
  <r>
    <x v="1438"/>
    <x v="665"/>
    <s v="Hans Ali"/>
    <x v="0"/>
    <s v="Italy"/>
    <x v="1"/>
    <x v="1"/>
    <x v="23"/>
    <n v="4"/>
    <n v="19.04"/>
    <n v="5"/>
    <n v="72.349999999999994"/>
    <n v="13.88"/>
    <n v="24.2"/>
    <x v="1"/>
    <n v="76.16"/>
    <n v="0.33448514167242571"/>
    <n v="86.22999999999999"/>
  </r>
  <r>
    <x v="1439"/>
    <x v="665"/>
    <s v="Thomas Clark"/>
    <x v="1"/>
    <s v="Germany"/>
    <x v="1"/>
    <x v="2"/>
    <x v="34"/>
    <n v="2"/>
    <n v="29.19"/>
    <n v="20"/>
    <n v="46.7"/>
    <n v="11.71"/>
    <n v="-0.04"/>
    <x v="1"/>
    <n v="58.38"/>
    <n v="-8.5653104925053529E-4"/>
    <n v="58.410000000000004"/>
  </r>
  <r>
    <x v="1440"/>
    <x v="666"/>
    <s v="Olivia Kim"/>
    <x v="1"/>
    <s v="South Africa"/>
    <x v="2"/>
    <x v="0"/>
    <x v="22"/>
    <n v="2"/>
    <n v="136.47999999999999"/>
    <n v="15"/>
    <n v="232.02"/>
    <n v="15.42"/>
    <n v="66.47"/>
    <x v="3"/>
    <n v="272.95999999999998"/>
    <n v="0.28648392379967241"/>
    <n v="247.44"/>
  </r>
  <r>
    <x v="1441"/>
    <x v="666"/>
    <s v="Oscar Thompson"/>
    <x v="1"/>
    <s v="South Korea"/>
    <x v="3"/>
    <x v="1"/>
    <x v="17"/>
    <n v="2"/>
    <n v="20.22"/>
    <n v="25"/>
    <n v="30.33"/>
    <n v="10.69"/>
    <n v="1.44"/>
    <x v="2"/>
    <n v="40.44"/>
    <n v="4.7477744807121663E-2"/>
    <n v="41.019999999999996"/>
  </r>
  <r>
    <x v="1442"/>
    <x v="666"/>
    <s v="Hans Patel"/>
    <x v="1"/>
    <s v="Canada"/>
    <x v="0"/>
    <x v="0"/>
    <x v="29"/>
    <n v="2"/>
    <n v="48.96"/>
    <n v="5"/>
    <n v="93.02"/>
    <n v="9.1"/>
    <n v="30.06"/>
    <x v="2"/>
    <n v="97.92"/>
    <n v="0.32315631047086646"/>
    <n v="102.11999999999999"/>
  </r>
  <r>
    <x v="1443"/>
    <x v="667"/>
    <s v="Mary Chen"/>
    <x v="2"/>
    <s v="United States"/>
    <x v="0"/>
    <x v="3"/>
    <x v="27"/>
    <n v="1"/>
    <n v="47.73"/>
    <n v="5"/>
    <n v="45.34"/>
    <n v="5.94"/>
    <n v="15.54"/>
    <x v="2"/>
    <n v="47.73"/>
    <n v="0.34274371415968236"/>
    <n v="51.28"/>
  </r>
  <r>
    <x v="1444"/>
    <x v="668"/>
    <s v="Sophie Jackson"/>
    <x v="1"/>
    <s v="Australia"/>
    <x v="3"/>
    <x v="2"/>
    <x v="14"/>
    <n v="1"/>
    <n v="268.81"/>
    <n v="20"/>
    <n v="215.05"/>
    <n v="10.37"/>
    <n v="43.39"/>
    <x v="1"/>
    <n v="268.81"/>
    <n v="0.20176703092304116"/>
    <n v="225.42000000000002"/>
  </r>
  <r>
    <x v="1445"/>
    <x v="669"/>
    <s v="Lucas Tanaka"/>
    <x v="2"/>
    <s v="Saudi Arabia"/>
    <x v="2"/>
    <x v="0"/>
    <x v="28"/>
    <n v="9"/>
    <n v="50.88"/>
    <n v="10"/>
    <n v="412.13"/>
    <n v="17.34"/>
    <n v="142.93"/>
    <x v="2"/>
    <n v="457.92"/>
    <n v="0.34680804600490139"/>
    <n v="429.46999999999997"/>
  </r>
  <r>
    <x v="1446"/>
    <x v="669"/>
    <s v="Raj Harris"/>
    <x v="1"/>
    <s v="Mexico"/>
    <x v="0"/>
    <x v="0"/>
    <x v="28"/>
    <n v="4"/>
    <n v="43.48"/>
    <n v="10"/>
    <n v="156.53"/>
    <n v="9.4600000000000009"/>
    <n v="51.41"/>
    <x v="1"/>
    <n v="173.92"/>
    <n v="0.32843544368491662"/>
    <n v="165.99"/>
  </r>
  <r>
    <x v="1447"/>
    <x v="670"/>
    <s v="Giulia White"/>
    <x v="1"/>
    <s v="Australia"/>
    <x v="3"/>
    <x v="2"/>
    <x v="8"/>
    <n v="5"/>
    <n v="45.17"/>
    <n v="0"/>
    <n v="225.85"/>
    <n v="16.440000000000001"/>
    <n v="73.900000000000006"/>
    <x v="1"/>
    <n v="225.85000000000002"/>
    <n v="0.32720832410892187"/>
    <n v="242.29"/>
  </r>
  <r>
    <x v="1448"/>
    <x v="670"/>
    <s v="Fatima MÃ¼ller"/>
    <x v="0"/>
    <s v="Italy"/>
    <x v="1"/>
    <x v="0"/>
    <x v="0"/>
    <n v="1"/>
    <n v="77.8"/>
    <n v="15"/>
    <n v="66.13"/>
    <n v="9.26"/>
    <n v="14.08"/>
    <x v="3"/>
    <n v="77.8"/>
    <n v="0.21291395735672161"/>
    <n v="75.39"/>
  </r>
  <r>
    <x v="1449"/>
    <x v="670"/>
    <s v="Sakura Chen"/>
    <x v="0"/>
    <s v="India"/>
    <x v="3"/>
    <x v="1"/>
    <x v="23"/>
    <n v="11"/>
    <n v="14.79"/>
    <n v="25"/>
    <n v="122.02"/>
    <n v="23.11"/>
    <n v="25.7"/>
    <x v="3"/>
    <n v="162.69"/>
    <n v="0.21062120963776429"/>
    <n v="145.13"/>
  </r>
  <r>
    <x v="1450"/>
    <x v="671"/>
    <s v="Ahmed Jackson"/>
    <x v="0"/>
    <s v="South Africa"/>
    <x v="2"/>
    <x v="1"/>
    <x v="20"/>
    <n v="6"/>
    <n v="17.829999999999998"/>
    <n v="5"/>
    <n v="101.63"/>
    <n v="21.4"/>
    <n v="32.090000000000003"/>
    <x v="3"/>
    <n v="106.97999999999999"/>
    <n v="0.3157532224736791"/>
    <n v="123.03"/>
  </r>
  <r>
    <x v="1451"/>
    <x v="672"/>
    <s v="Omar Schmidt"/>
    <x v="0"/>
    <s v="Canada"/>
    <x v="0"/>
    <x v="2"/>
    <x v="4"/>
    <n v="8"/>
    <n v="222.57"/>
    <n v="0"/>
    <n v="1780.56"/>
    <n v="10.29"/>
    <n v="701.93"/>
    <x v="2"/>
    <n v="1780.56"/>
    <n v="0.39421867277710382"/>
    <n v="1790.85"/>
  </r>
  <r>
    <x v="1452"/>
    <x v="672"/>
    <s v="Sarah Brown"/>
    <x v="1"/>
    <s v="Canada"/>
    <x v="0"/>
    <x v="0"/>
    <x v="35"/>
    <n v="3"/>
    <n v="42.99"/>
    <n v="0"/>
    <n v="128.97"/>
    <n v="6.89"/>
    <n v="51.15"/>
    <x v="1"/>
    <n v="128.97"/>
    <n v="0.39660386136310771"/>
    <n v="135.85999999999999"/>
  </r>
  <r>
    <x v="1453"/>
    <x v="672"/>
    <s v="Isabella Thompson"/>
    <x v="1"/>
    <s v="Japan"/>
    <x v="3"/>
    <x v="1"/>
    <x v="23"/>
    <n v="14"/>
    <n v="11.48"/>
    <n v="0"/>
    <n v="160.72"/>
    <n v="39.83"/>
    <n v="48.57"/>
    <x v="2"/>
    <n v="160.72"/>
    <n v="0.30220258835241415"/>
    <n v="200.55"/>
  </r>
  <r>
    <x v="1454"/>
    <x v="673"/>
    <s v="Clara Garcia"/>
    <x v="1"/>
    <s v="Canada"/>
    <x v="0"/>
    <x v="0"/>
    <x v="28"/>
    <n v="3"/>
    <n v="25.43"/>
    <n v="5"/>
    <n v="72.48"/>
    <n v="11.34"/>
    <n v="19.18"/>
    <x v="1"/>
    <n v="76.289999999999992"/>
    <n v="0.26462472406181015"/>
    <n v="83.820000000000007"/>
  </r>
  <r>
    <x v="1455"/>
    <x v="673"/>
    <s v="Olga Wang"/>
    <x v="0"/>
    <s v="France"/>
    <x v="1"/>
    <x v="2"/>
    <x v="34"/>
    <n v="2"/>
    <n v="34.92"/>
    <n v="0"/>
    <n v="69.84"/>
    <n v="11.92"/>
    <n v="16.02"/>
    <x v="0"/>
    <n v="69.84"/>
    <n v="0.22938144329896906"/>
    <n v="81.760000000000005"/>
  </r>
  <r>
    <x v="1456"/>
    <x v="673"/>
    <s v="Carlos Ali"/>
    <x v="1"/>
    <s v="South Korea"/>
    <x v="3"/>
    <x v="3"/>
    <x v="9"/>
    <n v="3"/>
    <n v="24.3"/>
    <n v="5"/>
    <n v="69.25"/>
    <n v="10.77"/>
    <n v="22.03"/>
    <x v="2"/>
    <n v="72.900000000000006"/>
    <n v="0.31812274368231047"/>
    <n v="80.02"/>
  </r>
  <r>
    <x v="1457"/>
    <x v="673"/>
    <s v="Kenji Martin"/>
    <x v="2"/>
    <s v="Colombia"/>
    <x v="4"/>
    <x v="1"/>
    <x v="6"/>
    <n v="2"/>
    <n v="13.42"/>
    <n v="5"/>
    <n v="25.5"/>
    <n v="12.38"/>
    <n v="1.04"/>
    <x v="2"/>
    <n v="26.84"/>
    <n v="4.0784313725490198E-2"/>
    <n v="37.880000000000003"/>
  </r>
  <r>
    <x v="1458"/>
    <x v="674"/>
    <s v="Diego Rossi"/>
    <x v="0"/>
    <s v="Canada"/>
    <x v="0"/>
    <x v="0"/>
    <x v="29"/>
    <n v="2"/>
    <n v="42.23"/>
    <n v="10"/>
    <n v="76.010000000000005"/>
    <n v="9.52"/>
    <n v="20.04"/>
    <x v="2"/>
    <n v="84.46"/>
    <n v="0.26364951980002627"/>
    <n v="85.53"/>
  </r>
  <r>
    <x v="1459"/>
    <x v="674"/>
    <s v="Wei Moreau"/>
    <x v="0"/>
    <s v="India"/>
    <x v="3"/>
    <x v="0"/>
    <x v="29"/>
    <n v="4"/>
    <n v="53.71"/>
    <n v="10"/>
    <n v="193.36"/>
    <n v="13.76"/>
    <n v="61.44"/>
    <x v="1"/>
    <n v="214.84"/>
    <n v="0.31774927596193625"/>
    <n v="207.12"/>
  </r>
  <r>
    <x v="1460"/>
    <x v="674"/>
    <s v="Elizabeth Williams"/>
    <x v="1"/>
    <s v="Canada"/>
    <x v="0"/>
    <x v="0"/>
    <x v="28"/>
    <n v="7"/>
    <n v="23.09"/>
    <n v="0"/>
    <n v="161.63"/>
    <n v="20.84"/>
    <n v="51.89"/>
    <x v="3"/>
    <n v="161.63"/>
    <n v="0.32104188578852938"/>
    <n v="182.47"/>
  </r>
  <r>
    <x v="1461"/>
    <x v="675"/>
    <s v="David Johansson"/>
    <x v="0"/>
    <s v="Spain"/>
    <x v="1"/>
    <x v="0"/>
    <x v="1"/>
    <n v="4"/>
    <n v="164.84"/>
    <n v="5"/>
    <n v="626.39"/>
    <n v="11.35"/>
    <n v="252.39"/>
    <x v="0"/>
    <n v="659.36"/>
    <n v="0.40292788837625121"/>
    <n v="637.74"/>
  </r>
  <r>
    <x v="1462"/>
    <x v="675"/>
    <s v="Emma Romano"/>
    <x v="2"/>
    <s v="Spain"/>
    <x v="1"/>
    <x v="0"/>
    <x v="0"/>
    <n v="1"/>
    <n v="219.67"/>
    <n v="0"/>
    <n v="219.67"/>
    <n v="7.71"/>
    <n v="91.14"/>
    <x v="0"/>
    <n v="219.67"/>
    <n v="0.4148950698775436"/>
    <n v="227.38"/>
  </r>
  <r>
    <x v="1463"/>
    <x v="676"/>
    <s v="Omar Thomas"/>
    <x v="1"/>
    <s v="Japan"/>
    <x v="3"/>
    <x v="1"/>
    <x v="20"/>
    <n v="4"/>
    <n v="16.100000000000001"/>
    <n v="25"/>
    <n v="48.3"/>
    <n v="13.08"/>
    <n v="6.24"/>
    <x v="2"/>
    <n v="64.400000000000006"/>
    <n v="0.12919254658385093"/>
    <n v="61.379999999999995"/>
  </r>
  <r>
    <x v="1464"/>
    <x v="676"/>
    <s v="Giulia Smith"/>
    <x v="0"/>
    <s v="Canada"/>
    <x v="0"/>
    <x v="3"/>
    <x v="11"/>
    <n v="1"/>
    <n v="90.62"/>
    <n v="15"/>
    <n v="77.03"/>
    <n v="7.48"/>
    <n v="24.24"/>
    <x v="0"/>
    <n v="90.62"/>
    <n v="0.31468259119823444"/>
    <n v="84.51"/>
  </r>
  <r>
    <x v="1465"/>
    <x v="676"/>
    <s v="Xiao Rodriguez"/>
    <x v="0"/>
    <s v="Germany"/>
    <x v="1"/>
    <x v="1"/>
    <x v="25"/>
    <n v="2"/>
    <n v="9.7799999999999994"/>
    <n v="15"/>
    <n v="16.63"/>
    <n v="10.08"/>
    <n v="-2.25"/>
    <x v="3"/>
    <n v="19.559999999999999"/>
    <n v="-0.13529765484064943"/>
    <n v="26.71"/>
  </r>
  <r>
    <x v="1466"/>
    <x v="677"/>
    <s v="Raj Harris"/>
    <x v="1"/>
    <s v="United States"/>
    <x v="0"/>
    <x v="2"/>
    <x v="4"/>
    <n v="6"/>
    <n v="154.97"/>
    <n v="10"/>
    <n v="836.84"/>
    <n v="13.94"/>
    <n v="265.01"/>
    <x v="1"/>
    <n v="929.81999999999994"/>
    <n v="0.31667941302996988"/>
    <n v="850.78000000000009"/>
  </r>
  <r>
    <x v="1467"/>
    <x v="677"/>
    <s v="Emma Chen"/>
    <x v="1"/>
    <s v="China"/>
    <x v="3"/>
    <x v="1"/>
    <x v="6"/>
    <n v="2"/>
    <n v="20.57"/>
    <n v="5"/>
    <n v="39.08"/>
    <n v="12.63"/>
    <n v="7.94"/>
    <x v="3"/>
    <n v="41.14"/>
    <n v="0.20317297850562949"/>
    <n v="51.71"/>
  </r>
  <r>
    <x v="1468"/>
    <x v="678"/>
    <s v="Priya Romano"/>
    <x v="2"/>
    <s v="Italy"/>
    <x v="1"/>
    <x v="0"/>
    <x v="0"/>
    <n v="1"/>
    <n v="116.2"/>
    <n v="0"/>
    <n v="116.2"/>
    <n v="7.59"/>
    <n v="44.7"/>
    <x v="1"/>
    <n v="116.2"/>
    <n v="0.38468158347676423"/>
    <n v="123.79"/>
  </r>
  <r>
    <x v="1469"/>
    <x v="679"/>
    <s v="Ali MÃ¼ller"/>
    <x v="1"/>
    <s v="South Korea"/>
    <x v="3"/>
    <x v="0"/>
    <x v="7"/>
    <n v="5"/>
    <n v="27.29"/>
    <n v="10"/>
    <n v="122.8"/>
    <n v="20.239999999999998"/>
    <n v="27.51"/>
    <x v="1"/>
    <n v="136.44999999999999"/>
    <n v="0.22402280130293162"/>
    <n v="143.04"/>
  </r>
  <r>
    <x v="1470"/>
    <x v="679"/>
    <s v="Diego Weber"/>
    <x v="2"/>
    <s v="Germany"/>
    <x v="1"/>
    <x v="2"/>
    <x v="39"/>
    <n v="4"/>
    <n v="128.69999999999999"/>
    <n v="0"/>
    <n v="514.79999999999995"/>
    <n v="10.27"/>
    <n v="195.65"/>
    <x v="1"/>
    <n v="514.79999999999995"/>
    <n v="0.38005050505050508"/>
    <n v="525.06999999999994"/>
  </r>
  <r>
    <x v="1471"/>
    <x v="679"/>
    <s v="William Wang"/>
    <x v="2"/>
    <s v="Nigeria"/>
    <x v="2"/>
    <x v="0"/>
    <x v="22"/>
    <n v="3"/>
    <n v="93.28"/>
    <n v="10"/>
    <n v="251.86"/>
    <n v="18"/>
    <n v="79.95"/>
    <x v="2"/>
    <n v="279.84000000000003"/>
    <n v="0.31743825935043279"/>
    <n v="269.86"/>
  </r>
  <r>
    <x v="1472"/>
    <x v="680"/>
    <s v="Priya Patel"/>
    <x v="2"/>
    <s v="Brazil"/>
    <x v="4"/>
    <x v="2"/>
    <x v="5"/>
    <n v="1"/>
    <n v="193.39"/>
    <n v="10"/>
    <n v="174.05"/>
    <n v="12.06"/>
    <n v="45.96"/>
    <x v="1"/>
    <n v="193.39"/>
    <n v="0.26406205113473141"/>
    <n v="186.11"/>
  </r>
  <r>
    <x v="1473"/>
    <x v="680"/>
    <s v="David Park"/>
    <x v="1"/>
    <s v="Nigeria"/>
    <x v="2"/>
    <x v="3"/>
    <x v="33"/>
    <n v="11"/>
    <n v="31.57"/>
    <n v="5"/>
    <n v="329.91"/>
    <n v="24.65"/>
    <n v="131.63"/>
    <x v="1"/>
    <n v="347.27"/>
    <n v="0.3989876026795186"/>
    <n v="354.56"/>
  </r>
  <r>
    <x v="1474"/>
    <x v="680"/>
    <s v="James Miller"/>
    <x v="2"/>
    <s v="Canada"/>
    <x v="0"/>
    <x v="2"/>
    <x v="32"/>
    <n v="9"/>
    <n v="33.729999999999997"/>
    <n v="15"/>
    <n v="258.02999999999997"/>
    <n v="13.96"/>
    <n v="61.93"/>
    <x v="1"/>
    <n v="303.57"/>
    <n v="0.24001085145138165"/>
    <n v="271.98999999999995"/>
  </r>
  <r>
    <x v="1475"/>
    <x v="680"/>
    <s v="Olga Ali"/>
    <x v="1"/>
    <s v="Saudi Arabia"/>
    <x v="2"/>
    <x v="1"/>
    <x v="17"/>
    <n v="1"/>
    <n v="14.71"/>
    <n v="10"/>
    <n v="13.24"/>
    <n v="11.69"/>
    <n v="-5.07"/>
    <x v="2"/>
    <n v="14.71"/>
    <n v="-0.38293051359516617"/>
    <n v="24.93"/>
  </r>
  <r>
    <x v="1476"/>
    <x v="680"/>
    <s v="Olga Russo"/>
    <x v="1"/>
    <s v="Italy"/>
    <x v="1"/>
    <x v="0"/>
    <x v="31"/>
    <n v="1"/>
    <n v="115.93"/>
    <n v="5"/>
    <n v="110.13"/>
    <n v="9.2899999999999991"/>
    <n v="37.08"/>
    <x v="1"/>
    <n v="115.93"/>
    <n v="0.336692999182784"/>
    <n v="119.41999999999999"/>
  </r>
  <r>
    <x v="1477"/>
    <x v="680"/>
    <s v="Amina Khan"/>
    <x v="0"/>
    <s v="Japan"/>
    <x v="3"/>
    <x v="3"/>
    <x v="9"/>
    <n v="1"/>
    <n v="39.65"/>
    <n v="0"/>
    <n v="39.65"/>
    <n v="11.01"/>
    <n v="8.81"/>
    <x v="3"/>
    <n v="39.65"/>
    <n v="0.2221941992433796"/>
    <n v="50.66"/>
  </r>
  <r>
    <x v="1478"/>
    <x v="681"/>
    <s v="Ingrid Clark"/>
    <x v="0"/>
    <s v="Canada"/>
    <x v="0"/>
    <x v="1"/>
    <x v="25"/>
    <n v="1"/>
    <n v="13.25"/>
    <n v="5"/>
    <n v="12.59"/>
    <n v="5.69"/>
    <n v="0.94"/>
    <x v="2"/>
    <n v="13.25"/>
    <n v="7.4662430500397142E-2"/>
    <n v="18.28"/>
  </r>
  <r>
    <x v="1479"/>
    <x v="681"/>
    <s v="Hans Zhang"/>
    <x v="2"/>
    <s v="Spain"/>
    <x v="1"/>
    <x v="1"/>
    <x v="20"/>
    <n v="3"/>
    <n v="9.3800000000000008"/>
    <n v="5"/>
    <n v="26.73"/>
    <n v="8.9499999999999993"/>
    <n v="5.12"/>
    <x v="2"/>
    <n v="28.14"/>
    <n v="0.19154508043396931"/>
    <n v="35.68"/>
  </r>
  <r>
    <x v="1480"/>
    <x v="681"/>
    <s v="Jennifer Leroy"/>
    <x v="0"/>
    <s v="Japan"/>
    <x v="3"/>
    <x v="0"/>
    <x v="18"/>
    <n v="4"/>
    <n v="55.11"/>
    <n v="10"/>
    <n v="198.4"/>
    <n v="13.84"/>
    <n v="63.32"/>
    <x v="0"/>
    <n v="220.44"/>
    <n v="0.31915322580645161"/>
    <n v="212.24"/>
  </r>
  <r>
    <x v="1481"/>
    <x v="681"/>
    <s v="Ahmed Hassan"/>
    <x v="0"/>
    <s v="Mexico"/>
    <x v="0"/>
    <x v="0"/>
    <x v="31"/>
    <n v="3"/>
    <n v="60.01"/>
    <n v="10"/>
    <n v="162.03"/>
    <n v="11.24"/>
    <n v="51.77"/>
    <x v="1"/>
    <n v="180.03"/>
    <n v="0.31950873295068816"/>
    <n v="173.27"/>
  </r>
  <r>
    <x v="1482"/>
    <x v="681"/>
    <s v="Joseph Garcia"/>
    <x v="1"/>
    <s v="China"/>
    <x v="3"/>
    <x v="1"/>
    <x v="23"/>
    <n v="2"/>
    <n v="19.7"/>
    <n v="10"/>
    <n v="35.46"/>
    <n v="10.39"/>
    <n v="7.34"/>
    <x v="1"/>
    <n v="39.4"/>
    <n v="0.20699379582628313"/>
    <n v="45.85"/>
  </r>
  <r>
    <x v="1483"/>
    <x v="682"/>
    <s v="Sarah Smith"/>
    <x v="2"/>
    <s v="Brazil"/>
    <x v="4"/>
    <x v="1"/>
    <x v="38"/>
    <n v="1"/>
    <n v="8.77"/>
    <n v="20"/>
    <n v="7.02"/>
    <n v="11.14"/>
    <n v="-8.07"/>
    <x v="2"/>
    <n v="8.77"/>
    <n v="-1.1495726495726497"/>
    <n v="18.16"/>
  </r>
  <r>
    <x v="1484"/>
    <x v="682"/>
    <s v="Sophie Jones"/>
    <x v="1"/>
    <s v="Spain"/>
    <x v="1"/>
    <x v="0"/>
    <x v="7"/>
    <n v="2"/>
    <n v="44.96"/>
    <n v="0"/>
    <n v="89.92"/>
    <n v="11.48"/>
    <n v="28.98"/>
    <x v="1"/>
    <n v="89.92"/>
    <n v="0.3222864768683274"/>
    <n v="101.4"/>
  </r>
  <r>
    <x v="1485"/>
    <x v="682"/>
    <s v="Amir Ali"/>
    <x v="1"/>
    <s v="Italy"/>
    <x v="1"/>
    <x v="1"/>
    <x v="20"/>
    <n v="4"/>
    <n v="19.2"/>
    <n v="10"/>
    <n v="69.12"/>
    <n v="12.91"/>
    <n v="21.65"/>
    <x v="1"/>
    <n v="76.8"/>
    <n v="0.31322337962962959"/>
    <n v="82.03"/>
  </r>
  <r>
    <x v="1486"/>
    <x v="683"/>
    <s v="Richard Yamamoto"/>
    <x v="0"/>
    <s v="Argentina"/>
    <x v="4"/>
    <x v="2"/>
    <x v="14"/>
    <n v="2"/>
    <n v="165.71"/>
    <n v="0"/>
    <n v="331.42"/>
    <n v="12.42"/>
    <n v="120.15"/>
    <x v="3"/>
    <n v="331.42"/>
    <n v="0.36253092752398769"/>
    <n v="343.84000000000003"/>
  </r>
  <r>
    <x v="1487"/>
    <x v="683"/>
    <s v="Richard Weber"/>
    <x v="1"/>
    <s v="Canada"/>
    <x v="0"/>
    <x v="0"/>
    <x v="31"/>
    <n v="1"/>
    <n v="155.22"/>
    <n v="15"/>
    <n v="131.94"/>
    <n v="6.82"/>
    <n v="39.75"/>
    <x v="1"/>
    <n v="155.22"/>
    <n v="0.30127330604820374"/>
    <n v="138.76"/>
  </r>
  <r>
    <x v="1488"/>
    <x v="684"/>
    <s v="Hans Sharma"/>
    <x v="1"/>
    <s v="South Africa"/>
    <x v="2"/>
    <x v="0"/>
    <x v="0"/>
    <n v="2"/>
    <n v="238.98"/>
    <n v="5"/>
    <n v="454.06"/>
    <n v="12.39"/>
    <n v="178.79"/>
    <x v="0"/>
    <n v="477.96"/>
    <n v="0.39375853411443418"/>
    <n v="466.45"/>
  </r>
  <r>
    <x v="1489"/>
    <x v="685"/>
    <s v="Wei MÃ¼ller"/>
    <x v="0"/>
    <s v="UAE"/>
    <x v="2"/>
    <x v="1"/>
    <x v="20"/>
    <n v="1"/>
    <n v="14.87"/>
    <n v="15"/>
    <n v="12.64"/>
    <n v="12.93"/>
    <n v="-6.98"/>
    <x v="3"/>
    <n v="14.87"/>
    <n v="-0.55221518987341778"/>
    <n v="25.57"/>
  </r>
  <r>
    <x v="1490"/>
    <x v="685"/>
    <s v="Mary Weber"/>
    <x v="1"/>
    <s v="Nigeria"/>
    <x v="2"/>
    <x v="1"/>
    <x v="2"/>
    <n v="2"/>
    <n v="12.81"/>
    <n v="0"/>
    <n v="25.62"/>
    <n v="14.26"/>
    <n v="-0.17"/>
    <x v="3"/>
    <n v="25.62"/>
    <n v="-6.6354410616705703E-3"/>
    <n v="39.880000000000003"/>
  </r>
  <r>
    <x v="1491"/>
    <x v="686"/>
    <s v="Layla Jackson"/>
    <x v="2"/>
    <s v="India"/>
    <x v="3"/>
    <x v="1"/>
    <x v="2"/>
    <n v="2"/>
    <n v="14.06"/>
    <n v="15"/>
    <n v="23.9"/>
    <n v="10.76"/>
    <n v="0.49"/>
    <x v="3"/>
    <n v="28.12"/>
    <n v="2.0502092050209204E-2"/>
    <n v="34.659999999999997"/>
  </r>
  <r>
    <x v="1492"/>
    <x v="686"/>
    <s v="Olivia Anderson"/>
    <x v="1"/>
    <s v="Mexico"/>
    <x v="0"/>
    <x v="1"/>
    <x v="10"/>
    <n v="1"/>
    <n v="9.33"/>
    <n v="0"/>
    <n v="9.33"/>
    <n v="6.05"/>
    <n v="-0.92"/>
    <x v="0"/>
    <n v="9.33"/>
    <n v="-9.8606645230439452E-2"/>
    <n v="15.379999999999999"/>
  </r>
  <r>
    <x v="1493"/>
    <x v="686"/>
    <s v="Noah Moreau"/>
    <x v="2"/>
    <s v="India"/>
    <x v="3"/>
    <x v="3"/>
    <x v="13"/>
    <n v="10"/>
    <n v="147.28"/>
    <n v="0"/>
    <n v="1472.8"/>
    <n v="27.39"/>
    <n v="709.01"/>
    <x v="2"/>
    <n v="1472.8"/>
    <n v="0.4814027702335687"/>
    <n v="1500.19"/>
  </r>
  <r>
    <x v="1494"/>
    <x v="686"/>
    <s v="Hanna Li"/>
    <x v="1"/>
    <s v="China"/>
    <x v="3"/>
    <x v="3"/>
    <x v="11"/>
    <n v="2"/>
    <n v="32.49"/>
    <n v="5"/>
    <n v="61.73"/>
    <n v="11.25"/>
    <n v="17.989999999999998"/>
    <x v="1"/>
    <n v="64.98"/>
    <n v="0.29143042280900694"/>
    <n v="72.97999999999999"/>
  </r>
  <r>
    <x v="1495"/>
    <x v="687"/>
    <s v="Wei Anderson"/>
    <x v="1"/>
    <s v="Australia"/>
    <x v="3"/>
    <x v="2"/>
    <x v="5"/>
    <n v="4"/>
    <n v="67.489999999999995"/>
    <n v="10"/>
    <n v="242.96"/>
    <n v="11.71"/>
    <n v="69.27"/>
    <x v="1"/>
    <n v="269.95999999999998"/>
    <n v="0.28510865986170558"/>
    <n v="254.67000000000002"/>
  </r>
  <r>
    <x v="1496"/>
    <x v="687"/>
    <s v="Nadia Wang"/>
    <x v="1"/>
    <s v="Spain"/>
    <x v="1"/>
    <x v="2"/>
    <x v="15"/>
    <n v="7"/>
    <n v="294.08999999999997"/>
    <n v="0"/>
    <n v="2058.63"/>
    <n v="15.1"/>
    <n v="808.35"/>
    <x v="2"/>
    <n v="2058.6299999999997"/>
    <n v="0.39266405327815102"/>
    <n v="2073.73"/>
  </r>
  <r>
    <x v="1497"/>
    <x v="688"/>
    <s v="Wei Li"/>
    <x v="0"/>
    <s v="Brazil"/>
    <x v="4"/>
    <x v="0"/>
    <x v="35"/>
    <n v="5"/>
    <n v="61.12"/>
    <n v="20"/>
    <n v="244.48"/>
    <n v="22.01"/>
    <n v="54.39"/>
    <x v="1"/>
    <n v="305.59999999999997"/>
    <n v="0.22247218586387435"/>
    <n v="266.49"/>
  </r>
  <r>
    <x v="1498"/>
    <x v="688"/>
    <s v="Layla Leroy"/>
    <x v="0"/>
    <s v="Saudi Arabia"/>
    <x v="2"/>
    <x v="0"/>
    <x v="28"/>
    <n v="4"/>
    <n v="46.7"/>
    <n v="0"/>
    <n v="186.8"/>
    <n v="17.05"/>
    <n v="67.010000000000005"/>
    <x v="1"/>
    <n v="186.8"/>
    <n v="0.35872591006423982"/>
    <n v="203.85000000000002"/>
  </r>
  <r>
    <x v="1499"/>
    <x v="688"/>
    <s v="Hans Kumar"/>
    <x v="1"/>
    <s v="Brazil"/>
    <x v="4"/>
    <x v="0"/>
    <x v="29"/>
    <n v="4"/>
    <n v="25.36"/>
    <n v="20"/>
    <n v="81.150000000000006"/>
    <n v="14.4"/>
    <n v="10.96"/>
    <x v="0"/>
    <n v="101.44"/>
    <n v="0.1350585335797905"/>
    <n v="95.550000000000011"/>
  </r>
  <r>
    <x v="1500"/>
    <x v="689"/>
    <s v="Priya Sharma"/>
    <x v="0"/>
    <s v="United States"/>
    <x v="0"/>
    <x v="2"/>
    <x v="8"/>
    <n v="13"/>
    <n v="84.96"/>
    <n v="15"/>
    <n v="938.81"/>
    <n v="32.07"/>
    <n v="244.05"/>
    <x v="0"/>
    <n v="1104.48"/>
    <n v="0.25995675376274224"/>
    <n v="970.88"/>
  </r>
  <r>
    <x v="1501"/>
    <x v="689"/>
    <s v="Pierre Garcia"/>
    <x v="2"/>
    <s v="United States"/>
    <x v="0"/>
    <x v="1"/>
    <x v="2"/>
    <n v="1"/>
    <n v="15.62"/>
    <n v="0"/>
    <n v="15.62"/>
    <n v="6.6"/>
    <n v="1.99"/>
    <x v="3"/>
    <n v="15.62"/>
    <n v="0.12740076824583868"/>
    <n v="22.22"/>
  </r>
  <r>
    <x v="1502"/>
    <x v="690"/>
    <s v="Amina Singh"/>
    <x v="1"/>
    <s v="Mexico"/>
    <x v="0"/>
    <x v="0"/>
    <x v="31"/>
    <n v="3"/>
    <n v="155.55000000000001"/>
    <n v="0"/>
    <n v="466.65"/>
    <n v="9.51"/>
    <n v="200.48"/>
    <x v="2"/>
    <n v="466.65000000000003"/>
    <n v="0.42961534340512159"/>
    <n v="476.15999999999997"/>
  </r>
  <r>
    <x v="1503"/>
    <x v="690"/>
    <s v="David Chen"/>
    <x v="0"/>
    <s v="Argentina"/>
    <x v="4"/>
    <x v="3"/>
    <x v="30"/>
    <n v="2"/>
    <n v="10.67"/>
    <n v="15"/>
    <n v="18.14"/>
    <n v="13.02"/>
    <n v="-5.55"/>
    <x v="3"/>
    <n v="21.34"/>
    <n v="-0.30595369349503859"/>
    <n v="31.16"/>
  </r>
  <r>
    <x v="1504"/>
    <x v="690"/>
    <s v="Xiao White"/>
    <x v="0"/>
    <s v="Germany"/>
    <x v="1"/>
    <x v="2"/>
    <x v="39"/>
    <n v="3"/>
    <n v="138.55000000000001"/>
    <n v="0"/>
    <n v="415.65"/>
    <n v="9.02"/>
    <n v="157.24"/>
    <x v="2"/>
    <n v="415.65000000000003"/>
    <n v="0.37829904968122224"/>
    <n v="424.66999999999996"/>
  </r>
  <r>
    <x v="1505"/>
    <x v="691"/>
    <s v="Pierre Pereira"/>
    <x v="1"/>
    <s v="China"/>
    <x v="3"/>
    <x v="0"/>
    <x v="3"/>
    <n v="2"/>
    <n v="76.94"/>
    <n v="10"/>
    <n v="138.49"/>
    <n v="12.94"/>
    <n v="40.92"/>
    <x v="1"/>
    <n v="153.88"/>
    <n v="0.29547259729944397"/>
    <n v="151.43"/>
  </r>
  <r>
    <x v="1506"/>
    <x v="692"/>
    <s v="Liam Clark"/>
    <x v="1"/>
    <s v="Nigeria"/>
    <x v="2"/>
    <x v="0"/>
    <x v="35"/>
    <n v="10"/>
    <n v="31.3"/>
    <n v="10"/>
    <n v="281.7"/>
    <n v="16.36"/>
    <n v="93.19"/>
    <x v="2"/>
    <n v="313"/>
    <n v="0.33081292154774583"/>
    <n v="298.06"/>
  </r>
  <r>
    <x v="1507"/>
    <x v="692"/>
    <s v="Giulia Miller"/>
    <x v="1"/>
    <s v="Australia"/>
    <x v="3"/>
    <x v="2"/>
    <x v="4"/>
    <n v="2"/>
    <n v="320.60000000000002"/>
    <n v="0"/>
    <n v="641.20000000000005"/>
    <n v="12.1"/>
    <n v="244.38"/>
    <x v="1"/>
    <n v="641.20000000000005"/>
    <n v="0.38112913287585776"/>
    <n v="653.30000000000007"/>
  </r>
  <r>
    <x v="1508"/>
    <x v="693"/>
    <s v="Ingrid Robinson"/>
    <x v="2"/>
    <s v="Argentina"/>
    <x v="4"/>
    <x v="0"/>
    <x v="1"/>
    <n v="1"/>
    <n v="172.2"/>
    <n v="0"/>
    <n v="172.2"/>
    <n v="12.38"/>
    <n v="65.11"/>
    <x v="1"/>
    <n v="172.2"/>
    <n v="0.37810685249709641"/>
    <n v="184.57999999999998"/>
  </r>
  <r>
    <x v="1509"/>
    <x v="694"/>
    <s v="Michael Tanaka"/>
    <x v="1"/>
    <s v="Germany"/>
    <x v="1"/>
    <x v="2"/>
    <x v="36"/>
    <n v="2"/>
    <n v="163.76"/>
    <n v="15"/>
    <n v="278.39"/>
    <n v="11.15"/>
    <n v="70.73"/>
    <x v="2"/>
    <n v="327.52"/>
    <n v="0.25406803405294731"/>
    <n v="289.53999999999996"/>
  </r>
  <r>
    <x v="1510"/>
    <x v="694"/>
    <s v="Lucas Costa"/>
    <x v="1"/>
    <s v="United States"/>
    <x v="0"/>
    <x v="0"/>
    <x v="7"/>
    <n v="2"/>
    <n v="36.57"/>
    <n v="15"/>
    <n v="62.17"/>
    <n v="8.5299999999999994"/>
    <n v="13.41"/>
    <x v="2"/>
    <n v="73.14"/>
    <n v="0.21569889013993887"/>
    <n v="70.7"/>
  </r>
  <r>
    <x v="1511"/>
    <x v="695"/>
    <s v="Chen Santos"/>
    <x v="0"/>
    <s v="Japan"/>
    <x v="3"/>
    <x v="0"/>
    <x v="29"/>
    <n v="7"/>
    <n v="19.93"/>
    <n v="10"/>
    <n v="125.56"/>
    <n v="20.75"/>
    <n v="28.08"/>
    <x v="2"/>
    <n v="139.51"/>
    <n v="0.22363810130614845"/>
    <n v="146.31"/>
  </r>
  <r>
    <x v="1512"/>
    <x v="695"/>
    <s v="Sophie Johnson"/>
    <x v="2"/>
    <s v="Italy"/>
    <x v="1"/>
    <x v="1"/>
    <x v="23"/>
    <n v="1"/>
    <n v="9.5"/>
    <n v="10"/>
    <n v="8.5500000000000007"/>
    <n v="8.3000000000000007"/>
    <n v="-4.03"/>
    <x v="2"/>
    <n v="9.5"/>
    <n v="-0.47134502923976607"/>
    <n v="16.850000000000001"/>
  </r>
  <r>
    <x v="1513"/>
    <x v="695"/>
    <s v="Christopher Tanaka"/>
    <x v="2"/>
    <s v="South Africa"/>
    <x v="2"/>
    <x v="1"/>
    <x v="23"/>
    <n v="8"/>
    <n v="17.87"/>
    <n v="20"/>
    <n v="114.37"/>
    <n v="18.77"/>
    <n v="31.27"/>
    <x v="2"/>
    <n v="142.96"/>
    <n v="0.27341085949112526"/>
    <n v="133.14000000000001"/>
  </r>
  <r>
    <x v="1514"/>
    <x v="696"/>
    <s v="Sophie Rossi"/>
    <x v="0"/>
    <s v="Mexico"/>
    <x v="0"/>
    <x v="1"/>
    <x v="23"/>
    <n v="3"/>
    <n v="11.65"/>
    <n v="15"/>
    <n v="29.71"/>
    <n v="11.8"/>
    <n v="2.1800000000000002"/>
    <x v="1"/>
    <n v="34.950000000000003"/>
    <n v="7.3375967687647259E-2"/>
    <n v="41.510000000000005"/>
  </r>
  <r>
    <x v="1515"/>
    <x v="696"/>
    <s v="Raj Pereira"/>
    <x v="1"/>
    <s v="Mexico"/>
    <x v="0"/>
    <x v="0"/>
    <x v="31"/>
    <n v="1"/>
    <n v="136.78"/>
    <n v="10"/>
    <n v="123.1"/>
    <n v="7.09"/>
    <n v="40.78"/>
    <x v="1"/>
    <n v="136.78"/>
    <n v="0.33127538586515032"/>
    <n v="130.19"/>
  </r>
  <r>
    <x v="1516"/>
    <x v="697"/>
    <s v="Karen Hassan"/>
    <x v="2"/>
    <s v="France"/>
    <x v="1"/>
    <x v="3"/>
    <x v="27"/>
    <n v="9"/>
    <n v="25.8"/>
    <n v="0"/>
    <n v="232.2"/>
    <n v="17.11"/>
    <n v="98.99"/>
    <x v="2"/>
    <n v="232.20000000000002"/>
    <n v="0.42631352282515073"/>
    <n v="249.31"/>
  </r>
  <r>
    <x v="1517"/>
    <x v="697"/>
    <s v="Jennifer Harris"/>
    <x v="0"/>
    <s v="Colombia"/>
    <x v="4"/>
    <x v="3"/>
    <x v="11"/>
    <n v="8"/>
    <n v="34"/>
    <n v="30"/>
    <n v="190.4"/>
    <n v="15.18"/>
    <n v="39.22"/>
    <x v="0"/>
    <n v="272"/>
    <n v="0.20598739495798318"/>
    <n v="205.58"/>
  </r>
  <r>
    <x v="1518"/>
    <x v="697"/>
    <s v="Hanna Rodriguez"/>
    <x v="1"/>
    <s v="United Kingdom"/>
    <x v="1"/>
    <x v="2"/>
    <x v="39"/>
    <n v="2"/>
    <n v="155.18"/>
    <n v="25"/>
    <n v="232.77"/>
    <n v="8.56"/>
    <n v="37.99"/>
    <x v="1"/>
    <n v="310.36"/>
    <n v="0.16320831722300985"/>
    <n v="241.33"/>
  </r>
  <r>
    <x v="1519"/>
    <x v="698"/>
    <s v="Christopher Harris"/>
    <x v="0"/>
    <s v="Germany"/>
    <x v="1"/>
    <x v="2"/>
    <x v="32"/>
    <n v="2"/>
    <n v="59.73"/>
    <n v="5"/>
    <n v="113.49"/>
    <n v="10.47"/>
    <n v="31.34"/>
    <x v="2"/>
    <n v="119.46"/>
    <n v="0.2761476782095339"/>
    <n v="123.96"/>
  </r>
  <r>
    <x v="1520"/>
    <x v="698"/>
    <s v="John Pereira"/>
    <x v="1"/>
    <s v="United States"/>
    <x v="0"/>
    <x v="2"/>
    <x v="4"/>
    <n v="5"/>
    <n v="217.51"/>
    <n v="15"/>
    <n v="924.42"/>
    <n v="16.809999999999999"/>
    <n v="255.08"/>
    <x v="1"/>
    <n v="1087.55"/>
    <n v="0.27593518097834319"/>
    <n v="941.2299999999999"/>
  </r>
  <r>
    <x v="1521"/>
    <x v="699"/>
    <s v="Layla Ferrari"/>
    <x v="0"/>
    <s v="South Korea"/>
    <x v="3"/>
    <x v="2"/>
    <x v="32"/>
    <n v="2"/>
    <n v="60.6"/>
    <n v="10"/>
    <n v="109.08"/>
    <n v="10.52"/>
    <n v="25.84"/>
    <x v="1"/>
    <n v="121.2"/>
    <n v="0.2368903557022369"/>
    <n v="119.6"/>
  </r>
  <r>
    <x v="1522"/>
    <x v="699"/>
    <s v="Mia Johansson"/>
    <x v="1"/>
    <s v="Japan"/>
    <x v="3"/>
    <x v="2"/>
    <x v="4"/>
    <n v="5"/>
    <n v="166.65"/>
    <n v="5"/>
    <n v="791.59"/>
    <n v="13.99"/>
    <n v="277.64999999999998"/>
    <x v="3"/>
    <n v="833.25"/>
    <n v="0.35074975681855503"/>
    <n v="805.58"/>
  </r>
  <r>
    <x v="1523"/>
    <x v="700"/>
    <s v="Emma Wang"/>
    <x v="1"/>
    <s v="Italy"/>
    <x v="1"/>
    <x v="1"/>
    <x v="12"/>
    <n v="6"/>
    <n v="12.86"/>
    <n v="15"/>
    <n v="65.59"/>
    <n v="16.27"/>
    <n v="14.6"/>
    <x v="1"/>
    <n v="77.16"/>
    <n v="0.22259490776032931"/>
    <n v="81.86"/>
  </r>
  <r>
    <x v="1524"/>
    <x v="700"/>
    <s v="Omar Patel"/>
    <x v="2"/>
    <s v="France"/>
    <x v="1"/>
    <x v="0"/>
    <x v="1"/>
    <n v="5"/>
    <n v="53.7"/>
    <n v="5"/>
    <n v="255.07"/>
    <n v="19.21"/>
    <n v="88.18"/>
    <x v="2"/>
    <n v="268.5"/>
    <n v="0.3457090210530443"/>
    <n v="274.27999999999997"/>
  </r>
  <r>
    <x v="1525"/>
    <x v="700"/>
    <s v="Hans Costa"/>
    <x v="1"/>
    <s v="UAE"/>
    <x v="2"/>
    <x v="2"/>
    <x v="4"/>
    <n v="1"/>
    <n v="129.13999999999999"/>
    <n v="0"/>
    <n v="129.13999999999999"/>
    <n v="12.2"/>
    <n v="39.46"/>
    <x v="2"/>
    <n v="129.13999999999999"/>
    <n v="0.30555985751897169"/>
    <n v="141.33999999999997"/>
  </r>
  <r>
    <x v="1526"/>
    <x v="700"/>
    <s v="Jessica Brown"/>
    <x v="2"/>
    <s v="United States"/>
    <x v="0"/>
    <x v="0"/>
    <x v="18"/>
    <n v="1"/>
    <n v="31.62"/>
    <n v="5"/>
    <n v="30.04"/>
    <n v="7.3"/>
    <n v="5.35"/>
    <x v="3"/>
    <n v="31.62"/>
    <n v="0.1780958721704394"/>
    <n v="37.339999999999996"/>
  </r>
  <r>
    <x v="1527"/>
    <x v="701"/>
    <s v="Ayumi Harris"/>
    <x v="1"/>
    <s v="Canada"/>
    <x v="0"/>
    <x v="0"/>
    <x v="28"/>
    <n v="8"/>
    <n v="56.61"/>
    <n v="10"/>
    <n v="407.59"/>
    <n v="12.04"/>
    <n v="146.47"/>
    <x v="1"/>
    <n v="452.88"/>
    <n v="0.3593562158050983"/>
    <n v="419.63"/>
  </r>
  <r>
    <x v="1528"/>
    <x v="701"/>
    <s v="Joseph Thompson"/>
    <x v="1"/>
    <s v="Colombia"/>
    <x v="4"/>
    <x v="0"/>
    <x v="0"/>
    <n v="1"/>
    <n v="82.26"/>
    <n v="10"/>
    <n v="74.03"/>
    <n v="11.14"/>
    <n v="17.649999999999999"/>
    <x v="1"/>
    <n v="82.26"/>
    <n v="0.23841685803052814"/>
    <n v="85.17"/>
  </r>
  <r>
    <x v="1529"/>
    <x v="701"/>
    <s v="Xiao Sharma"/>
    <x v="1"/>
    <s v="Argentina"/>
    <x v="4"/>
    <x v="3"/>
    <x v="37"/>
    <n v="1"/>
    <n v="29.71"/>
    <n v="0"/>
    <n v="29.71"/>
    <n v="11.72"/>
    <n v="3.13"/>
    <x v="2"/>
    <n v="29.71"/>
    <n v="0.10535173342308986"/>
    <n v="41.43"/>
  </r>
  <r>
    <x v="1530"/>
    <x v="701"/>
    <s v="Christopher Jones"/>
    <x v="1"/>
    <s v="Canada"/>
    <x v="0"/>
    <x v="0"/>
    <x v="22"/>
    <n v="4"/>
    <n v="144.04"/>
    <n v="15"/>
    <n v="489.74"/>
    <n v="9.35"/>
    <n v="163.5"/>
    <x v="2"/>
    <n v="576.16"/>
    <n v="0.33385061461183485"/>
    <n v="499.09000000000003"/>
  </r>
  <r>
    <x v="1531"/>
    <x v="702"/>
    <s v="Sarah Leroy"/>
    <x v="0"/>
    <s v="United States"/>
    <x v="0"/>
    <x v="3"/>
    <x v="33"/>
    <n v="11"/>
    <n v="46.45"/>
    <n v="5"/>
    <n v="485.4"/>
    <n v="10.89"/>
    <n v="219.03"/>
    <x v="2"/>
    <n v="510.95000000000005"/>
    <n v="0.45123609394313968"/>
    <n v="496.28999999999996"/>
  </r>
  <r>
    <x v="1532"/>
    <x v="702"/>
    <s v="Robert Davis"/>
    <x v="1"/>
    <s v="South Korea"/>
    <x v="3"/>
    <x v="2"/>
    <x v="36"/>
    <n v="1"/>
    <n v="215.75"/>
    <n v="5"/>
    <n v="204.96"/>
    <n v="10.58"/>
    <n v="64.930000000000007"/>
    <x v="1"/>
    <n v="215.75"/>
    <n v="0.31679352068696331"/>
    <n v="215.54000000000002"/>
  </r>
  <r>
    <x v="1533"/>
    <x v="703"/>
    <s v="Sarah Tanaka"/>
    <x v="1"/>
    <s v="South Korea"/>
    <x v="3"/>
    <x v="1"/>
    <x v="20"/>
    <n v="4"/>
    <n v="18.399999999999999"/>
    <n v="15"/>
    <n v="62.56"/>
    <n v="15.93"/>
    <n v="13.51"/>
    <x v="0"/>
    <n v="73.599999999999994"/>
    <n v="0.21595268542199486"/>
    <n v="78.490000000000009"/>
  </r>
  <r>
    <x v="1534"/>
    <x v="703"/>
    <s v="Isabella Nilsson"/>
    <x v="0"/>
    <s v="Germany"/>
    <x v="1"/>
    <x v="2"/>
    <x v="36"/>
    <n v="4"/>
    <n v="250.2"/>
    <n v="5"/>
    <n v="950.76"/>
    <n v="13.7"/>
    <n v="336.58"/>
    <x v="2"/>
    <n v="1000.8"/>
    <n v="0.35401152762000926"/>
    <n v="964.46"/>
  </r>
  <r>
    <x v="1535"/>
    <x v="703"/>
    <s v="Fatima Yamamoto"/>
    <x v="1"/>
    <s v="Brazil"/>
    <x v="4"/>
    <x v="1"/>
    <x v="20"/>
    <n v="7"/>
    <n v="17.16"/>
    <n v="0"/>
    <n v="120.12"/>
    <n v="18.68"/>
    <n v="47.39"/>
    <x v="2"/>
    <n v="120.12"/>
    <n v="0.39452214452214451"/>
    <n v="138.80000000000001"/>
  </r>
  <r>
    <x v="1536"/>
    <x v="703"/>
    <s v="Joseph Schmidt"/>
    <x v="2"/>
    <s v="India"/>
    <x v="3"/>
    <x v="1"/>
    <x v="12"/>
    <n v="3"/>
    <n v="18.940000000000001"/>
    <n v="5"/>
    <n v="53.98"/>
    <n v="14.46"/>
    <n v="13.95"/>
    <x v="1"/>
    <n v="56.820000000000007"/>
    <n v="0.25842904779547982"/>
    <n v="68.44"/>
  </r>
  <r>
    <x v="1537"/>
    <x v="703"/>
    <s v="Richard Williams"/>
    <x v="1"/>
    <s v="China"/>
    <x v="3"/>
    <x v="0"/>
    <x v="31"/>
    <n v="2"/>
    <n v="45.23"/>
    <n v="10"/>
    <n v="81.41"/>
    <n v="12.87"/>
    <n v="18.79"/>
    <x v="2"/>
    <n v="90.46"/>
    <n v="0.23080702616386192"/>
    <n v="94.28"/>
  </r>
  <r>
    <x v="1538"/>
    <x v="704"/>
    <s v="Patricia Leroy"/>
    <x v="1"/>
    <s v="South Korea"/>
    <x v="3"/>
    <x v="0"/>
    <x v="29"/>
    <n v="7"/>
    <n v="26.13"/>
    <n v="15"/>
    <n v="155.47"/>
    <n v="14.74"/>
    <n v="40.130000000000003"/>
    <x v="2"/>
    <n v="182.91"/>
    <n v="0.25812053772431981"/>
    <n v="170.21"/>
  </r>
  <r>
    <x v="1539"/>
    <x v="704"/>
    <s v="Nadia Rodriguez"/>
    <x v="1"/>
    <s v="Mexico"/>
    <x v="0"/>
    <x v="3"/>
    <x v="11"/>
    <n v="3"/>
    <n v="37.700000000000003"/>
    <n v="10"/>
    <n v="101.79"/>
    <n v="6.73"/>
    <n v="38.51"/>
    <x v="3"/>
    <n v="113.10000000000001"/>
    <n v="0.37832793005206794"/>
    <n v="108.52000000000001"/>
  </r>
  <r>
    <x v="1540"/>
    <x v="704"/>
    <s v="Zara Miller"/>
    <x v="1"/>
    <s v="Argentina"/>
    <x v="4"/>
    <x v="3"/>
    <x v="16"/>
    <n v="2"/>
    <n v="26.13"/>
    <n v="0"/>
    <n v="52.26"/>
    <n v="14.83"/>
    <n v="11.3"/>
    <x v="2"/>
    <n v="52.26"/>
    <n v="0.21622655951014161"/>
    <n v="67.09"/>
  </r>
  <r>
    <x v="1541"/>
    <x v="705"/>
    <s v="Oscar Ali"/>
    <x v="0"/>
    <s v="Germany"/>
    <x v="1"/>
    <x v="2"/>
    <x v="8"/>
    <n v="1"/>
    <n v="125.15"/>
    <n v="20"/>
    <n v="100.12"/>
    <n v="8.65"/>
    <n v="16.38"/>
    <x v="2"/>
    <n v="125.15"/>
    <n v="0.16360367558929284"/>
    <n v="108.77000000000001"/>
  </r>
  <r>
    <x v="1542"/>
    <x v="705"/>
    <s v="David Fischer"/>
    <x v="1"/>
    <s v="Germany"/>
    <x v="1"/>
    <x v="2"/>
    <x v="36"/>
    <n v="8"/>
    <n v="184.19"/>
    <n v="5"/>
    <n v="1399.84"/>
    <n v="12.28"/>
    <n v="503.45"/>
    <x v="0"/>
    <n v="1473.52"/>
    <n v="0.359648245513773"/>
    <n v="1412.12"/>
  </r>
  <r>
    <x v="1543"/>
    <x v="706"/>
    <s v="Barbara White"/>
    <x v="1"/>
    <s v="India"/>
    <x v="3"/>
    <x v="1"/>
    <x v="17"/>
    <n v="3"/>
    <n v="11.95"/>
    <n v="5"/>
    <n v="34.06"/>
    <n v="11.21"/>
    <n v="6.72"/>
    <x v="1"/>
    <n v="35.849999999999994"/>
    <n v="0.19729888432178508"/>
    <n v="45.27"/>
  </r>
  <r>
    <x v="1544"/>
    <x v="706"/>
    <s v="Susan Garcia"/>
    <x v="0"/>
    <s v="Argentina"/>
    <x v="4"/>
    <x v="1"/>
    <x v="17"/>
    <n v="1"/>
    <n v="6.93"/>
    <n v="10"/>
    <n v="6.24"/>
    <n v="12.29"/>
    <n v="-9.17"/>
    <x v="2"/>
    <n v="6.93"/>
    <n v="-1.4695512820512819"/>
    <n v="18.53"/>
  </r>
  <r>
    <x v="1545"/>
    <x v="707"/>
    <s v="Sakura Davis"/>
    <x v="1"/>
    <s v="Canada"/>
    <x v="0"/>
    <x v="1"/>
    <x v="6"/>
    <n v="1"/>
    <n v="10.73"/>
    <n v="5"/>
    <n v="10.19"/>
    <n v="6.83"/>
    <n v="-1.47"/>
    <x v="1"/>
    <n v="10.73"/>
    <n v="-0.14425907752698724"/>
    <n v="17.02"/>
  </r>
  <r>
    <x v="1546"/>
    <x v="707"/>
    <s v="Thomas Costa"/>
    <x v="0"/>
    <s v="Canada"/>
    <x v="0"/>
    <x v="3"/>
    <x v="9"/>
    <n v="2"/>
    <n v="51.67"/>
    <n v="10"/>
    <n v="93.01"/>
    <n v="7.45"/>
    <n v="33.89"/>
    <x v="1"/>
    <n v="103.34"/>
    <n v="0.36436942264272659"/>
    <n v="100.46000000000001"/>
  </r>
  <r>
    <x v="1547"/>
    <x v="707"/>
    <s v="Oscar Martin"/>
    <x v="1"/>
    <s v="Spain"/>
    <x v="1"/>
    <x v="0"/>
    <x v="35"/>
    <n v="1"/>
    <n v="38.97"/>
    <n v="0"/>
    <n v="38.97"/>
    <n v="8.5500000000000007"/>
    <n v="8.99"/>
    <x v="1"/>
    <n v="38.97"/>
    <n v="0.23069027457018221"/>
    <n v="47.519999999999996"/>
  </r>
  <r>
    <x v="1548"/>
    <x v="708"/>
    <s v="Susan Leroy"/>
    <x v="1"/>
    <s v="Japan"/>
    <x v="3"/>
    <x v="1"/>
    <x v="2"/>
    <n v="2"/>
    <n v="8.5"/>
    <n v="0"/>
    <n v="17"/>
    <n v="13.21"/>
    <n v="-3.86"/>
    <x v="2"/>
    <n v="17"/>
    <n v="-0.22705882352941176"/>
    <n v="30.21"/>
  </r>
  <r>
    <x v="1549"/>
    <x v="708"/>
    <s v="David Smith"/>
    <x v="0"/>
    <s v="United States"/>
    <x v="0"/>
    <x v="3"/>
    <x v="13"/>
    <n v="1"/>
    <n v="79.180000000000007"/>
    <n v="15"/>
    <n v="67.3"/>
    <n v="6.58"/>
    <n v="21.13"/>
    <x v="0"/>
    <n v="79.180000000000007"/>
    <n v="0.31396731054977711"/>
    <n v="73.88"/>
  </r>
  <r>
    <x v="1550"/>
    <x v="708"/>
    <s v="Thomas Zhang"/>
    <x v="2"/>
    <s v="Japan"/>
    <x v="3"/>
    <x v="3"/>
    <x v="16"/>
    <n v="4"/>
    <n v="40.98"/>
    <n v="10"/>
    <n v="147.53"/>
    <n v="16.39"/>
    <n v="49.18"/>
    <x v="3"/>
    <n v="163.92"/>
    <n v="0.33335592760794414"/>
    <n v="163.92000000000002"/>
  </r>
  <r>
    <x v="1551"/>
    <x v="708"/>
    <s v="Pierre Fischer"/>
    <x v="1"/>
    <s v="Germany"/>
    <x v="1"/>
    <x v="3"/>
    <x v="37"/>
    <n v="2"/>
    <n v="43.41"/>
    <n v="0"/>
    <n v="86.82"/>
    <n v="8.7100000000000009"/>
    <n v="34.700000000000003"/>
    <x v="1"/>
    <n v="86.82"/>
    <n v="0.39967749366505417"/>
    <n v="95.53"/>
  </r>
  <r>
    <x v="1552"/>
    <x v="708"/>
    <s v="Ingrid Davis"/>
    <x v="0"/>
    <s v="Colombia"/>
    <x v="4"/>
    <x v="0"/>
    <x v="18"/>
    <n v="1"/>
    <n v="38.1"/>
    <n v="5"/>
    <n v="36.200000000000003"/>
    <n v="11.13"/>
    <n v="4.12"/>
    <x v="2"/>
    <n v="38.1"/>
    <n v="0.11381215469613259"/>
    <n v="47.330000000000005"/>
  </r>
  <r>
    <x v="1553"/>
    <x v="708"/>
    <s v="Fatima Davis"/>
    <x v="1"/>
    <s v="Saudi Arabia"/>
    <x v="2"/>
    <x v="3"/>
    <x v="26"/>
    <n v="4"/>
    <n v="14.92"/>
    <n v="5"/>
    <n v="56.7"/>
    <n v="15.14"/>
    <n v="11.72"/>
    <x v="1"/>
    <n v="59.68"/>
    <n v="0.20670194003527337"/>
    <n v="71.84"/>
  </r>
  <r>
    <x v="1554"/>
    <x v="709"/>
    <s v="Lucas Brown"/>
    <x v="1"/>
    <s v="South Africa"/>
    <x v="2"/>
    <x v="2"/>
    <x v="5"/>
    <n v="2"/>
    <n v="122.78"/>
    <n v="15"/>
    <n v="208.73"/>
    <n v="15.69"/>
    <n v="45.7"/>
    <x v="1"/>
    <n v="245.56"/>
    <n v="0.21894313227614623"/>
    <n v="224.42"/>
  </r>
  <r>
    <x v="1555"/>
    <x v="710"/>
    <s v="Jamal Hassan"/>
    <x v="1"/>
    <s v="Australia"/>
    <x v="3"/>
    <x v="2"/>
    <x v="4"/>
    <n v="8"/>
    <n v="323.26"/>
    <n v="10"/>
    <n v="2327.4699999999998"/>
    <n v="15.77"/>
    <n v="760.05"/>
    <x v="2"/>
    <n v="2586.08"/>
    <n v="0.32655630362582549"/>
    <n v="2343.2399999999998"/>
  </r>
  <r>
    <x v="1556"/>
    <x v="710"/>
    <s v="Jamal Pereira"/>
    <x v="0"/>
    <s v="Japan"/>
    <x v="3"/>
    <x v="1"/>
    <x v="23"/>
    <n v="9"/>
    <n v="18.45"/>
    <n v="15"/>
    <n v="141.13999999999999"/>
    <n v="31.4"/>
    <n v="35.020000000000003"/>
    <x v="1"/>
    <n v="166.04999999999998"/>
    <n v="0.24812243162817066"/>
    <n v="172.54"/>
  </r>
  <r>
    <x v="1557"/>
    <x v="710"/>
    <s v="Olga Kim"/>
    <x v="0"/>
    <s v="Argentina"/>
    <x v="4"/>
    <x v="1"/>
    <x v="38"/>
    <n v="2"/>
    <n v="5.41"/>
    <n v="10"/>
    <n v="9.74"/>
    <n v="11.11"/>
    <n v="-6.24"/>
    <x v="1"/>
    <n v="10.82"/>
    <n v="-0.64065708418891176"/>
    <n v="20.85"/>
  </r>
  <r>
    <x v="1558"/>
    <x v="711"/>
    <s v="Hans Khan"/>
    <x v="1"/>
    <s v="Mexico"/>
    <x v="0"/>
    <x v="0"/>
    <x v="7"/>
    <n v="2"/>
    <n v="45.5"/>
    <n v="5"/>
    <n v="86.45"/>
    <n v="9.32"/>
    <n v="27.08"/>
    <x v="2"/>
    <n v="91"/>
    <n v="0.31324465008675534"/>
    <n v="95.77000000000001"/>
  </r>
  <r>
    <x v="1559"/>
    <x v="711"/>
    <s v="Oscar Miller"/>
    <x v="2"/>
    <s v="South Africa"/>
    <x v="2"/>
    <x v="0"/>
    <x v="0"/>
    <n v="6"/>
    <n v="105.75"/>
    <n v="0"/>
    <n v="634.5"/>
    <n v="19.059999999999999"/>
    <n v="266.45999999999998"/>
    <x v="0"/>
    <n v="634.5"/>
    <n v="0.41995271867612288"/>
    <n v="653.55999999999995"/>
  </r>
  <r>
    <x v="1560"/>
    <x v="711"/>
    <s v="Barbara Weber"/>
    <x v="0"/>
    <s v="Nigeria"/>
    <x v="2"/>
    <x v="2"/>
    <x v="21"/>
    <n v="2"/>
    <n v="39.94"/>
    <n v="5"/>
    <n v="75.89"/>
    <n v="15.43"/>
    <n v="12.53"/>
    <x v="2"/>
    <n v="79.88"/>
    <n v="0.16510739227829752"/>
    <n v="91.32"/>
  </r>
  <r>
    <x v="1561"/>
    <x v="712"/>
    <s v="Ivan Sharma"/>
    <x v="0"/>
    <s v="Mexico"/>
    <x v="0"/>
    <x v="1"/>
    <x v="23"/>
    <n v="4"/>
    <n v="10.58"/>
    <n v="15"/>
    <n v="35.97"/>
    <n v="10.31"/>
    <n v="6.62"/>
    <x v="3"/>
    <n v="42.32"/>
    <n v="0.18404225743675287"/>
    <n v="46.28"/>
  </r>
  <r>
    <x v="1562"/>
    <x v="712"/>
    <s v="Christopher Ahmed"/>
    <x v="0"/>
    <s v="United States"/>
    <x v="0"/>
    <x v="3"/>
    <x v="30"/>
    <n v="1"/>
    <n v="17.940000000000001"/>
    <n v="10"/>
    <n v="16.149999999999999"/>
    <n v="7.16"/>
    <n v="0.02"/>
    <x v="1"/>
    <n v="17.940000000000001"/>
    <n v="1.238390092879257E-3"/>
    <n v="23.31"/>
  </r>
  <r>
    <x v="1563"/>
    <x v="713"/>
    <s v="Hanna Nilsson"/>
    <x v="1"/>
    <s v="Mexico"/>
    <x v="0"/>
    <x v="1"/>
    <x v="2"/>
    <n v="3"/>
    <n v="6.54"/>
    <n v="0"/>
    <n v="19.62"/>
    <n v="7.75"/>
    <n v="3.04"/>
    <x v="2"/>
    <n v="19.62"/>
    <n v="0.15494393476044852"/>
    <n v="27.37"/>
  </r>
  <r>
    <x v="1564"/>
    <x v="713"/>
    <s v="William Zhang"/>
    <x v="1"/>
    <s v="Brazil"/>
    <x v="4"/>
    <x v="1"/>
    <x v="20"/>
    <n v="3"/>
    <n v="12.72"/>
    <n v="25"/>
    <n v="28.62"/>
    <n v="16.829999999999998"/>
    <n v="-5.38"/>
    <x v="2"/>
    <n v="38.160000000000004"/>
    <n v="-0.18798043326345212"/>
    <n v="45.45"/>
  </r>
  <r>
    <x v="1565"/>
    <x v="713"/>
    <s v="Liam White"/>
    <x v="0"/>
    <s v="United States"/>
    <x v="0"/>
    <x v="3"/>
    <x v="26"/>
    <n v="1"/>
    <n v="47.58"/>
    <n v="10"/>
    <n v="42.82"/>
    <n v="5.77"/>
    <n v="13.26"/>
    <x v="0"/>
    <n v="47.58"/>
    <n v="0.30966837926202706"/>
    <n v="48.59"/>
  </r>
  <r>
    <x v="1566"/>
    <x v="713"/>
    <s v="Kenji Yamamoto"/>
    <x v="1"/>
    <s v="Japan"/>
    <x v="3"/>
    <x v="1"/>
    <x v="25"/>
    <n v="2"/>
    <n v="12.85"/>
    <n v="0"/>
    <n v="25.7"/>
    <n v="13.38"/>
    <n v="0.75"/>
    <x v="0"/>
    <n v="25.7"/>
    <n v="2.9182879377431907E-2"/>
    <n v="39.08"/>
  </r>
  <r>
    <x v="1567"/>
    <x v="714"/>
    <s v="Ingrid Clark"/>
    <x v="1"/>
    <s v="United States"/>
    <x v="0"/>
    <x v="1"/>
    <x v="25"/>
    <n v="5"/>
    <n v="6.01"/>
    <n v="15"/>
    <n v="25.54"/>
    <n v="7.93"/>
    <n v="4.09"/>
    <x v="1"/>
    <n v="30.049999999999997"/>
    <n v="0.1601409553641347"/>
    <n v="33.47"/>
  </r>
  <r>
    <x v="1568"/>
    <x v="714"/>
    <s v="Emma Martin"/>
    <x v="0"/>
    <s v="Italy"/>
    <x v="1"/>
    <x v="2"/>
    <x v="15"/>
    <n v="5"/>
    <n v="243.91"/>
    <n v="5"/>
    <n v="1158.57"/>
    <n v="17.690000000000001"/>
    <n v="409.15"/>
    <x v="1"/>
    <n v="1219.55"/>
    <n v="0.35315086701709869"/>
    <n v="1176.26"/>
  </r>
  <r>
    <x v="1569"/>
    <x v="714"/>
    <s v="Michael Miller"/>
    <x v="0"/>
    <s v="South Africa"/>
    <x v="2"/>
    <x v="1"/>
    <x v="19"/>
    <n v="7"/>
    <n v="7.22"/>
    <n v="10"/>
    <n v="45.49"/>
    <n v="24.79"/>
    <n v="-2.04"/>
    <x v="2"/>
    <n v="50.54"/>
    <n v="-4.4845020883710701E-2"/>
    <n v="70.28"/>
  </r>
  <r>
    <x v="1570"/>
    <x v="714"/>
    <s v="Olivia Clark"/>
    <x v="0"/>
    <s v="UAE"/>
    <x v="2"/>
    <x v="2"/>
    <x v="32"/>
    <n v="1"/>
    <n v="46.37"/>
    <n v="0"/>
    <n v="46.37"/>
    <n v="12.69"/>
    <n v="5.86"/>
    <x v="3"/>
    <n v="46.37"/>
    <n v="0.12637481130040976"/>
    <n v="59.059999999999995"/>
  </r>
  <r>
    <x v="1571"/>
    <x v="715"/>
    <s v="Noah Nilsson"/>
    <x v="1"/>
    <s v="United States"/>
    <x v="0"/>
    <x v="2"/>
    <x v="5"/>
    <n v="2"/>
    <n v="133.22999999999999"/>
    <n v="5"/>
    <n v="253.14"/>
    <n v="6.33"/>
    <n v="86.93"/>
    <x v="3"/>
    <n v="266.45999999999998"/>
    <n v="0.34340681046061472"/>
    <n v="259.46999999999997"/>
  </r>
  <r>
    <x v="1572"/>
    <x v="716"/>
    <s v="William Khan"/>
    <x v="0"/>
    <s v="Spain"/>
    <x v="1"/>
    <x v="0"/>
    <x v="35"/>
    <n v="1"/>
    <n v="37.58"/>
    <n v="20"/>
    <n v="30.06"/>
    <n v="8.2100000000000009"/>
    <n v="1.18"/>
    <x v="0"/>
    <n v="37.58"/>
    <n v="3.9254823685961407E-2"/>
    <n v="38.269999999999996"/>
  </r>
  <r>
    <x v="1573"/>
    <x v="716"/>
    <s v="Ingrid Romano"/>
    <x v="1"/>
    <s v="France"/>
    <x v="1"/>
    <x v="2"/>
    <x v="36"/>
    <n v="5"/>
    <n v="175.88"/>
    <n v="5"/>
    <n v="835.43"/>
    <n v="13.32"/>
    <n v="294.47000000000003"/>
    <x v="1"/>
    <n v="879.4"/>
    <n v="0.35247716744670415"/>
    <n v="848.75"/>
  </r>
  <r>
    <x v="1574"/>
    <x v="717"/>
    <s v="Priya Brown"/>
    <x v="0"/>
    <s v="China"/>
    <x v="3"/>
    <x v="1"/>
    <x v="6"/>
    <n v="9"/>
    <n v="24.53"/>
    <n v="15"/>
    <n v="187.65"/>
    <n v="27.64"/>
    <n v="60.66"/>
    <x v="1"/>
    <n v="220.77"/>
    <n v="0.32326139088729017"/>
    <n v="215.29000000000002"/>
  </r>
  <r>
    <x v="1575"/>
    <x v="717"/>
    <s v="Barbara Fischer"/>
    <x v="0"/>
    <s v="India"/>
    <x v="3"/>
    <x v="1"/>
    <x v="17"/>
    <n v="3"/>
    <n v="10.15"/>
    <n v="15"/>
    <n v="25.88"/>
    <n v="16.059999999999999"/>
    <n v="-3.88"/>
    <x v="2"/>
    <n v="30.450000000000003"/>
    <n v="-0.14992272024729522"/>
    <n v="41.94"/>
  </r>
  <r>
    <x v="1576"/>
    <x v="718"/>
    <s v="Patricia Kim"/>
    <x v="2"/>
    <s v="United Kingdom"/>
    <x v="1"/>
    <x v="2"/>
    <x v="34"/>
    <n v="1"/>
    <n v="33.54"/>
    <n v="0"/>
    <n v="33.54"/>
    <n v="7.97"/>
    <n v="5.45"/>
    <x v="1"/>
    <n v="33.54"/>
    <n v="0.16249254621347645"/>
    <n v="41.51"/>
  </r>
  <r>
    <x v="1577"/>
    <x v="719"/>
    <s v="Ayumi Zhang"/>
    <x v="1"/>
    <s v="South Korea"/>
    <x v="3"/>
    <x v="2"/>
    <x v="4"/>
    <n v="4"/>
    <n v="213.39"/>
    <n v="5"/>
    <n v="810.88"/>
    <n v="18.510000000000002"/>
    <n v="280.23"/>
    <x v="1"/>
    <n v="853.56"/>
    <n v="0.34558750986582482"/>
    <n v="829.39"/>
  </r>
  <r>
    <x v="1578"/>
    <x v="720"/>
    <s v="Patricia Zhang"/>
    <x v="0"/>
    <s v="Mexico"/>
    <x v="0"/>
    <x v="2"/>
    <x v="39"/>
    <n v="5"/>
    <n v="114.98"/>
    <n v="20"/>
    <n v="459.92"/>
    <n v="8.1300000000000008"/>
    <n v="106.85"/>
    <x v="1"/>
    <n v="574.9"/>
    <n v="0.23232301269786049"/>
    <n v="468.05"/>
  </r>
  <r>
    <x v="1579"/>
    <x v="720"/>
    <s v="Ava Oliveira"/>
    <x v="1"/>
    <s v="Germany"/>
    <x v="1"/>
    <x v="3"/>
    <x v="9"/>
    <n v="6"/>
    <n v="28.43"/>
    <n v="5"/>
    <n v="162.05000000000001"/>
    <n v="16.940000000000001"/>
    <n v="59.82"/>
    <x v="2"/>
    <n v="170.57999999999998"/>
    <n v="0.36914532551681578"/>
    <n v="178.99"/>
  </r>
  <r>
    <x v="1580"/>
    <x v="720"/>
    <s v="Michael Yamamoto"/>
    <x v="0"/>
    <s v="China"/>
    <x v="3"/>
    <x v="1"/>
    <x v="25"/>
    <n v="3"/>
    <n v="5.01"/>
    <n v="0"/>
    <n v="15.03"/>
    <n v="11.86"/>
    <n v="-3.59"/>
    <x v="2"/>
    <n v="15.03"/>
    <n v="-0.23885562208915503"/>
    <n v="26.89"/>
  </r>
  <r>
    <x v="1581"/>
    <x v="720"/>
    <s v="Ava Yamamoto"/>
    <x v="1"/>
    <s v="Canada"/>
    <x v="0"/>
    <x v="1"/>
    <x v="17"/>
    <n v="1"/>
    <n v="9.93"/>
    <n v="5"/>
    <n v="9.43"/>
    <n v="5.79"/>
    <n v="-0.83"/>
    <x v="1"/>
    <n v="9.93"/>
    <n v="-8.8016967126193002E-2"/>
    <n v="15.219999999999999"/>
  </r>
  <r>
    <x v="1582"/>
    <x v="721"/>
    <s v="Layla Chen"/>
    <x v="0"/>
    <s v="Germany"/>
    <x v="1"/>
    <x v="3"/>
    <x v="33"/>
    <n v="3"/>
    <n v="41.25"/>
    <n v="5"/>
    <n v="117.56"/>
    <n v="8.91"/>
    <n v="46.78"/>
    <x v="2"/>
    <n v="123.75"/>
    <n v="0.39792446410343657"/>
    <n v="126.47"/>
  </r>
  <r>
    <x v="1583"/>
    <x v="721"/>
    <s v="Thomas Weber"/>
    <x v="2"/>
    <s v="South Africa"/>
    <x v="2"/>
    <x v="0"/>
    <x v="22"/>
    <n v="5"/>
    <n v="115.16"/>
    <n v="5"/>
    <n v="547.01"/>
    <n v="16.63"/>
    <n v="213.69"/>
    <x v="0"/>
    <n v="575.79999999999995"/>
    <n v="0.3906509935832983"/>
    <n v="563.64"/>
  </r>
  <r>
    <x v="1584"/>
    <x v="721"/>
    <s v="Wei Harris"/>
    <x v="0"/>
    <s v="South Korea"/>
    <x v="3"/>
    <x v="2"/>
    <x v="34"/>
    <n v="9"/>
    <n v="54.27"/>
    <n v="5"/>
    <n v="464.01"/>
    <n v="21.91"/>
    <n v="149.04"/>
    <x v="2"/>
    <n v="488.43"/>
    <n v="0.32119997413848839"/>
    <n v="485.92"/>
  </r>
  <r>
    <x v="1585"/>
    <x v="722"/>
    <s v="Linda Wang"/>
    <x v="1"/>
    <s v="France"/>
    <x v="1"/>
    <x v="0"/>
    <x v="22"/>
    <n v="1"/>
    <n v="100.53"/>
    <n v="10"/>
    <n v="90.48"/>
    <n v="9.2200000000000006"/>
    <n v="25.97"/>
    <x v="3"/>
    <n v="100.53"/>
    <n v="0.28702475685234302"/>
    <n v="99.7"/>
  </r>
  <r>
    <x v="1586"/>
    <x v="722"/>
    <s v="Maria Yamamoto"/>
    <x v="1"/>
    <s v="South Korea"/>
    <x v="3"/>
    <x v="0"/>
    <x v="35"/>
    <n v="6"/>
    <n v="37.44"/>
    <n v="5"/>
    <n v="213.41"/>
    <n v="15.54"/>
    <n v="74.319999999999993"/>
    <x v="1"/>
    <n v="224.64"/>
    <n v="0.34824984771097883"/>
    <n v="228.95"/>
  </r>
  <r>
    <x v="1587"/>
    <x v="723"/>
    <s v="Lucas Kim"/>
    <x v="1"/>
    <s v="United States"/>
    <x v="0"/>
    <x v="2"/>
    <x v="21"/>
    <n v="1"/>
    <n v="65.87"/>
    <n v="0"/>
    <n v="65.87"/>
    <n v="6.61"/>
    <n v="19.739999999999998"/>
    <x v="2"/>
    <n v="65.87"/>
    <n v="0.2996811902231668"/>
    <n v="72.48"/>
  </r>
  <r>
    <x v="1588"/>
    <x v="723"/>
    <s v="Amina Tanaka"/>
    <x v="1"/>
    <s v="Mexico"/>
    <x v="0"/>
    <x v="1"/>
    <x v="2"/>
    <n v="2"/>
    <n v="11.24"/>
    <n v="10"/>
    <n v="20.23"/>
    <n v="6.69"/>
    <n v="3.42"/>
    <x v="2"/>
    <n v="22.48"/>
    <n v="0.16905585763717251"/>
    <n v="26.92"/>
  </r>
  <r>
    <x v="1589"/>
    <x v="723"/>
    <s v="Christopher Hassan"/>
    <x v="1"/>
    <s v="Mexico"/>
    <x v="0"/>
    <x v="2"/>
    <x v="4"/>
    <n v="9"/>
    <n v="148.46"/>
    <n v="10"/>
    <n v="1202.53"/>
    <n v="26.88"/>
    <n v="373.97"/>
    <x v="0"/>
    <n v="1336.14"/>
    <n v="0.31098600450716407"/>
    <n v="1229.4100000000001"/>
  </r>
  <r>
    <x v="1590"/>
    <x v="724"/>
    <s v="Sarah Hassan"/>
    <x v="0"/>
    <s v="Mexico"/>
    <x v="0"/>
    <x v="1"/>
    <x v="38"/>
    <n v="2"/>
    <n v="10.07"/>
    <n v="15"/>
    <n v="17.12"/>
    <n v="6.12"/>
    <n v="1.94"/>
    <x v="1"/>
    <n v="20.14"/>
    <n v="0.11331775700934578"/>
    <n v="23.240000000000002"/>
  </r>
  <r>
    <x v="1591"/>
    <x v="725"/>
    <s v="Thomas Brown"/>
    <x v="2"/>
    <s v="France"/>
    <x v="1"/>
    <x v="0"/>
    <x v="0"/>
    <n v="2"/>
    <n v="159.65"/>
    <n v="5"/>
    <n v="303.33"/>
    <n v="8.3800000000000008"/>
    <n v="119.33"/>
    <x v="3"/>
    <n v="319.3"/>
    <n v="0.39339992747173047"/>
    <n v="311.70999999999998"/>
  </r>
  <r>
    <x v="1592"/>
    <x v="725"/>
    <s v="Chen Rossi"/>
    <x v="2"/>
    <s v="Canada"/>
    <x v="0"/>
    <x v="1"/>
    <x v="6"/>
    <n v="1"/>
    <n v="11.67"/>
    <n v="10"/>
    <n v="10.5"/>
    <n v="6.16"/>
    <n v="-0.91"/>
    <x v="1"/>
    <n v="11.67"/>
    <n v="-8.666666666666667E-2"/>
    <n v="16.66"/>
  </r>
  <r>
    <x v="1593"/>
    <x v="725"/>
    <s v="Nadia Martin"/>
    <x v="2"/>
    <s v="United Kingdom"/>
    <x v="1"/>
    <x v="3"/>
    <x v="33"/>
    <n v="2"/>
    <n v="16.7"/>
    <n v="15"/>
    <n v="28.39"/>
    <n v="11.41"/>
    <n v="0.28000000000000003"/>
    <x v="0"/>
    <n v="33.4"/>
    <n v="9.8626276858048614E-3"/>
    <n v="39.799999999999997"/>
  </r>
  <r>
    <x v="1594"/>
    <x v="725"/>
    <s v="Sakura Davis"/>
    <x v="0"/>
    <s v="United States"/>
    <x v="0"/>
    <x v="2"/>
    <x v="15"/>
    <n v="5"/>
    <n v="408.13"/>
    <n v="15"/>
    <n v="1734.55"/>
    <n v="8.1199999999999992"/>
    <n v="502.04"/>
    <x v="1"/>
    <n v="2040.65"/>
    <n v="0.28943530022195962"/>
    <n v="1742.6699999999998"/>
  </r>
  <r>
    <x v="1595"/>
    <x v="726"/>
    <s v="Nadia Pereira"/>
    <x v="1"/>
    <s v="South Africa"/>
    <x v="2"/>
    <x v="3"/>
    <x v="9"/>
    <n v="3"/>
    <n v="22.94"/>
    <n v="5"/>
    <n v="65.38"/>
    <n v="13.72"/>
    <n v="17.25"/>
    <x v="3"/>
    <n v="68.820000000000007"/>
    <n v="0.26384215356378099"/>
    <n v="79.099999999999994"/>
  </r>
  <r>
    <x v="1596"/>
    <x v="726"/>
    <s v="Richard Rossi"/>
    <x v="1"/>
    <s v="Canada"/>
    <x v="0"/>
    <x v="2"/>
    <x v="39"/>
    <n v="6"/>
    <n v="112.24"/>
    <n v="10"/>
    <n v="606.1"/>
    <n v="15.24"/>
    <n v="186.8"/>
    <x v="2"/>
    <n v="673.43999999999994"/>
    <n v="0.30819996700214486"/>
    <n v="621.34"/>
  </r>
  <r>
    <x v="1597"/>
    <x v="727"/>
    <s v="Linda Johnson"/>
    <x v="1"/>
    <s v="India"/>
    <x v="3"/>
    <x v="2"/>
    <x v="36"/>
    <n v="2"/>
    <n v="133.72"/>
    <n v="5"/>
    <n v="254.07"/>
    <n v="13.55"/>
    <n v="80.06"/>
    <x v="0"/>
    <n v="267.44"/>
    <n v="0.31511000905262332"/>
    <n v="267.62"/>
  </r>
  <r>
    <x v="1598"/>
    <x v="727"/>
    <s v="Richard Leroy"/>
    <x v="0"/>
    <s v="Japan"/>
    <x v="3"/>
    <x v="0"/>
    <x v="1"/>
    <n v="4"/>
    <n v="132.13999999999999"/>
    <n v="25"/>
    <n v="396.42"/>
    <n v="16.649999999999999"/>
    <n v="89.06"/>
    <x v="2"/>
    <n v="528.55999999999995"/>
    <n v="0.2246607133847939"/>
    <n v="413.07"/>
  </r>
  <r>
    <x v="1599"/>
    <x v="728"/>
    <s v="Carlos Ferrari"/>
    <x v="1"/>
    <s v="South Korea"/>
    <x v="3"/>
    <x v="0"/>
    <x v="0"/>
    <n v="10"/>
    <n v="177.5"/>
    <n v="0"/>
    <n v="1775"/>
    <n v="15.06"/>
    <n v="783.69"/>
    <x v="1"/>
    <n v="1775"/>
    <n v="0.4415154929577465"/>
    <n v="1790.06"/>
  </r>
  <r>
    <x v="1600"/>
    <x v="728"/>
    <s v="Mia Brown"/>
    <x v="1"/>
    <s v="Colombia"/>
    <x v="4"/>
    <x v="0"/>
    <x v="22"/>
    <n v="3"/>
    <n v="91.93"/>
    <n v="5"/>
    <n v="262"/>
    <n v="17.100000000000001"/>
    <n v="93.22"/>
    <x v="0"/>
    <n v="275.79000000000002"/>
    <n v="0.35580152671755727"/>
    <n v="279.10000000000002"/>
  </r>
  <r>
    <x v="1601"/>
    <x v="729"/>
    <s v="Ahmed Weber"/>
    <x v="0"/>
    <s v="China"/>
    <x v="3"/>
    <x v="1"/>
    <x v="2"/>
    <n v="3"/>
    <n v="9.7200000000000006"/>
    <n v="0"/>
    <n v="29.16"/>
    <n v="13.7"/>
    <n v="2.34"/>
    <x v="3"/>
    <n v="29.160000000000004"/>
    <n v="8.0246913580246909E-2"/>
    <n v="42.86"/>
  </r>
  <r>
    <x v="1602"/>
    <x v="729"/>
    <s v="Diego Li"/>
    <x v="1"/>
    <s v="United Kingdom"/>
    <x v="1"/>
    <x v="0"/>
    <x v="7"/>
    <n v="1"/>
    <n v="52.67"/>
    <n v="5"/>
    <n v="50.04"/>
    <n v="8.6"/>
    <n v="12.47"/>
    <x v="1"/>
    <n v="52.67"/>
    <n v="0.24920063948840929"/>
    <n v="58.64"/>
  </r>
  <r>
    <x v="1603"/>
    <x v="729"/>
    <s v="Jennifer Thompson"/>
    <x v="0"/>
    <s v="Mexico"/>
    <x v="0"/>
    <x v="1"/>
    <x v="10"/>
    <n v="1"/>
    <n v="3.44"/>
    <n v="25"/>
    <n v="2.58"/>
    <n v="6.69"/>
    <n v="-5.66"/>
    <x v="1"/>
    <n v="3.44"/>
    <n v="-2.193798449612403"/>
    <n v="9.27"/>
  </r>
  <r>
    <x v="1604"/>
    <x v="729"/>
    <s v="Michael Yamamoto"/>
    <x v="1"/>
    <s v="Germany"/>
    <x v="1"/>
    <x v="3"/>
    <x v="16"/>
    <n v="5"/>
    <n v="16.98"/>
    <n v="15"/>
    <n v="72.17"/>
    <n v="10.38"/>
    <n v="19.34"/>
    <x v="2"/>
    <n v="84.9"/>
    <n v="0.26797838437023691"/>
    <n v="82.55"/>
  </r>
  <r>
    <x v="1605"/>
    <x v="730"/>
    <s v="Christopher Khan"/>
    <x v="2"/>
    <s v="United Kingdom"/>
    <x v="1"/>
    <x v="1"/>
    <x v="2"/>
    <n v="4"/>
    <n v="6.96"/>
    <n v="15"/>
    <n v="23.66"/>
    <n v="14.15"/>
    <n v="-3.02"/>
    <x v="1"/>
    <n v="27.84"/>
    <n v="-0.12764158918005072"/>
    <n v="37.81"/>
  </r>
  <r>
    <x v="1606"/>
    <x v="730"/>
    <s v="Ethan Jones"/>
    <x v="1"/>
    <s v="South Africa"/>
    <x v="2"/>
    <x v="3"/>
    <x v="33"/>
    <n v="2"/>
    <n v="49.74"/>
    <n v="0"/>
    <n v="99.48"/>
    <n v="14.2"/>
    <n v="35.54"/>
    <x v="1"/>
    <n v="99.48"/>
    <n v="0.3572577402492963"/>
    <n v="113.68"/>
  </r>
  <r>
    <x v="1607"/>
    <x v="731"/>
    <s v="Li Pereira"/>
    <x v="0"/>
    <s v="Saudi Arabia"/>
    <x v="2"/>
    <x v="1"/>
    <x v="25"/>
    <n v="1"/>
    <n v="14.71"/>
    <n v="10"/>
    <n v="13.24"/>
    <n v="12.16"/>
    <n v="-5.54"/>
    <x v="1"/>
    <n v="14.71"/>
    <n v="-0.41842900302114805"/>
    <n v="25.4"/>
  </r>
  <r>
    <x v="1608"/>
    <x v="731"/>
    <s v="Felix Patel"/>
    <x v="1"/>
    <s v="Italy"/>
    <x v="1"/>
    <x v="2"/>
    <x v="5"/>
    <n v="1"/>
    <n v="126.48"/>
    <n v="5"/>
    <n v="120.16"/>
    <n v="9.35"/>
    <n v="34.92"/>
    <x v="3"/>
    <n v="126.48"/>
    <n v="0.29061251664447407"/>
    <n v="129.51"/>
  </r>
  <r>
    <x v="1609"/>
    <x v="731"/>
    <s v="Noah Chen"/>
    <x v="1"/>
    <s v="Canada"/>
    <x v="0"/>
    <x v="2"/>
    <x v="21"/>
    <n v="2"/>
    <n v="81.06"/>
    <n v="10"/>
    <n v="145.91"/>
    <n v="9.58"/>
    <n v="39.06"/>
    <x v="2"/>
    <n v="162.12"/>
    <n v="0.26769926667123572"/>
    <n v="155.49"/>
  </r>
  <r>
    <x v="1610"/>
    <x v="732"/>
    <s v="Clara Moreau"/>
    <x v="0"/>
    <s v="United States"/>
    <x v="0"/>
    <x v="0"/>
    <x v="22"/>
    <n v="1"/>
    <n v="95.57"/>
    <n v="30"/>
    <n v="66.900000000000006"/>
    <n v="6.55"/>
    <n v="7.79"/>
    <x v="2"/>
    <n v="95.57"/>
    <n v="0.11644245142002989"/>
    <n v="73.45"/>
  </r>
  <r>
    <x v="1611"/>
    <x v="733"/>
    <s v="Isabella Russo"/>
    <x v="0"/>
    <s v="Germany"/>
    <x v="1"/>
    <x v="2"/>
    <x v="5"/>
    <n v="1"/>
    <n v="177.19"/>
    <n v="10"/>
    <n v="159.47"/>
    <n v="7.89"/>
    <n v="45.27"/>
    <x v="0"/>
    <n v="177.19"/>
    <n v="0.28387784536276417"/>
    <n v="167.35999999999999"/>
  </r>
  <r>
    <x v="1612"/>
    <x v="734"/>
    <s v="Ivan Patel"/>
    <x v="2"/>
    <s v="Australia"/>
    <x v="3"/>
    <x v="2"/>
    <x v="4"/>
    <n v="1"/>
    <n v="134.93"/>
    <n v="15"/>
    <n v="114.69"/>
    <n v="11.49"/>
    <n v="22.24"/>
    <x v="1"/>
    <n v="134.93"/>
    <n v="0.19391402912198097"/>
    <n v="126.17999999999999"/>
  </r>
  <r>
    <x v="1613"/>
    <x v="734"/>
    <s v="Diego Suzuki"/>
    <x v="0"/>
    <s v="Brazil"/>
    <x v="4"/>
    <x v="0"/>
    <x v="1"/>
    <n v="8"/>
    <n v="84.99"/>
    <n v="5"/>
    <n v="645.91999999999996"/>
    <n v="16.53"/>
    <n v="255.43"/>
    <x v="1"/>
    <n v="679.92"/>
    <n v="0.39545144909586333"/>
    <n v="662.44999999999993"/>
  </r>
  <r>
    <x v="1614"/>
    <x v="734"/>
    <s v="Sophie Chen"/>
    <x v="0"/>
    <s v="Canada"/>
    <x v="0"/>
    <x v="2"/>
    <x v="21"/>
    <n v="2"/>
    <n v="89.6"/>
    <n v="5"/>
    <n v="170.24"/>
    <n v="9.8800000000000008"/>
    <n v="52.84"/>
    <x v="3"/>
    <n v="179.2"/>
    <n v="0.31038533834586468"/>
    <n v="180.12"/>
  </r>
  <r>
    <x v="1615"/>
    <x v="735"/>
    <s v="Robert Taylor"/>
    <x v="2"/>
    <s v="United States"/>
    <x v="0"/>
    <x v="1"/>
    <x v="19"/>
    <n v="1"/>
    <n v="4.99"/>
    <n v="0"/>
    <n v="4.99"/>
    <n v="6.34"/>
    <n v="-3.6"/>
    <x v="3"/>
    <n v="4.99"/>
    <n v="-0.72144288577154303"/>
    <n v="11.33"/>
  </r>
  <r>
    <x v="1616"/>
    <x v="735"/>
    <s v="Giulia MÃ¼ller"/>
    <x v="0"/>
    <s v="Japan"/>
    <x v="3"/>
    <x v="0"/>
    <x v="35"/>
    <n v="2"/>
    <n v="24.99"/>
    <n v="5"/>
    <n v="47.48"/>
    <n v="10.52"/>
    <n v="9.4700000000000006"/>
    <x v="2"/>
    <n v="49.98"/>
    <n v="0.19945240101095202"/>
    <n v="58"/>
  </r>
  <r>
    <x v="1617"/>
    <x v="736"/>
    <s v="Yuki Suzuki"/>
    <x v="0"/>
    <s v="China"/>
    <x v="3"/>
    <x v="2"/>
    <x v="21"/>
    <n v="1"/>
    <n v="32.11"/>
    <n v="20"/>
    <n v="25.69"/>
    <n v="10.11"/>
    <n v="-3.69"/>
    <x v="3"/>
    <n v="32.11"/>
    <n v="-0.14363565589723626"/>
    <n v="35.799999999999997"/>
  </r>
  <r>
    <x v="1618"/>
    <x v="737"/>
    <s v="Amina Taylor"/>
    <x v="2"/>
    <s v="South Africa"/>
    <x v="2"/>
    <x v="3"/>
    <x v="11"/>
    <n v="1"/>
    <n v="39.86"/>
    <n v="0"/>
    <n v="39.86"/>
    <n v="11.78"/>
    <n v="8.15"/>
    <x v="3"/>
    <n v="39.86"/>
    <n v="0.2044656297039639"/>
    <n v="51.64"/>
  </r>
  <r>
    <x v="1619"/>
    <x v="737"/>
    <s v="Ava Clark"/>
    <x v="1"/>
    <s v="United Kingdom"/>
    <x v="1"/>
    <x v="3"/>
    <x v="9"/>
    <n v="4"/>
    <n v="44.68"/>
    <n v="10"/>
    <n v="160.85"/>
    <n v="12.79"/>
    <n v="58.7"/>
    <x v="1"/>
    <n v="178.72"/>
    <n v="0.3649362760335717"/>
    <n v="173.64"/>
  </r>
  <r>
    <x v="1620"/>
    <x v="737"/>
    <s v="William Garcia"/>
    <x v="0"/>
    <s v="United Kingdom"/>
    <x v="1"/>
    <x v="1"/>
    <x v="12"/>
    <n v="1"/>
    <n v="19.010000000000002"/>
    <n v="15"/>
    <n v="16.16"/>
    <n v="9.44"/>
    <n v="-1.83"/>
    <x v="1"/>
    <n v="19.010000000000002"/>
    <n v="-0.11324257425742575"/>
    <n v="25.6"/>
  </r>
  <r>
    <x v="1621"/>
    <x v="737"/>
    <s v="Ivan Santos"/>
    <x v="0"/>
    <s v="Canada"/>
    <x v="0"/>
    <x v="2"/>
    <x v="15"/>
    <n v="7"/>
    <n v="422.4"/>
    <n v="30"/>
    <n v="2069.7600000000002"/>
    <n v="15.51"/>
    <n v="280.17"/>
    <x v="2"/>
    <n v="2956.7999999999997"/>
    <n v="0.13536352040816327"/>
    <n v="2085.2700000000004"/>
  </r>
  <r>
    <x v="1622"/>
    <x v="738"/>
    <s v="Emma Jones"/>
    <x v="2"/>
    <s v="Mexico"/>
    <x v="0"/>
    <x v="2"/>
    <x v="14"/>
    <n v="3"/>
    <n v="227.94"/>
    <n v="0"/>
    <n v="683.82"/>
    <n v="9.86"/>
    <n v="263.67"/>
    <x v="1"/>
    <n v="683.81999999999994"/>
    <n v="0.3855839255944547"/>
    <n v="693.68000000000006"/>
  </r>
  <r>
    <x v="1623"/>
    <x v="739"/>
    <s v="Liam Zhang"/>
    <x v="2"/>
    <s v="China"/>
    <x v="3"/>
    <x v="0"/>
    <x v="28"/>
    <n v="1"/>
    <n v="22.46"/>
    <n v="5"/>
    <n v="21.34"/>
    <n v="9.83"/>
    <n v="-0.84"/>
    <x v="2"/>
    <n v="22.46"/>
    <n v="-3.9362699156513588E-2"/>
    <n v="31.17"/>
  </r>
  <r>
    <x v="1624"/>
    <x v="739"/>
    <s v="Felix Pereira"/>
    <x v="1"/>
    <s v="Italy"/>
    <x v="1"/>
    <x v="1"/>
    <x v="38"/>
    <n v="2"/>
    <n v="11.32"/>
    <n v="0"/>
    <n v="22.64"/>
    <n v="10.02"/>
    <n v="2.4300000000000002"/>
    <x v="2"/>
    <n v="22.64"/>
    <n v="0.1073321554770318"/>
    <n v="32.659999999999997"/>
  </r>
  <r>
    <x v="1625"/>
    <x v="739"/>
    <s v="Sophie Chen"/>
    <x v="2"/>
    <s v="Spain"/>
    <x v="1"/>
    <x v="2"/>
    <x v="21"/>
    <n v="2"/>
    <n v="56.68"/>
    <n v="15"/>
    <n v="96.36"/>
    <n v="8.36"/>
    <n v="19.98"/>
    <x v="1"/>
    <n v="113.36"/>
    <n v="0.20734744707347447"/>
    <n v="104.72"/>
  </r>
  <r>
    <x v="1626"/>
    <x v="740"/>
    <s v="Ali Yamamoto"/>
    <x v="1"/>
    <s v="China"/>
    <x v="3"/>
    <x v="2"/>
    <x v="8"/>
    <n v="2"/>
    <n v="125.68"/>
    <n v="10"/>
    <n v="226.22"/>
    <n v="12.02"/>
    <n v="63.38"/>
    <x v="1"/>
    <n v="251.36"/>
    <n v="0.28016974626469809"/>
    <n v="238.24"/>
  </r>
  <r>
    <x v="1627"/>
    <x v="741"/>
    <s v="Lucas Moreau"/>
    <x v="2"/>
    <s v="Mexico"/>
    <x v="0"/>
    <x v="2"/>
    <x v="36"/>
    <n v="6"/>
    <n v="111.51"/>
    <n v="15"/>
    <n v="568.70000000000005"/>
    <n v="11.57"/>
    <n v="155.69"/>
    <x v="0"/>
    <n v="669.06000000000006"/>
    <n v="0.27376472656936873"/>
    <n v="580.2700000000001"/>
  </r>
  <r>
    <x v="1628"/>
    <x v="741"/>
    <s v="Karen Yamamoto"/>
    <x v="0"/>
    <s v="United Kingdom"/>
    <x v="1"/>
    <x v="0"/>
    <x v="7"/>
    <n v="2"/>
    <n v="27.7"/>
    <n v="25"/>
    <n v="41.55"/>
    <n v="8.7799999999999994"/>
    <n v="2.2999999999999998"/>
    <x v="1"/>
    <n v="55.4"/>
    <n v="5.5354993983152828E-2"/>
    <n v="50.33"/>
  </r>
  <r>
    <x v="1629"/>
    <x v="741"/>
    <s v="Amina Anderson"/>
    <x v="0"/>
    <s v="India"/>
    <x v="3"/>
    <x v="1"/>
    <x v="20"/>
    <n v="1"/>
    <n v="12.26"/>
    <n v="10"/>
    <n v="11.03"/>
    <n v="10.84"/>
    <n v="-5.33"/>
    <x v="1"/>
    <n v="12.26"/>
    <n v="-0.48322756119673621"/>
    <n v="21.869999999999997"/>
  </r>
  <r>
    <x v="1630"/>
    <x v="742"/>
    <s v="Olga Johansson"/>
    <x v="0"/>
    <s v="Australia"/>
    <x v="3"/>
    <x v="2"/>
    <x v="39"/>
    <n v="5"/>
    <n v="166.9"/>
    <n v="25"/>
    <n v="625.88"/>
    <n v="18.86"/>
    <n v="106.32"/>
    <x v="2"/>
    <n v="834.5"/>
    <n v="0.16987281907074839"/>
    <n v="644.74"/>
  </r>
  <r>
    <x v="1631"/>
    <x v="742"/>
    <s v="David Kumar"/>
    <x v="1"/>
    <s v="Spain"/>
    <x v="1"/>
    <x v="0"/>
    <x v="35"/>
    <n v="1"/>
    <n v="51.63"/>
    <n v="0"/>
    <n v="51.63"/>
    <n v="7.8"/>
    <n v="15.43"/>
    <x v="2"/>
    <n v="51.63"/>
    <n v="0.29885725353476661"/>
    <n v="59.43"/>
  </r>
  <r>
    <x v="1632"/>
    <x v="742"/>
    <s v="Susan Harris"/>
    <x v="1"/>
    <s v="France"/>
    <x v="1"/>
    <x v="2"/>
    <x v="5"/>
    <n v="1"/>
    <n v="144.88999999999999"/>
    <n v="10"/>
    <n v="130.4"/>
    <n v="8.09"/>
    <n v="35.380000000000003"/>
    <x v="1"/>
    <n v="144.88999999999999"/>
    <n v="0.27131901840490796"/>
    <n v="138.49"/>
  </r>
  <r>
    <x v="1633"/>
    <x v="743"/>
    <s v="Christopher Chen"/>
    <x v="1"/>
    <s v="South Korea"/>
    <x v="3"/>
    <x v="1"/>
    <x v="2"/>
    <n v="7"/>
    <n v="13.53"/>
    <n v="0"/>
    <n v="94.71"/>
    <n v="20.02"/>
    <n v="32.07"/>
    <x v="1"/>
    <n v="94.71"/>
    <n v="0.33861260690528988"/>
    <n v="114.72999999999999"/>
  </r>
  <r>
    <x v="1634"/>
    <x v="743"/>
    <s v="Carlos Jackson"/>
    <x v="0"/>
    <s v="Saudi Arabia"/>
    <x v="2"/>
    <x v="1"/>
    <x v="12"/>
    <n v="4"/>
    <n v="18.899999999999999"/>
    <n v="20"/>
    <n v="60.48"/>
    <n v="16.12"/>
    <n v="10.34"/>
    <x v="1"/>
    <n v="75.599999999999994"/>
    <n v="0.17096560846560846"/>
    <n v="76.599999999999994"/>
  </r>
  <r>
    <x v="1635"/>
    <x v="743"/>
    <s v="Hans Ferrari"/>
    <x v="2"/>
    <s v="Germany"/>
    <x v="1"/>
    <x v="1"/>
    <x v="25"/>
    <n v="1"/>
    <n v="16.309999999999999"/>
    <n v="0"/>
    <n v="16.309999999999999"/>
    <n v="8.77"/>
    <n v="0.2"/>
    <x v="1"/>
    <n v="16.309999999999999"/>
    <n v="1.2262415695892093E-2"/>
    <n v="25.08"/>
  </r>
  <r>
    <x v="1636"/>
    <x v="743"/>
    <s v="Clara Martinez"/>
    <x v="2"/>
    <s v="United States"/>
    <x v="0"/>
    <x v="3"/>
    <x v="37"/>
    <n v="2"/>
    <n v="70.84"/>
    <n v="15"/>
    <n v="120.43"/>
    <n v="7.08"/>
    <n v="42.51"/>
    <x v="2"/>
    <n v="141.68"/>
    <n v="0.35298513659387193"/>
    <n v="127.51"/>
  </r>
  <r>
    <x v="1637"/>
    <x v="743"/>
    <s v="Sarah Rossi"/>
    <x v="0"/>
    <s v="United Kingdom"/>
    <x v="1"/>
    <x v="1"/>
    <x v="17"/>
    <n v="5"/>
    <n v="19.61"/>
    <n v="20"/>
    <n v="78.44"/>
    <n v="10.31"/>
    <n v="24.01"/>
    <x v="0"/>
    <n v="98.05"/>
    <n v="0.30609382967873539"/>
    <n v="88.75"/>
  </r>
  <r>
    <x v="1638"/>
    <x v="744"/>
    <s v="Lucas Nilsson"/>
    <x v="0"/>
    <s v="Germany"/>
    <x v="1"/>
    <x v="2"/>
    <x v="36"/>
    <n v="8"/>
    <n v="284.77999999999997"/>
    <n v="5"/>
    <n v="2164.33"/>
    <n v="25.98"/>
    <n v="771.41"/>
    <x v="3"/>
    <n v="2278.2399999999998"/>
    <n v="0.35641976962847627"/>
    <n v="2190.31"/>
  </r>
  <r>
    <x v="1639"/>
    <x v="744"/>
    <s v="Jamal Robinson"/>
    <x v="0"/>
    <s v="Japan"/>
    <x v="3"/>
    <x v="0"/>
    <x v="0"/>
    <n v="11"/>
    <n v="61.31"/>
    <n v="5"/>
    <n v="640.69000000000005"/>
    <n v="33.82"/>
    <n v="235.94"/>
    <x v="2"/>
    <n v="674.41000000000008"/>
    <n v="0.36825922052786836"/>
    <n v="674.5100000000001"/>
  </r>
  <r>
    <x v="1640"/>
    <x v="744"/>
    <s v="Li Harris"/>
    <x v="1"/>
    <s v="Mexico"/>
    <x v="0"/>
    <x v="0"/>
    <x v="29"/>
    <n v="3"/>
    <n v="22.6"/>
    <n v="10"/>
    <n v="61.02"/>
    <n v="6.51"/>
    <n v="17.22"/>
    <x v="1"/>
    <n v="67.800000000000011"/>
    <n v="0.28220255653883969"/>
    <n v="67.53"/>
  </r>
  <r>
    <x v="1641"/>
    <x v="744"/>
    <s v="Chen Martin"/>
    <x v="1"/>
    <s v="Italy"/>
    <x v="1"/>
    <x v="1"/>
    <x v="17"/>
    <n v="4"/>
    <n v="7.06"/>
    <n v="0"/>
    <n v="28.24"/>
    <n v="13.62"/>
    <n v="1.91"/>
    <x v="0"/>
    <n v="28.24"/>
    <n v="6.7634560906515581E-2"/>
    <n v="41.86"/>
  </r>
  <r>
    <x v="1642"/>
    <x v="744"/>
    <s v="Olga Yamamoto"/>
    <x v="1"/>
    <s v="UAE"/>
    <x v="2"/>
    <x v="0"/>
    <x v="35"/>
    <n v="1"/>
    <n v="34.770000000000003"/>
    <n v="0"/>
    <n v="34.770000000000003"/>
    <n v="11.76"/>
    <n v="3.89"/>
    <x v="1"/>
    <n v="34.770000000000003"/>
    <n v="0.11187805579522576"/>
    <n v="46.53"/>
  </r>
  <r>
    <x v="1643"/>
    <x v="744"/>
    <s v="Nadia Thomas"/>
    <x v="1"/>
    <s v="Japan"/>
    <x v="3"/>
    <x v="3"/>
    <x v="33"/>
    <n v="6"/>
    <n v="17.93"/>
    <n v="10"/>
    <n v="96.82"/>
    <n v="15.34"/>
    <n v="27.69"/>
    <x v="1"/>
    <n v="107.58"/>
    <n v="0.28599462920884117"/>
    <n v="112.16"/>
  </r>
  <r>
    <x v="1644"/>
    <x v="745"/>
    <s v="Elizabeth Johnson"/>
    <x v="2"/>
    <s v="Mexico"/>
    <x v="0"/>
    <x v="3"/>
    <x v="27"/>
    <n v="6"/>
    <n v="65.25"/>
    <n v="5"/>
    <n v="371.92"/>
    <n v="8.51"/>
    <n v="167.66"/>
    <x v="2"/>
    <n v="391.5"/>
    <n v="0.45079587007958699"/>
    <n v="380.43"/>
  </r>
  <r>
    <x v="1645"/>
    <x v="745"/>
    <s v="Jennifer Ferrari"/>
    <x v="1"/>
    <s v="Mexico"/>
    <x v="0"/>
    <x v="0"/>
    <x v="7"/>
    <n v="2"/>
    <n v="38.03"/>
    <n v="5"/>
    <n v="72.260000000000005"/>
    <n v="9.2899999999999991"/>
    <n v="21.14"/>
    <x v="2"/>
    <n v="76.06"/>
    <n v="0.29255466371436478"/>
    <n v="81.550000000000011"/>
  </r>
  <r>
    <x v="1646"/>
    <x v="745"/>
    <s v="Patricia Jackson"/>
    <x v="0"/>
    <s v="Spain"/>
    <x v="1"/>
    <x v="3"/>
    <x v="33"/>
    <n v="3"/>
    <n v="53.91"/>
    <n v="0"/>
    <n v="161.72999999999999"/>
    <n v="12.12"/>
    <n v="68.739999999999995"/>
    <x v="1"/>
    <n v="161.72999999999999"/>
    <n v="0.42502936993755025"/>
    <n v="173.85"/>
  </r>
  <r>
    <x v="1647"/>
    <x v="746"/>
    <s v="Emma Johnson"/>
    <x v="0"/>
    <s v="South Africa"/>
    <x v="2"/>
    <x v="0"/>
    <x v="35"/>
    <n v="4"/>
    <n v="40.01"/>
    <n v="0"/>
    <n v="160.04"/>
    <n v="16.420000000000002"/>
    <n v="55.6"/>
    <x v="0"/>
    <n v="160.04"/>
    <n v="0.34741314671332169"/>
    <n v="176.45999999999998"/>
  </r>
  <r>
    <x v="1648"/>
    <x v="746"/>
    <s v="Noah Tanaka"/>
    <x v="1"/>
    <s v="China"/>
    <x v="3"/>
    <x v="0"/>
    <x v="7"/>
    <n v="9"/>
    <n v="58.82"/>
    <n v="5"/>
    <n v="502.91"/>
    <n v="25.7"/>
    <n v="186.05"/>
    <x v="2"/>
    <n v="529.38"/>
    <n v="0.36994690898968008"/>
    <n v="528.61"/>
  </r>
  <r>
    <x v="1649"/>
    <x v="747"/>
    <s v="Chen Khan"/>
    <x v="0"/>
    <s v="United States"/>
    <x v="0"/>
    <x v="1"/>
    <x v="2"/>
    <n v="2"/>
    <n v="8.98"/>
    <n v="10"/>
    <n v="16.16"/>
    <n v="9.66"/>
    <n v="-1.58"/>
    <x v="2"/>
    <n v="17.96"/>
    <n v="-9.7772277227722776E-2"/>
    <n v="25.82"/>
  </r>
  <r>
    <x v="1650"/>
    <x v="747"/>
    <s v="Ayumi Romano"/>
    <x v="1"/>
    <s v="Mexico"/>
    <x v="0"/>
    <x v="2"/>
    <x v="34"/>
    <n v="3"/>
    <n v="29.12"/>
    <n v="0"/>
    <n v="87.36"/>
    <n v="11.41"/>
    <n v="23.53"/>
    <x v="0"/>
    <n v="87.36"/>
    <n v="0.26934523809523814"/>
    <n v="98.77"/>
  </r>
  <r>
    <x v="1651"/>
    <x v="748"/>
    <s v="Joseph Clark"/>
    <x v="1"/>
    <s v="China"/>
    <x v="3"/>
    <x v="2"/>
    <x v="34"/>
    <n v="4"/>
    <n v="17.48"/>
    <n v="10"/>
    <n v="62.93"/>
    <n v="12.78"/>
    <n v="8.1999999999999993"/>
    <x v="0"/>
    <n v="69.92"/>
    <n v="0.13030351183855077"/>
    <n v="75.709999999999994"/>
  </r>
  <r>
    <x v="1652"/>
    <x v="749"/>
    <s v="Robert Harris"/>
    <x v="1"/>
    <s v="United States"/>
    <x v="0"/>
    <x v="1"/>
    <x v="6"/>
    <n v="1"/>
    <n v="12.16"/>
    <n v="5"/>
    <n v="11.55"/>
    <n v="6.58"/>
    <n v="-0.5"/>
    <x v="3"/>
    <n v="12.16"/>
    <n v="-4.3290043290043288E-2"/>
    <n v="18.130000000000003"/>
  </r>
  <r>
    <x v="1653"/>
    <x v="749"/>
    <s v="Elizabeth Park"/>
    <x v="0"/>
    <s v="United Kingdom"/>
    <x v="1"/>
    <x v="1"/>
    <x v="25"/>
    <n v="8"/>
    <n v="17.670000000000002"/>
    <n v="10"/>
    <n v="127.22"/>
    <n v="25.24"/>
    <n v="38.369999999999997"/>
    <x v="2"/>
    <n v="141.36000000000001"/>
    <n v="0.30160352145889008"/>
    <n v="152.46"/>
  </r>
  <r>
    <x v="1654"/>
    <x v="749"/>
    <s v="Emma Kim"/>
    <x v="1"/>
    <s v="United Kingdom"/>
    <x v="1"/>
    <x v="2"/>
    <x v="8"/>
    <n v="1"/>
    <n v="94.65"/>
    <n v="10"/>
    <n v="85.19"/>
    <n v="8.91"/>
    <n v="19.489999999999998"/>
    <x v="0"/>
    <n v="94.65"/>
    <n v="0.22878272097664043"/>
    <n v="94.1"/>
  </r>
  <r>
    <x v="1655"/>
    <x v="750"/>
    <s v="Ayumi White"/>
    <x v="0"/>
    <s v="United States"/>
    <x v="0"/>
    <x v="2"/>
    <x v="8"/>
    <n v="2"/>
    <n v="49.81"/>
    <n v="0"/>
    <n v="99.62"/>
    <n v="8.52"/>
    <n v="31.33"/>
    <x v="1"/>
    <n v="99.62"/>
    <n v="0.31449508130897408"/>
    <n v="108.14"/>
  </r>
  <r>
    <x v="1656"/>
    <x v="751"/>
    <s v="Amir Yamamoto"/>
    <x v="2"/>
    <s v="Canada"/>
    <x v="0"/>
    <x v="0"/>
    <x v="35"/>
    <n v="1"/>
    <n v="42.35"/>
    <n v="5"/>
    <n v="40.229999999999997"/>
    <n v="6.81"/>
    <n v="10.130000000000001"/>
    <x v="1"/>
    <n v="42.35"/>
    <n v="0.251802137708178"/>
    <n v="47.04"/>
  </r>
  <r>
    <x v="1657"/>
    <x v="751"/>
    <s v="Olivia Schmidt"/>
    <x v="2"/>
    <s v="Italy"/>
    <x v="1"/>
    <x v="3"/>
    <x v="30"/>
    <n v="1"/>
    <n v="9.44"/>
    <n v="0"/>
    <n v="9.44"/>
    <n v="9.42"/>
    <n v="-4.7"/>
    <x v="2"/>
    <n v="9.44"/>
    <n v="-0.49788135593220345"/>
    <n v="18.86"/>
  </r>
  <r>
    <x v="1658"/>
    <x v="751"/>
    <s v="Mary Laurent"/>
    <x v="1"/>
    <s v="India"/>
    <x v="3"/>
    <x v="0"/>
    <x v="29"/>
    <n v="4"/>
    <n v="16.22"/>
    <n v="25"/>
    <n v="48.66"/>
    <n v="16.63"/>
    <n v="-3.65"/>
    <x v="2"/>
    <n v="64.88"/>
    <n v="-7.5010275380189076E-2"/>
    <n v="65.289999999999992"/>
  </r>
  <r>
    <x v="1659"/>
    <x v="751"/>
    <s v="Clara Sharma"/>
    <x v="1"/>
    <s v="South Africa"/>
    <x v="2"/>
    <x v="2"/>
    <x v="21"/>
    <n v="6"/>
    <n v="75.930000000000007"/>
    <n v="5"/>
    <n v="432.8"/>
    <n v="17.420000000000002"/>
    <n v="142.03"/>
    <x v="2"/>
    <n v="455.58000000000004"/>
    <n v="0.32816543438077633"/>
    <n v="450.22"/>
  </r>
  <r>
    <x v="1660"/>
    <x v="752"/>
    <s v="Hanna Fischer"/>
    <x v="1"/>
    <s v="India"/>
    <x v="3"/>
    <x v="1"/>
    <x v="6"/>
    <n v="5"/>
    <n v="10.74"/>
    <n v="5"/>
    <n v="51.02"/>
    <n v="15.88"/>
    <n v="10.97"/>
    <x v="2"/>
    <n v="53.7"/>
    <n v="0.21501372010976089"/>
    <n v="66.900000000000006"/>
  </r>
  <r>
    <x v="1661"/>
    <x v="752"/>
    <s v="Christopher Chen"/>
    <x v="1"/>
    <s v="Japan"/>
    <x v="3"/>
    <x v="3"/>
    <x v="26"/>
    <n v="3"/>
    <n v="13.01"/>
    <n v="0"/>
    <n v="39.03"/>
    <n v="14.95"/>
    <n v="4.57"/>
    <x v="2"/>
    <n v="39.03"/>
    <n v="0.11708941839610557"/>
    <n v="53.980000000000004"/>
  </r>
  <r>
    <x v="1662"/>
    <x v="753"/>
    <s v="Elizabeth Taylor"/>
    <x v="2"/>
    <s v="Australia"/>
    <x v="3"/>
    <x v="1"/>
    <x v="23"/>
    <n v="12"/>
    <n v="15.36"/>
    <n v="5"/>
    <n v="175.1"/>
    <n v="38.299999999999997"/>
    <n v="53.86"/>
    <x v="1"/>
    <n v="184.32"/>
    <n v="0.30759565962307256"/>
    <n v="213.39999999999998"/>
  </r>
  <r>
    <x v="1663"/>
    <x v="753"/>
    <s v="Marco Ferrari"/>
    <x v="1"/>
    <s v="Japan"/>
    <x v="3"/>
    <x v="0"/>
    <x v="1"/>
    <n v="1"/>
    <n v="59.17"/>
    <n v="0"/>
    <n v="59.17"/>
    <n v="11.08"/>
    <n v="15.55"/>
    <x v="1"/>
    <n v="59.17"/>
    <n v="0.26280209565658275"/>
    <n v="70.25"/>
  </r>
  <r>
    <x v="1664"/>
    <x v="754"/>
    <s v="Sakura Kim"/>
    <x v="1"/>
    <s v="Germany"/>
    <x v="1"/>
    <x v="3"/>
    <x v="33"/>
    <n v="2"/>
    <n v="40.96"/>
    <n v="0"/>
    <n v="81.92"/>
    <n v="8.07"/>
    <n v="32.89"/>
    <x v="1"/>
    <n v="81.92"/>
    <n v="0.4014892578125"/>
    <n v="89.990000000000009"/>
  </r>
  <r>
    <x v="1665"/>
    <x v="755"/>
    <s v="Chen Ali"/>
    <x v="0"/>
    <s v="Colombia"/>
    <x v="4"/>
    <x v="2"/>
    <x v="8"/>
    <n v="1"/>
    <n v="117.46"/>
    <n v="10"/>
    <n v="105.71"/>
    <n v="11.69"/>
    <n v="23.54"/>
    <x v="2"/>
    <n v="117.46"/>
    <n v="0.22268470343392299"/>
    <n v="117.39999999999999"/>
  </r>
  <r>
    <x v="1666"/>
    <x v="756"/>
    <s v="Thomas Oliveira"/>
    <x v="0"/>
    <s v="France"/>
    <x v="1"/>
    <x v="2"/>
    <x v="5"/>
    <n v="4"/>
    <n v="96.5"/>
    <n v="20"/>
    <n v="308.8"/>
    <n v="15.4"/>
    <n v="61.8"/>
    <x v="1"/>
    <n v="386"/>
    <n v="0.20012953367875647"/>
    <n v="324.2"/>
  </r>
  <r>
    <x v="1667"/>
    <x v="756"/>
    <s v="William Martinez"/>
    <x v="1"/>
    <s v="France"/>
    <x v="1"/>
    <x v="3"/>
    <x v="30"/>
    <n v="7"/>
    <n v="12.71"/>
    <n v="0"/>
    <n v="88.97"/>
    <n v="11.25"/>
    <n v="33.229999999999997"/>
    <x v="0"/>
    <n v="88.97"/>
    <n v="0.37349668427559851"/>
    <n v="100.22"/>
  </r>
  <r>
    <x v="1668"/>
    <x v="756"/>
    <s v="Clara Martin"/>
    <x v="1"/>
    <s v="United States"/>
    <x v="0"/>
    <x v="3"/>
    <x v="16"/>
    <n v="5"/>
    <n v="38.49"/>
    <n v="0"/>
    <n v="192.45"/>
    <n v="17.329999999999998"/>
    <n v="78.89"/>
    <x v="0"/>
    <n v="192.45000000000002"/>
    <n v="0.40992465575474152"/>
    <n v="209.77999999999997"/>
  </r>
  <r>
    <x v="1669"/>
    <x v="756"/>
    <s v="Carlos Tanaka"/>
    <x v="0"/>
    <s v="France"/>
    <x v="1"/>
    <x v="2"/>
    <x v="14"/>
    <n v="5"/>
    <n v="431.91"/>
    <n v="5"/>
    <n v="2051.5700000000002"/>
    <n v="9.75"/>
    <n v="746.09"/>
    <x v="3"/>
    <n v="2159.5500000000002"/>
    <n v="0.3636678251290475"/>
    <n v="2061.3200000000002"/>
  </r>
  <r>
    <x v="1670"/>
    <x v="757"/>
    <s v="Ethan Thomas"/>
    <x v="0"/>
    <s v="Nigeria"/>
    <x v="2"/>
    <x v="3"/>
    <x v="9"/>
    <n v="3"/>
    <n v="46.07"/>
    <n v="0"/>
    <n v="138.21"/>
    <n v="14.18"/>
    <n v="54.93"/>
    <x v="3"/>
    <n v="138.21"/>
    <n v="0.39743868026915563"/>
    <n v="152.39000000000001"/>
  </r>
  <r>
    <x v="1671"/>
    <x v="757"/>
    <s v="Elizabeth Santos"/>
    <x v="1"/>
    <s v="Germany"/>
    <x v="1"/>
    <x v="3"/>
    <x v="9"/>
    <n v="2"/>
    <n v="15.72"/>
    <n v="10"/>
    <n v="28.3"/>
    <n v="9.1999999999999993"/>
    <n v="3.38"/>
    <x v="0"/>
    <n v="31.44"/>
    <n v="0.11943462897526501"/>
    <n v="37.5"/>
  </r>
  <r>
    <x v="1672"/>
    <x v="758"/>
    <s v="Wei Laurent"/>
    <x v="1"/>
    <s v="Italy"/>
    <x v="1"/>
    <x v="2"/>
    <x v="32"/>
    <n v="4"/>
    <n v="27.46"/>
    <n v="0"/>
    <n v="109.84"/>
    <n v="11.74"/>
    <n v="32.200000000000003"/>
    <x v="1"/>
    <n v="109.84"/>
    <n v="0.29315367807720322"/>
    <n v="121.58"/>
  </r>
  <r>
    <x v="1673"/>
    <x v="758"/>
    <s v="John Suzuki"/>
    <x v="0"/>
    <s v="United Kingdom"/>
    <x v="1"/>
    <x v="2"/>
    <x v="4"/>
    <n v="1"/>
    <n v="239.62"/>
    <n v="15"/>
    <n v="203.68"/>
    <n v="9.4"/>
    <n v="50.51"/>
    <x v="1"/>
    <n v="239.62"/>
    <n v="0.24798703849175174"/>
    <n v="213.08"/>
  </r>
  <r>
    <x v="1674"/>
    <x v="758"/>
    <s v="Christopher Park"/>
    <x v="1"/>
    <s v="France"/>
    <x v="1"/>
    <x v="2"/>
    <x v="34"/>
    <n v="2"/>
    <n v="59.54"/>
    <n v="5"/>
    <n v="113.13"/>
    <n v="9.4600000000000009"/>
    <n v="32.22"/>
    <x v="1"/>
    <n v="119.08"/>
    <n v="0.28480509148766908"/>
    <n v="122.59"/>
  </r>
  <r>
    <x v="1675"/>
    <x v="758"/>
    <s v="Layla Jackson"/>
    <x v="1"/>
    <s v="Spain"/>
    <x v="1"/>
    <x v="2"/>
    <x v="8"/>
    <n v="1"/>
    <n v="77.09"/>
    <n v="5"/>
    <n v="73.239999999999995"/>
    <n v="9.2799999999999994"/>
    <n v="17.71"/>
    <x v="2"/>
    <n v="77.09"/>
    <n v="0.24180775532495907"/>
    <n v="82.52"/>
  </r>
  <r>
    <x v="1676"/>
    <x v="759"/>
    <s v="Emma Sharma"/>
    <x v="1"/>
    <s v="UAE"/>
    <x v="2"/>
    <x v="0"/>
    <x v="29"/>
    <n v="12"/>
    <n v="29.22"/>
    <n v="20"/>
    <n v="280.51"/>
    <n v="32.57"/>
    <n v="55.09"/>
    <x v="2"/>
    <n v="350.64"/>
    <n v="0.19639228548001855"/>
    <n v="313.08"/>
  </r>
  <r>
    <x v="1677"/>
    <x v="759"/>
    <s v="David Nilsson"/>
    <x v="1"/>
    <s v="Japan"/>
    <x v="3"/>
    <x v="3"/>
    <x v="11"/>
    <n v="2"/>
    <n v="94.59"/>
    <n v="10"/>
    <n v="170.26"/>
    <n v="12.29"/>
    <n v="63.38"/>
    <x v="0"/>
    <n v="189.18"/>
    <n v="0.37225419945964999"/>
    <n v="182.54999999999998"/>
  </r>
  <r>
    <x v="1678"/>
    <x v="759"/>
    <s v="Giulia Russo"/>
    <x v="0"/>
    <s v="Japan"/>
    <x v="3"/>
    <x v="1"/>
    <x v="12"/>
    <n v="2"/>
    <n v="22.61"/>
    <n v="20"/>
    <n v="36.18"/>
    <n v="11.67"/>
    <n v="4.16"/>
    <x v="2"/>
    <n v="45.22"/>
    <n v="0.11498065229408513"/>
    <n v="47.85"/>
  </r>
  <r>
    <x v="1679"/>
    <x v="760"/>
    <s v="Li Suzuki"/>
    <x v="1"/>
    <s v="Canada"/>
    <x v="0"/>
    <x v="2"/>
    <x v="4"/>
    <n v="2"/>
    <n v="178.14"/>
    <n v="0"/>
    <n v="356.28"/>
    <n v="9.81"/>
    <n v="132.69999999999999"/>
    <x v="2"/>
    <n v="356.28"/>
    <n v="0.37245986302907824"/>
    <n v="366.09"/>
  </r>
  <r>
    <x v="1680"/>
    <x v="760"/>
    <s v="Ingrid Pereira"/>
    <x v="0"/>
    <s v="Japan"/>
    <x v="3"/>
    <x v="2"/>
    <x v="36"/>
    <n v="4"/>
    <n v="274.79000000000002"/>
    <n v="5"/>
    <n v="1044.2"/>
    <n v="18.5"/>
    <n v="366.2"/>
    <x v="3"/>
    <n v="1099.1600000000001"/>
    <n v="0.35069909978931235"/>
    <n v="1062.7"/>
  </r>
  <r>
    <x v="1681"/>
    <x v="761"/>
    <s v="Patricia Garcia"/>
    <x v="0"/>
    <s v="Canada"/>
    <x v="0"/>
    <x v="2"/>
    <x v="34"/>
    <n v="2"/>
    <n v="29.02"/>
    <n v="25"/>
    <n v="43.53"/>
    <n v="8.3800000000000008"/>
    <n v="0.33"/>
    <x v="0"/>
    <n v="58.04"/>
    <n v="7.5809786354238459E-3"/>
    <n v="51.910000000000004"/>
  </r>
  <r>
    <x v="1682"/>
    <x v="761"/>
    <s v="Oscar Chen"/>
    <x v="0"/>
    <s v="Mexico"/>
    <x v="0"/>
    <x v="0"/>
    <x v="1"/>
    <n v="7"/>
    <n v="143.11000000000001"/>
    <n v="25"/>
    <n v="751.33"/>
    <n v="19.7"/>
    <n v="180.66"/>
    <x v="2"/>
    <n v="1001.7700000000001"/>
    <n v="0.24045359562376051"/>
    <n v="771.03000000000009"/>
  </r>
  <r>
    <x v="1683"/>
    <x v="762"/>
    <s v="Noah Russo"/>
    <x v="1"/>
    <s v="United Kingdom"/>
    <x v="1"/>
    <x v="3"/>
    <x v="13"/>
    <n v="8"/>
    <n v="94.55"/>
    <n v="10"/>
    <n v="680.76"/>
    <n v="22.09"/>
    <n v="280.47000000000003"/>
    <x v="2"/>
    <n v="756.4"/>
    <n v="0.41199541688700869"/>
    <n v="702.85"/>
  </r>
  <r>
    <x v="1684"/>
    <x v="762"/>
    <s v="Patricia Pereira"/>
    <x v="0"/>
    <s v="Spain"/>
    <x v="1"/>
    <x v="2"/>
    <x v="14"/>
    <n v="4"/>
    <n v="367.48"/>
    <n v="10"/>
    <n v="1322.93"/>
    <n v="9.83"/>
    <n v="431.15"/>
    <x v="1"/>
    <n v="1469.92"/>
    <n v="0.3259053767017151"/>
    <n v="1332.76"/>
  </r>
  <r>
    <x v="1685"/>
    <x v="762"/>
    <s v="Michael Ahmed"/>
    <x v="1"/>
    <s v="Canada"/>
    <x v="0"/>
    <x v="2"/>
    <x v="14"/>
    <n v="2"/>
    <n v="196.01"/>
    <n v="0"/>
    <n v="392.02"/>
    <n v="9.09"/>
    <n v="147.72"/>
    <x v="1"/>
    <n v="392.02"/>
    <n v="0.37681750931074948"/>
    <n v="401.10999999999996"/>
  </r>
  <r>
    <x v="1686"/>
    <x v="762"/>
    <s v="Richard Sharma"/>
    <x v="1"/>
    <s v="Italy"/>
    <x v="1"/>
    <x v="0"/>
    <x v="28"/>
    <n v="1"/>
    <n v="44.78"/>
    <n v="10"/>
    <n v="40.299999999999997"/>
    <n v="8.85"/>
    <n v="6.82"/>
    <x v="0"/>
    <n v="44.78"/>
    <n v="0.16923076923076924"/>
    <n v="49.15"/>
  </r>
  <r>
    <x v="1687"/>
    <x v="763"/>
    <s v="Clara Dubois"/>
    <x v="0"/>
    <s v="India"/>
    <x v="3"/>
    <x v="3"/>
    <x v="16"/>
    <n v="7"/>
    <n v="41.19"/>
    <n v="20"/>
    <n v="230.66"/>
    <n v="13.8"/>
    <n v="72.7"/>
    <x v="0"/>
    <n v="288.33"/>
    <n v="0.31518251972600364"/>
    <n v="244.46"/>
  </r>
  <r>
    <x v="1688"/>
    <x v="763"/>
    <s v="Ethan Santos"/>
    <x v="1"/>
    <s v="China"/>
    <x v="3"/>
    <x v="3"/>
    <x v="11"/>
    <n v="1"/>
    <n v="30.37"/>
    <n v="5"/>
    <n v="28.85"/>
    <n v="10.62"/>
    <n v="3.05"/>
    <x v="2"/>
    <n v="30.37"/>
    <n v="0.10571923743500865"/>
    <n v="39.47"/>
  </r>
  <r>
    <x v="1689"/>
    <x v="763"/>
    <s v="Mary Anderson"/>
    <x v="1"/>
    <s v="Australia"/>
    <x v="3"/>
    <x v="0"/>
    <x v="18"/>
    <n v="1"/>
    <n v="46.12"/>
    <n v="5"/>
    <n v="43.81"/>
    <n v="10.98"/>
    <n v="7.46"/>
    <x v="1"/>
    <n v="46.12"/>
    <n v="0.17028075781784979"/>
    <n v="54.790000000000006"/>
  </r>
  <r>
    <x v="1690"/>
    <x v="763"/>
    <s v="Diego Russo"/>
    <x v="1"/>
    <s v="Colombia"/>
    <x v="4"/>
    <x v="2"/>
    <x v="5"/>
    <n v="7"/>
    <n v="123.59"/>
    <n v="0"/>
    <n v="865.13"/>
    <n v="17.52"/>
    <n v="328.53"/>
    <x v="3"/>
    <n v="865.13"/>
    <n v="0.37974639649532438"/>
    <n v="882.65"/>
  </r>
  <r>
    <x v="1691"/>
    <x v="764"/>
    <s v="Jamal Taylor"/>
    <x v="1"/>
    <s v="United States"/>
    <x v="0"/>
    <x v="3"/>
    <x v="11"/>
    <n v="2"/>
    <n v="85.59"/>
    <n v="0"/>
    <n v="171.18"/>
    <n v="8.25"/>
    <n v="77.34"/>
    <x v="1"/>
    <n v="171.18"/>
    <n v="0.45180511742025936"/>
    <n v="179.43"/>
  </r>
  <r>
    <x v="1692"/>
    <x v="765"/>
    <s v="Xiao Brown"/>
    <x v="0"/>
    <s v="Brazil"/>
    <x v="4"/>
    <x v="0"/>
    <x v="35"/>
    <n v="12"/>
    <n v="53.38"/>
    <n v="10"/>
    <n v="576.5"/>
    <n v="38.799999999999997"/>
    <n v="185.39"/>
    <x v="0"/>
    <n v="640.56000000000006"/>
    <n v="0.32157849089332174"/>
    <n v="615.29999999999995"/>
  </r>
  <r>
    <x v="1693"/>
    <x v="765"/>
    <s v="Mia Santos"/>
    <x v="1"/>
    <s v="Canada"/>
    <x v="0"/>
    <x v="0"/>
    <x v="18"/>
    <n v="3"/>
    <n v="59.5"/>
    <n v="5"/>
    <n v="169.57"/>
    <n v="11.82"/>
    <n v="59.57"/>
    <x v="1"/>
    <n v="178.5"/>
    <n v="0.3513003479389043"/>
    <n v="181.39"/>
  </r>
  <r>
    <x v="1694"/>
    <x v="765"/>
    <s v="Hanna Park"/>
    <x v="0"/>
    <s v="South Africa"/>
    <x v="2"/>
    <x v="0"/>
    <x v="31"/>
    <n v="3"/>
    <n v="87.29"/>
    <n v="10"/>
    <n v="235.68"/>
    <n v="14.8"/>
    <n v="76.849999999999994"/>
    <x v="0"/>
    <n v="261.87"/>
    <n v="0.32607773251866934"/>
    <n v="250.48000000000002"/>
  </r>
  <r>
    <x v="1695"/>
    <x v="766"/>
    <s v="Raj Sato"/>
    <x v="2"/>
    <s v="Brazil"/>
    <x v="4"/>
    <x v="1"/>
    <x v="2"/>
    <n v="3"/>
    <n v="7.1"/>
    <n v="10"/>
    <n v="19.170000000000002"/>
    <n v="12.32"/>
    <n v="-2.73"/>
    <x v="1"/>
    <n v="21.299999999999997"/>
    <n v="-0.14241001564945224"/>
    <n v="31.490000000000002"/>
  </r>
  <r>
    <x v="1696"/>
    <x v="766"/>
    <s v="Clara Brown"/>
    <x v="2"/>
    <s v="Germany"/>
    <x v="1"/>
    <x v="1"/>
    <x v="6"/>
    <n v="1"/>
    <n v="21.92"/>
    <n v="10"/>
    <n v="19.73"/>
    <n v="8.01"/>
    <n v="1.86"/>
    <x v="3"/>
    <n v="21.92"/>
    <n v="9.4272681196147998E-2"/>
    <n v="27.740000000000002"/>
  </r>
  <r>
    <x v="1697"/>
    <x v="766"/>
    <s v="Linda Hassan"/>
    <x v="0"/>
    <s v="Australia"/>
    <x v="3"/>
    <x v="2"/>
    <x v="36"/>
    <n v="1"/>
    <n v="279.64999999999998"/>
    <n v="10"/>
    <n v="251.68"/>
    <n v="9.76"/>
    <n v="74.13"/>
    <x v="1"/>
    <n v="279.64999999999998"/>
    <n v="0.29454068658614113"/>
    <n v="261.44"/>
  </r>
  <r>
    <x v="1698"/>
    <x v="767"/>
    <s v="Ali Harris"/>
    <x v="1"/>
    <s v="Canada"/>
    <x v="0"/>
    <x v="0"/>
    <x v="35"/>
    <n v="1"/>
    <n v="49.84"/>
    <n v="5"/>
    <n v="47.35"/>
    <n v="5.98"/>
    <n v="13.96"/>
    <x v="1"/>
    <n v="49.84"/>
    <n v="0.29482576557550161"/>
    <n v="53.33"/>
  </r>
  <r>
    <x v="1699"/>
    <x v="767"/>
    <s v="Li Smith"/>
    <x v="1"/>
    <s v="Japan"/>
    <x v="3"/>
    <x v="2"/>
    <x v="4"/>
    <n v="1"/>
    <n v="271.05"/>
    <n v="10"/>
    <n v="243.95"/>
    <n v="10.25"/>
    <n v="71.069999999999993"/>
    <x v="1"/>
    <n v="271.05"/>
    <n v="0.2913301906128305"/>
    <n v="254.2"/>
  </r>
  <r>
    <x v="1700"/>
    <x v="768"/>
    <s v="Mia Wang"/>
    <x v="0"/>
    <s v="Australia"/>
    <x v="3"/>
    <x v="0"/>
    <x v="3"/>
    <n v="3"/>
    <n v="77.91"/>
    <n v="5"/>
    <n v="222.04"/>
    <n v="13.07"/>
    <n v="80.42"/>
    <x v="0"/>
    <n v="233.73"/>
    <n v="0.36218699333453436"/>
    <n v="235.10999999999999"/>
  </r>
  <r>
    <x v="1701"/>
    <x v="768"/>
    <s v="Nadia Leroy"/>
    <x v="0"/>
    <s v="United States"/>
    <x v="0"/>
    <x v="2"/>
    <x v="39"/>
    <n v="9"/>
    <n v="109.79"/>
    <n v="25"/>
    <n v="741.08"/>
    <n v="15.31"/>
    <n v="132.9"/>
    <x v="1"/>
    <n v="988.11"/>
    <n v="0.17933286554757921"/>
    <n v="756.39"/>
  </r>
  <r>
    <x v="1702"/>
    <x v="768"/>
    <s v="William Robinson"/>
    <x v="1"/>
    <s v="South Korea"/>
    <x v="3"/>
    <x v="3"/>
    <x v="13"/>
    <n v="2"/>
    <n v="116.48"/>
    <n v="5"/>
    <n v="221.31"/>
    <n v="10.72"/>
    <n v="94.11"/>
    <x v="0"/>
    <n v="232.96"/>
    <n v="0.42524061271519586"/>
    <n v="232.03"/>
  </r>
  <r>
    <x v="1703"/>
    <x v="768"/>
    <s v="Omar Russo"/>
    <x v="0"/>
    <s v="Colombia"/>
    <x v="4"/>
    <x v="1"/>
    <x v="38"/>
    <n v="8"/>
    <n v="5.71"/>
    <n v="10"/>
    <n v="41.11"/>
    <n v="26.4"/>
    <n v="-5.85"/>
    <x v="2"/>
    <n v="45.68"/>
    <n v="-0.14230114327414253"/>
    <n v="67.509999999999991"/>
  </r>
  <r>
    <x v="1704"/>
    <x v="768"/>
    <s v="Omar Park"/>
    <x v="1"/>
    <s v="India"/>
    <x v="3"/>
    <x v="3"/>
    <x v="16"/>
    <n v="1"/>
    <n v="56.01"/>
    <n v="25"/>
    <n v="42.01"/>
    <n v="11.23"/>
    <n v="2.77"/>
    <x v="1"/>
    <n v="56.01"/>
    <n v="6.5936681742442285E-2"/>
    <n v="53.239999999999995"/>
  </r>
  <r>
    <x v="1705"/>
    <x v="769"/>
    <s v="Jennifer White"/>
    <x v="2"/>
    <s v="France"/>
    <x v="1"/>
    <x v="3"/>
    <x v="27"/>
    <n v="3"/>
    <n v="49.04"/>
    <n v="10"/>
    <n v="132.41"/>
    <n v="10.87"/>
    <n v="47.98"/>
    <x v="2"/>
    <n v="147.12"/>
    <n v="0.36235933841854845"/>
    <n v="143.28"/>
  </r>
  <r>
    <x v="1706"/>
    <x v="769"/>
    <s v="Jessica Johnson"/>
    <x v="1"/>
    <s v="Germany"/>
    <x v="1"/>
    <x v="3"/>
    <x v="33"/>
    <n v="5"/>
    <n v="15.17"/>
    <n v="25"/>
    <n v="56.89"/>
    <n v="12.81"/>
    <n v="6.16"/>
    <x v="3"/>
    <n v="75.849999999999994"/>
    <n v="0.10827913517314115"/>
    <n v="69.7"/>
  </r>
  <r>
    <x v="1707"/>
    <x v="770"/>
    <s v="Ivan Laurent"/>
    <x v="2"/>
    <s v="Germany"/>
    <x v="1"/>
    <x v="2"/>
    <x v="5"/>
    <n v="1"/>
    <n v="137.38999999999999"/>
    <n v="5"/>
    <n v="130.52000000000001"/>
    <n v="8.07"/>
    <n v="40.020000000000003"/>
    <x v="2"/>
    <n v="137.38999999999999"/>
    <n v="0.30661967514557154"/>
    <n v="138.59"/>
  </r>
  <r>
    <x v="1708"/>
    <x v="771"/>
    <s v="Mia Harris"/>
    <x v="1"/>
    <s v="South Korea"/>
    <x v="3"/>
    <x v="2"/>
    <x v="5"/>
    <n v="1"/>
    <n v="95.66"/>
    <n v="0"/>
    <n v="95.66"/>
    <n v="10.25"/>
    <n v="28.01"/>
    <x v="2"/>
    <n v="95.66"/>
    <n v="0.2928078611749948"/>
    <n v="105.91"/>
  </r>
  <r>
    <x v="1709"/>
    <x v="771"/>
    <s v="Barbara Robinson"/>
    <x v="1"/>
    <s v="Mexico"/>
    <x v="0"/>
    <x v="3"/>
    <x v="24"/>
    <n v="8"/>
    <n v="45.61"/>
    <n v="20"/>
    <n v="291.89999999999998"/>
    <n v="10.199999999999999"/>
    <n v="99.26"/>
    <x v="0"/>
    <n v="364.88"/>
    <n v="0.34004796163069551"/>
    <n v="302.09999999999997"/>
  </r>
  <r>
    <x v="1710"/>
    <x v="772"/>
    <s v="Mia Johnson"/>
    <x v="1"/>
    <s v="Spain"/>
    <x v="1"/>
    <x v="2"/>
    <x v="34"/>
    <n v="1"/>
    <n v="27.82"/>
    <n v="5"/>
    <n v="26.43"/>
    <n v="7.75"/>
    <n v="1.99"/>
    <x v="2"/>
    <n v="27.82"/>
    <n v="7.5293227393113893E-2"/>
    <n v="34.18"/>
  </r>
  <r>
    <x v="1711"/>
    <x v="772"/>
    <s v="Maria Rodriguez"/>
    <x v="1"/>
    <s v="United Kingdom"/>
    <x v="1"/>
    <x v="3"/>
    <x v="11"/>
    <n v="3"/>
    <n v="107.11"/>
    <n v="5"/>
    <n v="305.26"/>
    <n v="11.77"/>
    <n v="132.82"/>
    <x v="1"/>
    <n v="321.33"/>
    <n v="0.43510450108104565"/>
    <n v="317.02999999999997"/>
  </r>
  <r>
    <x v="1712"/>
    <x v="773"/>
    <s v="Amir Thompson"/>
    <x v="0"/>
    <s v="Colombia"/>
    <x v="4"/>
    <x v="0"/>
    <x v="3"/>
    <n v="5"/>
    <n v="81.709999999999994"/>
    <n v="20"/>
    <n v="326.83999999999997"/>
    <n v="22.16"/>
    <n v="79.98"/>
    <x v="2"/>
    <n v="408.54999999999995"/>
    <n v="0.24470689022151515"/>
    <n v="349"/>
  </r>
  <r>
    <x v="1713"/>
    <x v="773"/>
    <s v="Carlos Thomas"/>
    <x v="2"/>
    <s v="Canada"/>
    <x v="0"/>
    <x v="0"/>
    <x v="35"/>
    <n v="1"/>
    <n v="31.28"/>
    <n v="0"/>
    <n v="31.28"/>
    <n v="7.32"/>
    <n v="6.76"/>
    <x v="1"/>
    <n v="31.28"/>
    <n v="0.21611253196930943"/>
    <n v="38.6"/>
  </r>
  <r>
    <x v="1714"/>
    <x v="774"/>
    <s v="Michael Oliveira"/>
    <x v="0"/>
    <s v="Colombia"/>
    <x v="4"/>
    <x v="1"/>
    <x v="25"/>
    <n v="1"/>
    <n v="8.7799999999999994"/>
    <n v="0"/>
    <n v="8.7799999999999994"/>
    <n v="11.95"/>
    <n v="-7.12"/>
    <x v="2"/>
    <n v="8.7799999999999994"/>
    <n v="-0.81093394077448755"/>
    <n v="20.729999999999997"/>
  </r>
  <r>
    <x v="1715"/>
    <x v="774"/>
    <s v="Yuki Robinson"/>
    <x v="1"/>
    <s v="South Africa"/>
    <x v="2"/>
    <x v="0"/>
    <x v="22"/>
    <n v="1"/>
    <n v="115.18"/>
    <n v="5"/>
    <n v="109.42"/>
    <n v="11.78"/>
    <n v="34.29"/>
    <x v="3"/>
    <n v="115.18"/>
    <n v="0.31337963809175651"/>
    <n v="121.2"/>
  </r>
  <r>
    <x v="1716"/>
    <x v="775"/>
    <s v="Sophie Martin"/>
    <x v="1"/>
    <s v="Canada"/>
    <x v="0"/>
    <x v="2"/>
    <x v="4"/>
    <n v="1"/>
    <n v="111.03"/>
    <n v="0"/>
    <n v="111.03"/>
    <n v="7.07"/>
    <n v="37.340000000000003"/>
    <x v="1"/>
    <n v="111.03"/>
    <n v="0.33630550301720258"/>
    <n v="118.1"/>
  </r>
  <r>
    <x v="1717"/>
    <x v="776"/>
    <s v="Oscar MÃ¼ller"/>
    <x v="1"/>
    <s v="United States"/>
    <x v="0"/>
    <x v="0"/>
    <x v="35"/>
    <n v="5"/>
    <n v="39.06"/>
    <n v="15"/>
    <n v="166"/>
    <n v="11.47"/>
    <n v="47.11"/>
    <x v="1"/>
    <n v="195.3"/>
    <n v="0.28379518072289156"/>
    <n v="177.47"/>
  </r>
  <r>
    <x v="1718"/>
    <x v="777"/>
    <s v="Karen Patel"/>
    <x v="1"/>
    <s v="South Africa"/>
    <x v="2"/>
    <x v="1"/>
    <x v="2"/>
    <n v="1"/>
    <n v="15.21"/>
    <n v="5"/>
    <n v="14.45"/>
    <n v="12.63"/>
    <n v="-5.0199999999999996"/>
    <x v="2"/>
    <n v="15.21"/>
    <n v="-0.34740484429065743"/>
    <n v="27.08"/>
  </r>
  <r>
    <x v="1719"/>
    <x v="777"/>
    <s v="Kenji Santos"/>
    <x v="2"/>
    <s v="France"/>
    <x v="1"/>
    <x v="1"/>
    <x v="25"/>
    <n v="3"/>
    <n v="15.81"/>
    <n v="10"/>
    <n v="42.69"/>
    <n v="11.47"/>
    <n v="9.8800000000000008"/>
    <x v="3"/>
    <n v="47.43"/>
    <n v="0.2314359334738815"/>
    <n v="54.16"/>
  </r>
  <r>
    <x v="1720"/>
    <x v="778"/>
    <s v="Sophie Sato"/>
    <x v="1"/>
    <s v="Mexico"/>
    <x v="0"/>
    <x v="2"/>
    <x v="21"/>
    <n v="3"/>
    <n v="41.55"/>
    <n v="5"/>
    <n v="118.42"/>
    <n v="7.02"/>
    <n v="36.61"/>
    <x v="2"/>
    <n v="124.64999999999999"/>
    <n v="0.3091538591454146"/>
    <n v="125.44"/>
  </r>
  <r>
    <x v="1721"/>
    <x v="778"/>
    <s v="Emma Sato"/>
    <x v="1"/>
    <s v="South Korea"/>
    <x v="3"/>
    <x v="2"/>
    <x v="34"/>
    <n v="1"/>
    <n v="30.49"/>
    <n v="15"/>
    <n v="25.92"/>
    <n v="10.67"/>
    <n v="-3.04"/>
    <x v="0"/>
    <n v="30.49"/>
    <n v="-0.11728395061728394"/>
    <n v="36.590000000000003"/>
  </r>
  <r>
    <x v="1722"/>
    <x v="779"/>
    <s v="Carlos Sharma"/>
    <x v="0"/>
    <s v="Japan"/>
    <x v="3"/>
    <x v="3"/>
    <x v="37"/>
    <n v="4"/>
    <n v="35.06"/>
    <n v="10"/>
    <n v="126.22"/>
    <n v="11.96"/>
    <n v="44.14"/>
    <x v="1"/>
    <n v="140.24"/>
    <n v="0.34970686103628584"/>
    <n v="138.18"/>
  </r>
  <r>
    <x v="1723"/>
    <x v="780"/>
    <s v="Noah Rodriguez"/>
    <x v="1"/>
    <s v="Germany"/>
    <x v="1"/>
    <x v="3"/>
    <x v="9"/>
    <n v="6"/>
    <n v="46.59"/>
    <n v="0"/>
    <n v="279.54000000000002"/>
    <n v="19.309999999999999"/>
    <n v="120.46"/>
    <x v="2"/>
    <n v="279.54000000000002"/>
    <n v="0.43092222937683333"/>
    <n v="298.85000000000002"/>
  </r>
  <r>
    <x v="1724"/>
    <x v="780"/>
    <s v="Carlos Sharma"/>
    <x v="1"/>
    <s v="United States"/>
    <x v="0"/>
    <x v="3"/>
    <x v="9"/>
    <n v="1"/>
    <n v="36.299999999999997"/>
    <n v="5"/>
    <n v="34.479999999999997"/>
    <n v="6.35"/>
    <n v="9.98"/>
    <x v="1"/>
    <n v="36.299999999999997"/>
    <n v="0.28944315545243621"/>
    <n v="40.83"/>
  </r>
  <r>
    <x v="1725"/>
    <x v="781"/>
    <s v="Ethan Wang"/>
    <x v="0"/>
    <s v="Brazil"/>
    <x v="4"/>
    <x v="0"/>
    <x v="0"/>
    <n v="2"/>
    <n v="139.35"/>
    <n v="10"/>
    <n v="250.83"/>
    <n v="11.26"/>
    <n v="86.29"/>
    <x v="0"/>
    <n v="278.7"/>
    <n v="0.34401786070246781"/>
    <n v="262.09000000000003"/>
  </r>
  <r>
    <x v="1726"/>
    <x v="781"/>
    <s v="Robert Thomas"/>
    <x v="1"/>
    <s v="Spain"/>
    <x v="1"/>
    <x v="3"/>
    <x v="11"/>
    <n v="4"/>
    <n v="39.229999999999997"/>
    <n v="20"/>
    <n v="125.54"/>
    <n v="10.84"/>
    <n v="36.24"/>
    <x v="3"/>
    <n v="156.91999999999999"/>
    <n v="0.2886729329297435"/>
    <n v="136.38"/>
  </r>
  <r>
    <x v="1727"/>
    <x v="782"/>
    <s v="Mary Khan"/>
    <x v="0"/>
    <s v="China"/>
    <x v="3"/>
    <x v="1"/>
    <x v="17"/>
    <n v="3"/>
    <n v="20.38"/>
    <n v="10"/>
    <n v="55.03"/>
    <n v="14.11"/>
    <n v="13.41"/>
    <x v="2"/>
    <n v="61.14"/>
    <n v="0.24368526258404508"/>
    <n v="69.14"/>
  </r>
  <r>
    <x v="1728"/>
    <x v="783"/>
    <s v="Felix Leroy"/>
    <x v="0"/>
    <s v="Spain"/>
    <x v="1"/>
    <x v="3"/>
    <x v="30"/>
    <n v="4"/>
    <n v="15.79"/>
    <n v="15"/>
    <n v="53.69"/>
    <n v="14.99"/>
    <n v="7.12"/>
    <x v="3"/>
    <n v="63.16"/>
    <n v="0.13261314956230211"/>
    <n v="68.679999999999993"/>
  </r>
  <r>
    <x v="1729"/>
    <x v="784"/>
    <s v="Wei Sharma"/>
    <x v="1"/>
    <s v="UAE"/>
    <x v="2"/>
    <x v="3"/>
    <x v="13"/>
    <n v="5"/>
    <n v="79.7"/>
    <n v="15"/>
    <n v="338.72"/>
    <n v="21.72"/>
    <n v="117.75"/>
    <x v="3"/>
    <n v="398.5"/>
    <n v="0.34763226263580538"/>
    <n v="360.44000000000005"/>
  </r>
  <r>
    <x v="1730"/>
    <x v="784"/>
    <s v="Kenji Williams"/>
    <x v="2"/>
    <s v="Germany"/>
    <x v="1"/>
    <x v="3"/>
    <x v="9"/>
    <n v="11"/>
    <n v="28.85"/>
    <n v="5"/>
    <n v="301.48"/>
    <n v="31.33"/>
    <n v="111.48"/>
    <x v="2"/>
    <n v="317.35000000000002"/>
    <n v="0.36977577285392066"/>
    <n v="332.81"/>
  </r>
  <r>
    <x v="1731"/>
    <x v="784"/>
    <s v="Olga Yamamoto"/>
    <x v="0"/>
    <s v="Germany"/>
    <x v="1"/>
    <x v="0"/>
    <x v="22"/>
    <n v="4"/>
    <n v="141.99"/>
    <n v="0"/>
    <n v="567.96"/>
    <n v="15.11"/>
    <n v="240.47"/>
    <x v="3"/>
    <n v="567.96"/>
    <n v="0.42339249242904425"/>
    <n v="583.07000000000005"/>
  </r>
  <r>
    <x v="1732"/>
    <x v="785"/>
    <s v="Ingrid Nilsson"/>
    <x v="0"/>
    <s v="South Korea"/>
    <x v="3"/>
    <x v="2"/>
    <x v="21"/>
    <n v="6"/>
    <n v="70.12"/>
    <n v="10"/>
    <n v="378.65"/>
    <n v="13.58"/>
    <n v="112.64"/>
    <x v="1"/>
    <n v="420.72"/>
    <n v="0.29747788194902947"/>
    <n v="392.22999999999996"/>
  </r>
  <r>
    <x v="1733"/>
    <x v="786"/>
    <s v="William Chen"/>
    <x v="0"/>
    <s v="Mexico"/>
    <x v="0"/>
    <x v="1"/>
    <x v="17"/>
    <n v="2"/>
    <n v="8.94"/>
    <n v="10"/>
    <n v="16.09"/>
    <n v="6.66"/>
    <n v="1.38"/>
    <x v="1"/>
    <n v="17.88"/>
    <n v="8.576755748912368E-2"/>
    <n v="22.75"/>
  </r>
  <r>
    <x v="1734"/>
    <x v="787"/>
    <s v="Ivan Nilsson"/>
    <x v="0"/>
    <s v="United Kingdom"/>
    <x v="1"/>
    <x v="3"/>
    <x v="37"/>
    <n v="3"/>
    <n v="45.19"/>
    <n v="15"/>
    <n v="115.23"/>
    <n v="9.7100000000000009"/>
    <n v="37.74"/>
    <x v="1"/>
    <n v="135.57"/>
    <n v="0.32751887529289248"/>
    <n v="124.94"/>
  </r>
  <r>
    <x v="1735"/>
    <x v="788"/>
    <s v="Ahmed Johansson"/>
    <x v="0"/>
    <s v="United Kingdom"/>
    <x v="1"/>
    <x v="0"/>
    <x v="35"/>
    <n v="6"/>
    <n v="37.479999999999997"/>
    <n v="20"/>
    <n v="179.9"/>
    <n v="12.68"/>
    <n v="43.54"/>
    <x v="2"/>
    <n v="224.88"/>
    <n v="0.24202334630350195"/>
    <n v="192.58"/>
  </r>
  <r>
    <x v="1736"/>
    <x v="789"/>
    <s v="Amina Sharma"/>
    <x v="1"/>
    <s v="Canada"/>
    <x v="0"/>
    <x v="1"/>
    <x v="25"/>
    <n v="1"/>
    <n v="12.12"/>
    <n v="10"/>
    <n v="10.91"/>
    <n v="6.34"/>
    <n v="-0.88"/>
    <x v="0"/>
    <n v="12.12"/>
    <n v="-8.0659945004582956E-2"/>
    <n v="17.25"/>
  </r>
  <r>
    <x v="1737"/>
    <x v="790"/>
    <s v="Elizabeth Williams"/>
    <x v="0"/>
    <s v="United Kingdom"/>
    <x v="1"/>
    <x v="3"/>
    <x v="11"/>
    <n v="4"/>
    <n v="33.659999999999997"/>
    <n v="0"/>
    <n v="134.63999999999999"/>
    <n v="10.38"/>
    <n v="56.94"/>
    <x v="1"/>
    <n v="134.63999999999999"/>
    <n v="0.42290552584670232"/>
    <n v="145.01999999999998"/>
  </r>
  <r>
    <x v="1738"/>
    <x v="791"/>
    <s v="James Williams"/>
    <x v="2"/>
    <s v="United States"/>
    <x v="0"/>
    <x v="2"/>
    <x v="5"/>
    <n v="10"/>
    <n v="85.05"/>
    <n v="0"/>
    <n v="850.5"/>
    <n v="26.06"/>
    <n v="314.14"/>
    <x v="3"/>
    <n v="850.5"/>
    <n v="0.36935920047031157"/>
    <n v="876.56"/>
  </r>
  <r>
    <x v="1739"/>
    <x v="791"/>
    <s v="Xiao Santos"/>
    <x v="1"/>
    <s v="Colombia"/>
    <x v="4"/>
    <x v="0"/>
    <x v="0"/>
    <n v="5"/>
    <n v="175.98"/>
    <n v="0"/>
    <n v="879.9"/>
    <n v="21.15"/>
    <n v="374.8"/>
    <x v="3"/>
    <n v="879.9"/>
    <n v="0.42595749516990572"/>
    <n v="901.05"/>
  </r>
  <r>
    <x v="1740"/>
    <x v="792"/>
    <s v="Ava Fischer"/>
    <x v="0"/>
    <s v="Germany"/>
    <x v="1"/>
    <x v="0"/>
    <x v="0"/>
    <n v="13"/>
    <n v="161.29"/>
    <n v="20"/>
    <n v="1677.42"/>
    <n v="27.16"/>
    <n v="497.04"/>
    <x v="1"/>
    <n v="2096.77"/>
    <n v="0.29631219372607931"/>
    <n v="1704.5800000000002"/>
  </r>
  <r>
    <x v="1741"/>
    <x v="792"/>
    <s v="Olga Leroy"/>
    <x v="0"/>
    <s v="UAE"/>
    <x v="2"/>
    <x v="2"/>
    <x v="14"/>
    <n v="1"/>
    <n v="377.92"/>
    <n v="0"/>
    <n v="377.92"/>
    <n v="13.11"/>
    <n v="138.06"/>
    <x v="2"/>
    <n v="377.92"/>
    <n v="0.36531541066892464"/>
    <n v="391.03000000000003"/>
  </r>
  <r>
    <x v="1742"/>
    <x v="793"/>
    <s v="Hans Oliveira"/>
    <x v="1"/>
    <s v="South Korea"/>
    <x v="3"/>
    <x v="1"/>
    <x v="17"/>
    <n v="1"/>
    <n v="17.45"/>
    <n v="15"/>
    <n v="14.83"/>
    <n v="9.94"/>
    <n v="-2.96"/>
    <x v="1"/>
    <n v="17.45"/>
    <n v="-0.19959541469993256"/>
    <n v="24.77"/>
  </r>
  <r>
    <x v="1743"/>
    <x v="794"/>
    <s v="Hanna Sato"/>
    <x v="1"/>
    <s v="Spain"/>
    <x v="1"/>
    <x v="0"/>
    <x v="1"/>
    <n v="4"/>
    <n v="89.1"/>
    <n v="15"/>
    <n v="302.94"/>
    <n v="16.32"/>
    <n v="90.6"/>
    <x v="2"/>
    <n v="356.4"/>
    <n v="0.29906912259853435"/>
    <n v="319.26"/>
  </r>
  <r>
    <x v="1744"/>
    <x v="794"/>
    <s v="Amir Brown"/>
    <x v="2"/>
    <s v="Italy"/>
    <x v="1"/>
    <x v="0"/>
    <x v="1"/>
    <n v="9"/>
    <n v="162.84"/>
    <n v="10"/>
    <n v="1319"/>
    <n v="16.36"/>
    <n v="496.58"/>
    <x v="2"/>
    <n v="1465.56"/>
    <n v="0.37648218347232754"/>
    <n v="1335.36"/>
  </r>
  <r>
    <x v="1745"/>
    <x v="795"/>
    <s v="Ali Kim"/>
    <x v="2"/>
    <s v="United Kingdom"/>
    <x v="1"/>
    <x v="0"/>
    <x v="1"/>
    <n v="2"/>
    <n v="67.73"/>
    <n v="15"/>
    <n v="115.14"/>
    <n v="10.18"/>
    <n v="30.46"/>
    <x v="0"/>
    <n v="135.46"/>
    <n v="0.26454750738231719"/>
    <n v="125.32"/>
  </r>
  <r>
    <x v="1746"/>
    <x v="795"/>
    <s v="Emma Wang"/>
    <x v="1"/>
    <s v="Australia"/>
    <x v="3"/>
    <x v="0"/>
    <x v="18"/>
    <n v="5"/>
    <n v="56.91"/>
    <n v="10"/>
    <n v="256.08999999999997"/>
    <n v="13.57"/>
    <n v="86.02"/>
    <x v="0"/>
    <n v="284.54999999999995"/>
    <n v="0.33589753602249212"/>
    <n v="269.65999999999997"/>
  </r>
  <r>
    <x v="1747"/>
    <x v="795"/>
    <s v="William Martin"/>
    <x v="0"/>
    <s v="United States"/>
    <x v="0"/>
    <x v="3"/>
    <x v="9"/>
    <n v="1"/>
    <n v="20.71"/>
    <n v="10"/>
    <n v="18.64"/>
    <n v="7.24"/>
    <n v="1.04"/>
    <x v="1"/>
    <n v="20.71"/>
    <n v="5.5793991416309016E-2"/>
    <n v="25.880000000000003"/>
  </r>
  <r>
    <x v="1748"/>
    <x v="796"/>
    <s v="Wei Thompson"/>
    <x v="1"/>
    <s v="United States"/>
    <x v="0"/>
    <x v="2"/>
    <x v="5"/>
    <n v="1"/>
    <n v="153.82"/>
    <n v="10"/>
    <n v="138.44"/>
    <n v="6.07"/>
    <n v="40.08"/>
    <x v="2"/>
    <n v="153.82"/>
    <n v="0.28951170182028313"/>
    <n v="144.51"/>
  </r>
  <r>
    <x v="1749"/>
    <x v="796"/>
    <s v="Jennifer Robinson"/>
    <x v="1"/>
    <s v="United Kingdom"/>
    <x v="1"/>
    <x v="3"/>
    <x v="37"/>
    <n v="8"/>
    <n v="75.599999999999994"/>
    <n v="10"/>
    <n v="544.32000000000005"/>
    <n v="14.7"/>
    <n v="227.22"/>
    <x v="1"/>
    <n v="604.79999999999995"/>
    <n v="0.41743827160493824"/>
    <n v="559.0200000000001"/>
  </r>
  <r>
    <x v="1750"/>
    <x v="797"/>
    <s v="Ivan Costa"/>
    <x v="2"/>
    <s v="Germany"/>
    <x v="1"/>
    <x v="2"/>
    <x v="39"/>
    <n v="2"/>
    <n v="222.78"/>
    <n v="15"/>
    <n v="378.73"/>
    <n v="9.94"/>
    <n v="101.45"/>
    <x v="1"/>
    <n v="445.56"/>
    <n v="0.26786893037256093"/>
    <n v="388.67"/>
  </r>
  <r>
    <x v="1751"/>
    <x v="798"/>
    <s v="Elizabeth Miller"/>
    <x v="2"/>
    <s v="United States"/>
    <x v="0"/>
    <x v="2"/>
    <x v="21"/>
    <n v="7"/>
    <n v="80.08"/>
    <n v="10"/>
    <n v="504.5"/>
    <n v="16.07"/>
    <n v="152.09"/>
    <x v="1"/>
    <n v="560.55999999999995"/>
    <n v="0.30146679881070365"/>
    <n v="520.57000000000005"/>
  </r>
  <r>
    <x v="1752"/>
    <x v="799"/>
    <s v="Lucas Romano"/>
    <x v="1"/>
    <s v="France"/>
    <x v="1"/>
    <x v="3"/>
    <x v="27"/>
    <n v="5"/>
    <n v="38.659999999999997"/>
    <n v="0"/>
    <n v="193.3"/>
    <n v="12.1"/>
    <n v="84.55"/>
    <x v="2"/>
    <n v="193.29999999999998"/>
    <n v="0.43740300051733055"/>
    <n v="205.4"/>
  </r>
  <r>
    <x v="1753"/>
    <x v="800"/>
    <s v="Fatima Johnson"/>
    <x v="1"/>
    <s v="France"/>
    <x v="1"/>
    <x v="2"/>
    <x v="21"/>
    <n v="3"/>
    <n v="95.44"/>
    <n v="0"/>
    <n v="286.32"/>
    <n v="14.19"/>
    <n v="100.34"/>
    <x v="2"/>
    <n v="286.32"/>
    <n v="0.35044705224923167"/>
    <n v="300.51"/>
  </r>
  <r>
    <x v="1754"/>
    <x v="800"/>
    <s v="Pierre Anderson"/>
    <x v="0"/>
    <s v="China"/>
    <x v="3"/>
    <x v="2"/>
    <x v="32"/>
    <n v="10"/>
    <n v="61.71"/>
    <n v="10"/>
    <n v="555.39"/>
    <n v="27.35"/>
    <n v="157.78"/>
    <x v="1"/>
    <n v="617.1"/>
    <n v="0.28408865842020925"/>
    <n v="582.74"/>
  </r>
  <r>
    <x v="1755"/>
    <x v="800"/>
    <s v="Clara Robinson"/>
    <x v="1"/>
    <s v="Italy"/>
    <x v="1"/>
    <x v="2"/>
    <x v="5"/>
    <n v="2"/>
    <n v="161.02000000000001"/>
    <n v="0"/>
    <n v="322.04000000000002"/>
    <n v="10.83"/>
    <n v="117.99"/>
    <x v="2"/>
    <n v="322.04000000000002"/>
    <n v="0.3663830580052167"/>
    <n v="332.87"/>
  </r>
  <r>
    <x v="1756"/>
    <x v="800"/>
    <s v="Jennifer Clark"/>
    <x v="0"/>
    <s v="Saudi Arabia"/>
    <x v="2"/>
    <x v="1"/>
    <x v="23"/>
    <n v="2"/>
    <n v="11.64"/>
    <n v="10"/>
    <n v="20.95"/>
    <n v="13.33"/>
    <n v="-2.86"/>
    <x v="1"/>
    <n v="23.28"/>
    <n v="-0.13651551312649166"/>
    <n v="34.28"/>
  </r>
  <r>
    <x v="1757"/>
    <x v="801"/>
    <s v="Robert Leroy"/>
    <x v="1"/>
    <s v="India"/>
    <x v="3"/>
    <x v="3"/>
    <x v="33"/>
    <n v="2"/>
    <n v="17.55"/>
    <n v="20"/>
    <n v="28.08"/>
    <n v="11.1"/>
    <n v="-0.56999999999999995"/>
    <x v="1"/>
    <n v="35.1"/>
    <n v="-2.02991452991453E-2"/>
    <n v="39.18"/>
  </r>
  <r>
    <x v="1758"/>
    <x v="801"/>
    <s v="Pierre Costa"/>
    <x v="0"/>
    <s v="United States"/>
    <x v="0"/>
    <x v="0"/>
    <x v="18"/>
    <n v="1"/>
    <n v="62.48"/>
    <n v="15"/>
    <n v="53.11"/>
    <n v="5.86"/>
    <n v="12.89"/>
    <x v="3"/>
    <n v="62.48"/>
    <n v="0.24270382225569573"/>
    <n v="58.97"/>
  </r>
  <r>
    <x v="1759"/>
    <x v="802"/>
    <s v="Ayumi Singh"/>
    <x v="1"/>
    <s v="Spain"/>
    <x v="1"/>
    <x v="1"/>
    <x v="10"/>
    <n v="5"/>
    <n v="5.25"/>
    <n v="0"/>
    <n v="26.25"/>
    <n v="12.14"/>
    <n v="2.2999999999999998"/>
    <x v="1"/>
    <n v="26.25"/>
    <n v="8.761904761904761E-2"/>
    <n v="38.39"/>
  </r>
  <r>
    <x v="1760"/>
    <x v="802"/>
    <s v="Thomas Oliveira"/>
    <x v="0"/>
    <s v="UAE"/>
    <x v="2"/>
    <x v="2"/>
    <x v="4"/>
    <n v="1"/>
    <n v="241.54"/>
    <n v="15"/>
    <n v="205.31"/>
    <n v="13.18"/>
    <n v="47.21"/>
    <x v="1"/>
    <n v="241.54"/>
    <n v="0.22994496127806732"/>
    <n v="218.49"/>
  </r>
  <r>
    <x v="1761"/>
    <x v="803"/>
    <s v="Nadia Ahmed"/>
    <x v="1"/>
    <s v="Spain"/>
    <x v="1"/>
    <x v="1"/>
    <x v="23"/>
    <n v="3"/>
    <n v="7.54"/>
    <n v="0"/>
    <n v="22.62"/>
    <n v="10.42"/>
    <n v="2.02"/>
    <x v="1"/>
    <n v="22.62"/>
    <n v="8.9301503094606535E-2"/>
    <n v="33.04"/>
  </r>
  <r>
    <x v="1762"/>
    <x v="804"/>
    <s v="Diego Miller"/>
    <x v="2"/>
    <s v="Australia"/>
    <x v="3"/>
    <x v="2"/>
    <x v="5"/>
    <n v="2"/>
    <n v="195.17"/>
    <n v="15"/>
    <n v="331.79"/>
    <n v="10.46"/>
    <n v="87.13"/>
    <x v="1"/>
    <n v="390.34"/>
    <n v="0.26260586515567075"/>
    <n v="342.25"/>
  </r>
  <r>
    <x v="1763"/>
    <x v="804"/>
    <s v="Amina Nilsson"/>
    <x v="1"/>
    <s v="Australia"/>
    <x v="3"/>
    <x v="0"/>
    <x v="28"/>
    <n v="4"/>
    <n v="37.450000000000003"/>
    <n v="5"/>
    <n v="142.31"/>
    <n v="17.43"/>
    <n v="42.49"/>
    <x v="1"/>
    <n v="149.80000000000001"/>
    <n v="0.29857353664535169"/>
    <n v="159.74"/>
  </r>
  <r>
    <x v="1764"/>
    <x v="805"/>
    <s v="Jennifer Pereira"/>
    <x v="1"/>
    <s v="Saudi Arabia"/>
    <x v="2"/>
    <x v="0"/>
    <x v="3"/>
    <n v="8"/>
    <n v="48.19"/>
    <n v="0"/>
    <n v="385.52"/>
    <n v="18.04"/>
    <n v="155.44"/>
    <x v="3"/>
    <n v="385.52"/>
    <n v="0.40319568375181575"/>
    <n v="403.56"/>
  </r>
  <r>
    <x v="1765"/>
    <x v="805"/>
    <s v="Sarah Clark"/>
    <x v="1"/>
    <s v="Brazil"/>
    <x v="4"/>
    <x v="2"/>
    <x v="36"/>
    <n v="2"/>
    <n v="293.43"/>
    <n v="10"/>
    <n v="528.16999999999996"/>
    <n v="12.96"/>
    <n v="163.09"/>
    <x v="2"/>
    <n v="586.86"/>
    <n v="0.3087831569381071"/>
    <n v="541.13"/>
  </r>
  <r>
    <x v="1766"/>
    <x v="805"/>
    <s v="Sophie Sharma"/>
    <x v="1"/>
    <s v="Spain"/>
    <x v="1"/>
    <x v="0"/>
    <x v="22"/>
    <n v="2"/>
    <n v="94.47"/>
    <n v="10"/>
    <n v="170.05"/>
    <n v="11.19"/>
    <n v="54.94"/>
    <x v="1"/>
    <n v="188.94"/>
    <n v="0.32308144663334309"/>
    <n v="181.24"/>
  </r>
  <r>
    <x v="1767"/>
    <x v="806"/>
    <s v="Ali Wang"/>
    <x v="1"/>
    <s v="India"/>
    <x v="3"/>
    <x v="2"/>
    <x v="32"/>
    <n v="3"/>
    <n v="40.83"/>
    <n v="5"/>
    <n v="116.37"/>
    <n v="15.87"/>
    <n v="27.01"/>
    <x v="1"/>
    <n v="122.49"/>
    <n v="0.23210449428546875"/>
    <n v="132.24"/>
  </r>
  <r>
    <x v="1768"/>
    <x v="806"/>
    <s v="Diego Sharma"/>
    <x v="0"/>
    <s v="United Kingdom"/>
    <x v="1"/>
    <x v="0"/>
    <x v="7"/>
    <n v="1"/>
    <n v="68.69"/>
    <n v="10"/>
    <n v="61.82"/>
    <n v="8.7899999999999991"/>
    <n v="15.25"/>
    <x v="2"/>
    <n v="68.69"/>
    <n v="0.24668392106114526"/>
    <n v="70.61"/>
  </r>
  <r>
    <x v="1769"/>
    <x v="806"/>
    <s v="Ali Miller"/>
    <x v="1"/>
    <s v="India"/>
    <x v="3"/>
    <x v="2"/>
    <x v="15"/>
    <n v="2"/>
    <n v="396.83"/>
    <n v="10"/>
    <n v="714.29"/>
    <n v="12.78"/>
    <n v="225.31"/>
    <x v="3"/>
    <n v="793.66"/>
    <n v="0.31543210740735556"/>
    <n v="727.06999999999994"/>
  </r>
  <r>
    <x v="1770"/>
    <x v="807"/>
    <s v="Sakura Nilsson"/>
    <x v="0"/>
    <s v="UAE"/>
    <x v="2"/>
    <x v="3"/>
    <x v="30"/>
    <n v="4"/>
    <n v="28.55"/>
    <n v="10"/>
    <n v="102.78"/>
    <n v="14"/>
    <n v="31.68"/>
    <x v="1"/>
    <n v="114.2"/>
    <n v="0.30823117338003503"/>
    <n v="116.78"/>
  </r>
  <r>
    <x v="1771"/>
    <x v="807"/>
    <s v="Marco Tanaka"/>
    <x v="1"/>
    <s v="Italy"/>
    <x v="1"/>
    <x v="0"/>
    <x v="28"/>
    <n v="1"/>
    <n v="52.17"/>
    <n v="20"/>
    <n v="41.74"/>
    <n v="7.51"/>
    <n v="5.54"/>
    <x v="0"/>
    <n v="52.17"/>
    <n v="0.1327264015333014"/>
    <n v="49.25"/>
  </r>
  <r>
    <x v="1772"/>
    <x v="808"/>
    <s v="Raj Thompson"/>
    <x v="1"/>
    <s v="Argentina"/>
    <x v="4"/>
    <x v="1"/>
    <x v="19"/>
    <n v="2"/>
    <n v="14.53"/>
    <n v="15"/>
    <n v="24.7"/>
    <n v="12.13"/>
    <n v="-0.51"/>
    <x v="3"/>
    <n v="29.06"/>
    <n v="-2.0647773279352227E-2"/>
    <n v="36.83"/>
  </r>
  <r>
    <x v="1773"/>
    <x v="809"/>
    <s v="Ahmed Russo"/>
    <x v="1"/>
    <s v="Japan"/>
    <x v="3"/>
    <x v="0"/>
    <x v="1"/>
    <n v="3"/>
    <n v="70.319999999999993"/>
    <n v="15"/>
    <n v="179.32"/>
    <n v="16.16"/>
    <n v="47.13"/>
    <x v="2"/>
    <n v="210.95999999999998"/>
    <n v="0.26282623243363823"/>
    <n v="195.48"/>
  </r>
  <r>
    <x v="1774"/>
    <x v="809"/>
    <s v="Sophie White"/>
    <x v="0"/>
    <s v="Spain"/>
    <x v="1"/>
    <x v="1"/>
    <x v="10"/>
    <n v="3"/>
    <n v="9.6999999999999993"/>
    <n v="5"/>
    <n v="27.64"/>
    <n v="13.8"/>
    <n v="0.75"/>
    <x v="1"/>
    <n v="29.099999999999998"/>
    <n v="2.7134587554269174E-2"/>
    <n v="41.44"/>
  </r>
  <r>
    <x v="1775"/>
    <x v="809"/>
    <s v="Kenji Miller"/>
    <x v="2"/>
    <s v="India"/>
    <x v="3"/>
    <x v="1"/>
    <x v="19"/>
    <n v="9"/>
    <n v="10.29"/>
    <n v="0"/>
    <n v="92.61"/>
    <n v="30.73"/>
    <n v="20.21"/>
    <x v="0"/>
    <n v="92.609999999999985"/>
    <n v="0.21822697332901417"/>
    <n v="123.34"/>
  </r>
  <r>
    <x v="1776"/>
    <x v="810"/>
    <s v="Patricia Weber"/>
    <x v="2"/>
    <s v="France"/>
    <x v="1"/>
    <x v="0"/>
    <x v="18"/>
    <n v="1"/>
    <n v="39.869999999999997"/>
    <n v="0"/>
    <n v="39.869999999999997"/>
    <n v="8.3800000000000008"/>
    <n v="9.56"/>
    <x v="2"/>
    <n v="39.869999999999997"/>
    <n v="0.23977928266867321"/>
    <n v="48.25"/>
  </r>
  <r>
    <x v="1777"/>
    <x v="810"/>
    <s v="Patricia Pereira"/>
    <x v="0"/>
    <s v="Saudi Arabia"/>
    <x v="2"/>
    <x v="3"/>
    <x v="27"/>
    <n v="2"/>
    <n v="64.38"/>
    <n v="0"/>
    <n v="128.76"/>
    <n v="14.62"/>
    <n v="49.76"/>
    <x v="1"/>
    <n v="128.76"/>
    <n v="0.38645542093817958"/>
    <n v="143.38"/>
  </r>
  <r>
    <x v="1778"/>
    <x v="810"/>
    <s v="Isabella Smith"/>
    <x v="0"/>
    <s v="Canada"/>
    <x v="0"/>
    <x v="3"/>
    <x v="33"/>
    <n v="1"/>
    <n v="42.67"/>
    <n v="20"/>
    <n v="34.14"/>
    <n v="5.71"/>
    <n v="7.09"/>
    <x v="2"/>
    <n v="42.67"/>
    <n v="0.20767428236672525"/>
    <n v="39.85"/>
  </r>
  <r>
    <x v="1779"/>
    <x v="810"/>
    <s v="Isabella Khan"/>
    <x v="2"/>
    <s v="Canada"/>
    <x v="0"/>
    <x v="2"/>
    <x v="4"/>
    <n v="2"/>
    <n v="330.31"/>
    <n v="0"/>
    <n v="660.62"/>
    <n v="6.51"/>
    <n v="257.74"/>
    <x v="1"/>
    <n v="660.62"/>
    <n v="0.39014864823953255"/>
    <n v="667.13"/>
  </r>
  <r>
    <x v="1780"/>
    <x v="810"/>
    <s v="Olga Weber"/>
    <x v="1"/>
    <s v="South Korea"/>
    <x v="3"/>
    <x v="3"/>
    <x v="13"/>
    <n v="1"/>
    <n v="105.62"/>
    <n v="10"/>
    <n v="95.06"/>
    <n v="9.73"/>
    <n v="32.520000000000003"/>
    <x v="2"/>
    <n v="105.62"/>
    <n v="0.3420997264885336"/>
    <n v="104.79"/>
  </r>
  <r>
    <x v="1781"/>
    <x v="810"/>
    <s v="Christopher Rodriguez"/>
    <x v="1"/>
    <s v="Spain"/>
    <x v="1"/>
    <x v="0"/>
    <x v="31"/>
    <n v="2"/>
    <n v="195.6"/>
    <n v="5"/>
    <n v="371.64"/>
    <n v="8.1999999999999993"/>
    <n v="148.28"/>
    <x v="2"/>
    <n v="391.2"/>
    <n v="0.3989882682165537"/>
    <n v="379.84"/>
  </r>
  <r>
    <x v="1782"/>
    <x v="811"/>
    <s v="Karen Suzuki"/>
    <x v="1"/>
    <s v="France"/>
    <x v="1"/>
    <x v="2"/>
    <x v="8"/>
    <n v="6"/>
    <n v="64.16"/>
    <n v="15"/>
    <n v="327.22000000000003"/>
    <n v="11.04"/>
    <n v="85.2"/>
    <x v="0"/>
    <n v="384.96"/>
    <n v="0.2603752826844325"/>
    <n v="338.26000000000005"/>
  </r>
  <r>
    <x v="1783"/>
    <x v="812"/>
    <s v="Robert Tanaka"/>
    <x v="0"/>
    <s v="Spain"/>
    <x v="1"/>
    <x v="2"/>
    <x v="8"/>
    <n v="2"/>
    <n v="85.22"/>
    <n v="5"/>
    <n v="161.91999999999999"/>
    <n v="9.2799999999999994"/>
    <n v="50.38"/>
    <x v="1"/>
    <n v="170.44"/>
    <n v="0.31114130434782611"/>
    <n v="171.2"/>
  </r>
  <r>
    <x v="1784"/>
    <x v="812"/>
    <s v="Amir Dubois"/>
    <x v="2"/>
    <s v="Canada"/>
    <x v="0"/>
    <x v="3"/>
    <x v="30"/>
    <n v="1"/>
    <n v="9.94"/>
    <n v="20"/>
    <n v="7.95"/>
    <n v="6.62"/>
    <n v="-3.64"/>
    <x v="3"/>
    <n v="9.94"/>
    <n v="-0.4578616352201258"/>
    <n v="14.57"/>
  </r>
  <r>
    <x v="1785"/>
    <x v="812"/>
    <s v="Clara Hassan"/>
    <x v="1"/>
    <s v="Australia"/>
    <x v="3"/>
    <x v="2"/>
    <x v="5"/>
    <n v="1"/>
    <n v="167.52"/>
    <n v="0"/>
    <n v="167.52"/>
    <n v="10.49"/>
    <n v="56.52"/>
    <x v="2"/>
    <n v="167.52"/>
    <n v="0.33739255014326647"/>
    <n v="178.01000000000002"/>
  </r>
  <r>
    <x v="1786"/>
    <x v="812"/>
    <s v="Joseph Wang"/>
    <x v="2"/>
    <s v="Italy"/>
    <x v="1"/>
    <x v="2"/>
    <x v="4"/>
    <n v="1"/>
    <n v="237.11"/>
    <n v="20"/>
    <n v="189.69"/>
    <n v="7.78"/>
    <n v="39.64"/>
    <x v="3"/>
    <n v="237.11"/>
    <n v="0.20897253413464073"/>
    <n v="197.47"/>
  </r>
  <r>
    <x v="1787"/>
    <x v="812"/>
    <s v="Susan Laurent"/>
    <x v="2"/>
    <s v="Colombia"/>
    <x v="4"/>
    <x v="1"/>
    <x v="12"/>
    <n v="6"/>
    <n v="20.04"/>
    <n v="10"/>
    <n v="108.22"/>
    <n v="13.93"/>
    <n v="40.18"/>
    <x v="2"/>
    <n v="120.24"/>
    <n v="0.37128072445019406"/>
    <n v="122.15"/>
  </r>
  <r>
    <x v="1788"/>
    <x v="813"/>
    <s v="Joseph Weber"/>
    <x v="1"/>
    <s v="Spain"/>
    <x v="1"/>
    <x v="2"/>
    <x v="4"/>
    <n v="7"/>
    <n v="311.45999999999998"/>
    <n v="0"/>
    <n v="2180.2199999999998"/>
    <n v="11.81"/>
    <n v="860.28"/>
    <x v="0"/>
    <n v="2180.2199999999998"/>
    <n v="0.39458403280402898"/>
    <n v="2192.0299999999997"/>
  </r>
  <r>
    <x v="1789"/>
    <x v="814"/>
    <s v="Amir Ferrari"/>
    <x v="0"/>
    <s v="Argentina"/>
    <x v="4"/>
    <x v="2"/>
    <x v="34"/>
    <n v="2"/>
    <n v="42.2"/>
    <n v="15"/>
    <n v="71.739999999999995"/>
    <n v="12.37"/>
    <n v="8.73"/>
    <x v="1"/>
    <n v="84.4"/>
    <n v="0.12168943406746587"/>
    <n v="84.11"/>
  </r>
  <r>
    <x v="1790"/>
    <x v="814"/>
    <s v="Elizabeth Zhang"/>
    <x v="0"/>
    <s v="Canada"/>
    <x v="0"/>
    <x v="3"/>
    <x v="9"/>
    <n v="8"/>
    <n v="15.3"/>
    <n v="10"/>
    <n v="110.16"/>
    <n v="9.77"/>
    <n v="39.19"/>
    <x v="0"/>
    <n v="122.4"/>
    <n v="0.35575526506899052"/>
    <n v="119.92999999999999"/>
  </r>
  <r>
    <x v="1791"/>
    <x v="815"/>
    <s v="Chen Chen"/>
    <x v="1"/>
    <s v="South Korea"/>
    <x v="3"/>
    <x v="2"/>
    <x v="8"/>
    <n v="4"/>
    <n v="72.47"/>
    <n v="10"/>
    <n v="260.89"/>
    <n v="14.16"/>
    <n v="72.8"/>
    <x v="1"/>
    <n v="289.88"/>
    <n v="0.27904480815669441"/>
    <n v="275.05"/>
  </r>
  <r>
    <x v="1792"/>
    <x v="815"/>
    <s v="Robert Rodriguez"/>
    <x v="1"/>
    <s v="Italy"/>
    <x v="1"/>
    <x v="1"/>
    <x v="12"/>
    <n v="12"/>
    <n v="9.02"/>
    <n v="5"/>
    <n v="102.83"/>
    <n v="26.58"/>
    <n v="27.54"/>
    <x v="0"/>
    <n v="108.24"/>
    <n v="0.26782067490032091"/>
    <n v="129.41"/>
  </r>
  <r>
    <x v="1793"/>
    <x v="815"/>
    <s v="Sarah Weber"/>
    <x v="2"/>
    <s v="United States"/>
    <x v="0"/>
    <x v="2"/>
    <x v="36"/>
    <n v="6"/>
    <n v="118.21"/>
    <n v="15"/>
    <n v="602.87"/>
    <n v="11.16"/>
    <n v="166.15"/>
    <x v="1"/>
    <n v="709.26"/>
    <n v="0.27559838771211043"/>
    <n v="614.03"/>
  </r>
  <r>
    <x v="1794"/>
    <x v="816"/>
    <s v="Noah Fischer"/>
    <x v="1"/>
    <s v="France"/>
    <x v="1"/>
    <x v="1"/>
    <x v="20"/>
    <n v="1"/>
    <n v="15.04"/>
    <n v="0"/>
    <n v="15.04"/>
    <n v="9.15"/>
    <n v="-0.88"/>
    <x v="0"/>
    <n v="15.04"/>
    <n v="-5.8510638297872342E-2"/>
    <n v="24.189999999999998"/>
  </r>
  <r>
    <x v="1795"/>
    <x v="816"/>
    <s v="Hans Laurent"/>
    <x v="1"/>
    <s v="South Africa"/>
    <x v="2"/>
    <x v="1"/>
    <x v="23"/>
    <n v="7"/>
    <n v="7.09"/>
    <n v="5"/>
    <n v="47.15"/>
    <n v="17.72"/>
    <n v="7.1"/>
    <x v="2"/>
    <n v="49.629999999999995"/>
    <n v="0.15058324496288442"/>
    <n v="64.87"/>
  </r>
  <r>
    <x v="1796"/>
    <x v="817"/>
    <s v="Chen Martinez"/>
    <x v="1"/>
    <s v="Japan"/>
    <x v="3"/>
    <x v="2"/>
    <x v="5"/>
    <n v="1"/>
    <n v="103.88"/>
    <n v="5"/>
    <n v="98.69"/>
    <n v="9.92"/>
    <n v="26.44"/>
    <x v="3"/>
    <n v="103.88"/>
    <n v="0.26790961596919649"/>
    <n v="108.61"/>
  </r>
  <r>
    <x v="1797"/>
    <x v="817"/>
    <s v="Fatima Weber"/>
    <x v="1"/>
    <s v="Italy"/>
    <x v="1"/>
    <x v="1"/>
    <x v="23"/>
    <n v="4"/>
    <n v="15.78"/>
    <n v="10"/>
    <n v="56.81"/>
    <n v="13.58"/>
    <n v="14.83"/>
    <x v="2"/>
    <n v="63.12"/>
    <n v="0.26104559056504134"/>
    <n v="70.39"/>
  </r>
  <r>
    <x v="1798"/>
    <x v="817"/>
    <s v="Olivia Ali"/>
    <x v="2"/>
    <s v="Canada"/>
    <x v="0"/>
    <x v="1"/>
    <x v="38"/>
    <n v="4"/>
    <n v="10.63"/>
    <n v="5"/>
    <n v="40.39"/>
    <n v="11.15"/>
    <n v="10.11"/>
    <x v="1"/>
    <n v="42.52"/>
    <n v="0.25030948254518443"/>
    <n v="51.54"/>
  </r>
  <r>
    <x v="1799"/>
    <x v="817"/>
    <s v="Diego Ferrari"/>
    <x v="0"/>
    <s v="Germany"/>
    <x v="1"/>
    <x v="3"/>
    <x v="13"/>
    <n v="1"/>
    <n v="78.87"/>
    <n v="25"/>
    <n v="59.15"/>
    <n v="8.91"/>
    <n v="10.8"/>
    <x v="2"/>
    <n v="78.87"/>
    <n v="0.18258664412510567"/>
    <n v="68.06"/>
  </r>
  <r>
    <x v="1800"/>
    <x v="818"/>
    <s v="Zara Williams"/>
    <x v="1"/>
    <s v="Spain"/>
    <x v="1"/>
    <x v="0"/>
    <x v="0"/>
    <n v="2"/>
    <n v="153.30000000000001"/>
    <n v="5"/>
    <n v="291.27"/>
    <n v="8.25"/>
    <n v="114.39"/>
    <x v="0"/>
    <n v="306.60000000000002"/>
    <n v="0.39272839633329903"/>
    <n v="299.52"/>
  </r>
  <r>
    <x v="1801"/>
    <x v="818"/>
    <s v="Layla Sharma"/>
    <x v="0"/>
    <s v="Nigeria"/>
    <x v="2"/>
    <x v="0"/>
    <x v="0"/>
    <n v="2"/>
    <n v="171.18"/>
    <n v="10"/>
    <n v="308.12"/>
    <n v="12.02"/>
    <n v="107.8"/>
    <x v="0"/>
    <n v="342.36"/>
    <n v="0.34986368947163443"/>
    <n v="320.14"/>
  </r>
  <r>
    <x v="1802"/>
    <x v="818"/>
    <s v="Isabella White"/>
    <x v="0"/>
    <s v="Japan"/>
    <x v="3"/>
    <x v="1"/>
    <x v="23"/>
    <n v="3"/>
    <n v="11.89"/>
    <n v="25"/>
    <n v="26.75"/>
    <n v="12.8"/>
    <n v="-2.1"/>
    <x v="2"/>
    <n v="35.67"/>
    <n v="-7.8504672897196259E-2"/>
    <n v="39.549999999999997"/>
  </r>
  <r>
    <x v="1803"/>
    <x v="819"/>
    <s v="Fatima Li"/>
    <x v="0"/>
    <s v="Mexico"/>
    <x v="0"/>
    <x v="0"/>
    <x v="31"/>
    <n v="10"/>
    <n v="198.45"/>
    <n v="10"/>
    <n v="1786.05"/>
    <n v="26.78"/>
    <n v="667.79"/>
    <x v="1"/>
    <n v="1984.5"/>
    <n v="0.37389210828364267"/>
    <n v="1812.83"/>
  </r>
  <r>
    <x v="1804"/>
    <x v="819"/>
    <s v="Ingrid Wang"/>
    <x v="0"/>
    <s v="United States"/>
    <x v="0"/>
    <x v="1"/>
    <x v="6"/>
    <n v="7"/>
    <n v="13.33"/>
    <n v="10"/>
    <n v="83.98"/>
    <n v="10.58"/>
    <n v="31.41"/>
    <x v="1"/>
    <n v="93.31"/>
    <n v="0.37401762324362942"/>
    <n v="94.56"/>
  </r>
  <r>
    <x v="1805"/>
    <x v="820"/>
    <s v="Ethan Chen"/>
    <x v="1"/>
    <s v="Canada"/>
    <x v="0"/>
    <x v="1"/>
    <x v="19"/>
    <n v="2"/>
    <n v="4.32"/>
    <n v="0"/>
    <n v="8.64"/>
    <n v="9.4"/>
    <n v="-4.6500000000000004"/>
    <x v="2"/>
    <n v="8.64"/>
    <n v="-0.53819444444444442"/>
    <n v="18.04"/>
  </r>
  <r>
    <x v="1806"/>
    <x v="820"/>
    <s v="Fatima Zhang"/>
    <x v="1"/>
    <s v="India"/>
    <x v="3"/>
    <x v="0"/>
    <x v="3"/>
    <n v="2"/>
    <n v="62.91"/>
    <n v="10"/>
    <n v="113.24"/>
    <n v="11.57"/>
    <n v="32.47"/>
    <x v="2"/>
    <n v="125.82"/>
    <n v="0.28673613564111622"/>
    <n v="124.81"/>
  </r>
  <r>
    <x v="1807"/>
    <x v="821"/>
    <s v="Maria Ahmed"/>
    <x v="1"/>
    <s v="France"/>
    <x v="1"/>
    <x v="2"/>
    <x v="34"/>
    <n v="4"/>
    <n v="41.86"/>
    <n v="10"/>
    <n v="150.69999999999999"/>
    <n v="11.78"/>
    <n v="38.46"/>
    <x v="3"/>
    <n v="167.44"/>
    <n v="0.25520902455209027"/>
    <n v="162.47999999999999"/>
  </r>
  <r>
    <x v="1808"/>
    <x v="821"/>
    <s v="Sophie Martinez"/>
    <x v="0"/>
    <s v="Nigeria"/>
    <x v="2"/>
    <x v="0"/>
    <x v="22"/>
    <n v="2"/>
    <n v="116.5"/>
    <n v="0"/>
    <n v="233"/>
    <n v="15.18"/>
    <n v="89.67"/>
    <x v="3"/>
    <n v="233"/>
    <n v="0.38484978540772535"/>
    <n v="248.18"/>
  </r>
  <r>
    <x v="1809"/>
    <x v="821"/>
    <s v="Thomas Hassan"/>
    <x v="0"/>
    <s v="Saudi Arabia"/>
    <x v="2"/>
    <x v="2"/>
    <x v="36"/>
    <n v="3"/>
    <n v="190.05"/>
    <n v="10"/>
    <n v="513.14"/>
    <n v="17.04"/>
    <n v="154.01"/>
    <x v="3"/>
    <n v="570.15000000000009"/>
    <n v="0.30013251744163383"/>
    <n v="530.17999999999995"/>
  </r>
  <r>
    <x v="1810"/>
    <x v="822"/>
    <s v="Yuki Miller"/>
    <x v="1"/>
    <s v="Australia"/>
    <x v="3"/>
    <x v="2"/>
    <x v="8"/>
    <n v="2"/>
    <n v="63.03"/>
    <n v="10"/>
    <n v="113.45"/>
    <n v="10.28"/>
    <n v="27.53"/>
    <x v="0"/>
    <n v="126.06"/>
    <n v="0.24266196562362274"/>
    <n v="123.73"/>
  </r>
  <r>
    <x v="1811"/>
    <x v="822"/>
    <s v="Sakura Rossi"/>
    <x v="1"/>
    <s v="Germany"/>
    <x v="1"/>
    <x v="3"/>
    <x v="11"/>
    <n v="4"/>
    <n v="55.18"/>
    <n v="20"/>
    <n v="176.58"/>
    <n v="14.34"/>
    <n v="51.88"/>
    <x v="0"/>
    <n v="220.72"/>
    <n v="0.29380450787178614"/>
    <n v="190.92000000000002"/>
  </r>
  <r>
    <x v="1812"/>
    <x v="823"/>
    <s v="Emma Johnson"/>
    <x v="0"/>
    <s v="Australia"/>
    <x v="3"/>
    <x v="0"/>
    <x v="31"/>
    <n v="2"/>
    <n v="190.58"/>
    <n v="15"/>
    <n v="323.99"/>
    <n v="12.64"/>
    <n v="101.71"/>
    <x v="1"/>
    <n v="381.16"/>
    <n v="0.31392944226673658"/>
    <n v="336.63"/>
  </r>
  <r>
    <x v="1813"/>
    <x v="823"/>
    <s v="Michael Park"/>
    <x v="2"/>
    <s v="India"/>
    <x v="3"/>
    <x v="1"/>
    <x v="12"/>
    <n v="5"/>
    <n v="14.09"/>
    <n v="5"/>
    <n v="66.930000000000007"/>
    <n v="13.7"/>
    <n v="21.53"/>
    <x v="1"/>
    <n v="70.45"/>
    <n v="0.32167936650231582"/>
    <n v="80.63000000000001"/>
  </r>
  <r>
    <x v="1814"/>
    <x v="823"/>
    <s v="James Santos"/>
    <x v="2"/>
    <s v="Australia"/>
    <x v="3"/>
    <x v="0"/>
    <x v="29"/>
    <n v="6"/>
    <n v="26.66"/>
    <n v="0"/>
    <n v="159.96"/>
    <n v="19.350000000000001"/>
    <n v="52.63"/>
    <x v="1"/>
    <n v="159.96"/>
    <n v="0.3290197549387347"/>
    <n v="179.31"/>
  </r>
  <r>
    <x v="1815"/>
    <x v="823"/>
    <s v="Linda Khan"/>
    <x v="1"/>
    <s v="UAE"/>
    <x v="2"/>
    <x v="0"/>
    <x v="22"/>
    <n v="2"/>
    <n v="109.17"/>
    <n v="5"/>
    <n v="207.42"/>
    <n v="13.67"/>
    <n v="73.66"/>
    <x v="2"/>
    <n v="218.34"/>
    <n v="0.35512486741876387"/>
    <n v="221.08999999999997"/>
  </r>
  <r>
    <x v="1816"/>
    <x v="824"/>
    <s v="Zara Oliveira"/>
    <x v="2"/>
    <s v="France"/>
    <x v="1"/>
    <x v="0"/>
    <x v="28"/>
    <n v="10"/>
    <n v="34.31"/>
    <n v="10"/>
    <n v="308.79000000000002"/>
    <n v="21.64"/>
    <n v="98.44"/>
    <x v="2"/>
    <n v="343.1"/>
    <n v="0.31879270701771428"/>
    <n v="330.43"/>
  </r>
  <r>
    <x v="1817"/>
    <x v="825"/>
    <s v="Richard Ali"/>
    <x v="0"/>
    <s v="Mexico"/>
    <x v="0"/>
    <x v="1"/>
    <x v="10"/>
    <n v="4"/>
    <n v="5.4"/>
    <n v="5"/>
    <n v="20.52"/>
    <n v="10.6"/>
    <n v="0.2"/>
    <x v="1"/>
    <n v="21.6"/>
    <n v="9.7465886939571162E-3"/>
    <n v="31.119999999999997"/>
  </r>
  <r>
    <x v="1818"/>
    <x v="825"/>
    <s v="David Williams"/>
    <x v="1"/>
    <s v="United States"/>
    <x v="0"/>
    <x v="0"/>
    <x v="7"/>
    <n v="2"/>
    <n v="56.99"/>
    <n v="15"/>
    <n v="96.88"/>
    <n v="6.66"/>
    <n v="27.53"/>
    <x v="1"/>
    <n v="113.98"/>
    <n v="0.28416597853014042"/>
    <n v="103.53999999999999"/>
  </r>
  <r>
    <x v="1819"/>
    <x v="825"/>
    <s v="Mary Anderson"/>
    <x v="1"/>
    <s v="Mexico"/>
    <x v="0"/>
    <x v="1"/>
    <x v="20"/>
    <n v="2"/>
    <n v="18.13"/>
    <n v="5"/>
    <n v="34.450000000000003"/>
    <n v="9.51"/>
    <n v="8.6199999999999992"/>
    <x v="3"/>
    <n v="36.26"/>
    <n v="0.25021770682148037"/>
    <n v="43.96"/>
  </r>
  <r>
    <x v="1820"/>
    <x v="826"/>
    <s v="Wei Zhang"/>
    <x v="1"/>
    <s v="Germany"/>
    <x v="1"/>
    <x v="0"/>
    <x v="7"/>
    <n v="2"/>
    <n v="67.56"/>
    <n v="5"/>
    <n v="128.36000000000001"/>
    <n v="9.15"/>
    <n v="44.89"/>
    <x v="2"/>
    <n v="135.12"/>
    <n v="0.34971953879713302"/>
    <n v="137.51000000000002"/>
  </r>
  <r>
    <x v="1821"/>
    <x v="827"/>
    <s v="Ava Rossi"/>
    <x v="0"/>
    <s v="China"/>
    <x v="3"/>
    <x v="2"/>
    <x v="5"/>
    <n v="1"/>
    <n v="128.66"/>
    <n v="5"/>
    <n v="122.23"/>
    <n v="9.94"/>
    <n v="35.090000000000003"/>
    <x v="2"/>
    <n v="128.66"/>
    <n v="0.28708173116256241"/>
    <n v="132.17000000000002"/>
  </r>
  <r>
    <x v="1822"/>
    <x v="827"/>
    <s v="Sophie Tanaka"/>
    <x v="1"/>
    <s v="Spain"/>
    <x v="1"/>
    <x v="2"/>
    <x v="39"/>
    <n v="3"/>
    <n v="145.38999999999999"/>
    <n v="5"/>
    <n v="414.36"/>
    <n v="11.97"/>
    <n v="140.69"/>
    <x v="2"/>
    <n v="436.16999999999996"/>
    <n v="0.33953566946616465"/>
    <n v="426.33000000000004"/>
  </r>
  <r>
    <x v="1823"/>
    <x v="827"/>
    <s v="Olga Garcia"/>
    <x v="0"/>
    <s v="Mexico"/>
    <x v="0"/>
    <x v="2"/>
    <x v="14"/>
    <n v="2"/>
    <n v="301.44"/>
    <n v="5"/>
    <n v="572.74"/>
    <n v="7.89"/>
    <n v="203.12"/>
    <x v="1"/>
    <n v="602.88"/>
    <n v="0.35464608722980762"/>
    <n v="580.63"/>
  </r>
  <r>
    <x v="1824"/>
    <x v="827"/>
    <s v="Lucas Hassan"/>
    <x v="1"/>
    <s v="United Kingdom"/>
    <x v="1"/>
    <x v="2"/>
    <x v="15"/>
    <n v="4"/>
    <n v="333.64"/>
    <n v="5"/>
    <n v="1267.83"/>
    <n v="10.24"/>
    <n v="456.85"/>
    <x v="3"/>
    <n v="1334.56"/>
    <n v="0.36034010868965088"/>
    <n v="1278.07"/>
  </r>
  <r>
    <x v="1825"/>
    <x v="827"/>
    <s v="Sakura Harris"/>
    <x v="0"/>
    <s v="China"/>
    <x v="3"/>
    <x v="0"/>
    <x v="18"/>
    <n v="15"/>
    <n v="57.2"/>
    <n v="0"/>
    <n v="858"/>
    <n v="28.7"/>
    <n v="357.4"/>
    <x v="1"/>
    <n v="858"/>
    <n v="0.41655011655011653"/>
    <n v="886.7"/>
  </r>
  <r>
    <x v="1826"/>
    <x v="828"/>
    <s v="Amir Williams"/>
    <x v="1"/>
    <s v="Mexico"/>
    <x v="0"/>
    <x v="0"/>
    <x v="35"/>
    <n v="9"/>
    <n v="60.42"/>
    <n v="0"/>
    <n v="543.78"/>
    <n v="12.46"/>
    <n v="232.24"/>
    <x v="1"/>
    <n v="543.78"/>
    <n v="0.42708448269520766"/>
    <n v="556.24"/>
  </r>
  <r>
    <x v="1827"/>
    <x v="828"/>
    <s v="Giulia Garcia"/>
    <x v="0"/>
    <s v="Argentina"/>
    <x v="4"/>
    <x v="1"/>
    <x v="6"/>
    <n v="1"/>
    <n v="9.26"/>
    <n v="10"/>
    <n v="8.33"/>
    <n v="10.71"/>
    <n v="-6.55"/>
    <x v="1"/>
    <n v="9.26"/>
    <n v="-0.78631452581032413"/>
    <n v="19.04"/>
  </r>
  <r>
    <x v="1828"/>
    <x v="829"/>
    <s v="Jessica Garcia"/>
    <x v="1"/>
    <s v="Germany"/>
    <x v="1"/>
    <x v="1"/>
    <x v="19"/>
    <n v="7"/>
    <n v="13.9"/>
    <n v="0"/>
    <n v="97.3"/>
    <n v="12.19"/>
    <n v="41.33"/>
    <x v="1"/>
    <n v="97.3"/>
    <n v="0.4247687564234327"/>
    <n v="109.49"/>
  </r>
  <r>
    <x v="1829"/>
    <x v="829"/>
    <s v="Sophie Leroy"/>
    <x v="1"/>
    <s v="Brazil"/>
    <x v="4"/>
    <x v="0"/>
    <x v="1"/>
    <n v="1"/>
    <n v="81.900000000000006"/>
    <n v="10"/>
    <n v="73.709999999999994"/>
    <n v="10.93"/>
    <n v="17.73"/>
    <x v="1"/>
    <n v="81.900000000000006"/>
    <n v="0.24053724053724057"/>
    <n v="84.639999999999986"/>
  </r>
  <r>
    <x v="1830"/>
    <x v="829"/>
    <s v="Liam Rodriguez"/>
    <x v="1"/>
    <s v="France"/>
    <x v="1"/>
    <x v="2"/>
    <x v="21"/>
    <n v="2"/>
    <n v="50.77"/>
    <n v="0"/>
    <n v="101.54"/>
    <n v="11.84"/>
    <n v="28.78"/>
    <x v="0"/>
    <n v="101.54"/>
    <n v="0.28343509946818984"/>
    <n v="113.38000000000001"/>
  </r>
  <r>
    <x v="1831"/>
    <x v="829"/>
    <s v="Kenji Moreau"/>
    <x v="1"/>
    <s v="Canada"/>
    <x v="0"/>
    <x v="0"/>
    <x v="7"/>
    <n v="6"/>
    <n v="35.76"/>
    <n v="5"/>
    <n v="203.83"/>
    <n v="16.97"/>
    <n v="68.849999999999994"/>
    <x v="3"/>
    <n v="214.56"/>
    <n v="0.33778148457047535"/>
    <n v="220.8"/>
  </r>
  <r>
    <x v="1832"/>
    <x v="830"/>
    <s v="Felix Robinson"/>
    <x v="0"/>
    <s v="China"/>
    <x v="3"/>
    <x v="2"/>
    <x v="39"/>
    <n v="3"/>
    <n v="164.93"/>
    <n v="10"/>
    <n v="445.31"/>
    <n v="16.37"/>
    <n v="132.07"/>
    <x v="0"/>
    <n v="494.79"/>
    <n v="0.29657991062405964"/>
    <n v="461.68"/>
  </r>
  <r>
    <x v="1833"/>
    <x v="830"/>
    <s v="Zara Wang"/>
    <x v="0"/>
    <s v="India"/>
    <x v="3"/>
    <x v="0"/>
    <x v="29"/>
    <n v="1"/>
    <n v="31.71"/>
    <n v="20"/>
    <n v="25.37"/>
    <n v="9.8800000000000008"/>
    <n v="-1.95"/>
    <x v="1"/>
    <n v="31.71"/>
    <n v="-7.6862435947970043E-2"/>
    <n v="35.25"/>
  </r>
  <r>
    <x v="1834"/>
    <x v="830"/>
    <s v="Felix Smith"/>
    <x v="1"/>
    <s v="South Africa"/>
    <x v="2"/>
    <x v="2"/>
    <x v="21"/>
    <n v="2"/>
    <n v="70.849999999999994"/>
    <n v="10"/>
    <n v="127.53"/>
    <n v="12.8"/>
    <n v="29.71"/>
    <x v="1"/>
    <n v="141.69999999999999"/>
    <n v="0.23296479259782013"/>
    <n v="140.33000000000001"/>
  </r>
  <r>
    <x v="1835"/>
    <x v="830"/>
    <s v="Ivan Davis"/>
    <x v="1"/>
    <s v="United States"/>
    <x v="0"/>
    <x v="0"/>
    <x v="28"/>
    <n v="1"/>
    <n v="46.96"/>
    <n v="10"/>
    <n v="42.26"/>
    <n v="7.43"/>
    <n v="9"/>
    <x v="2"/>
    <n v="46.96"/>
    <n v="0.21296734500709893"/>
    <n v="49.69"/>
  </r>
  <r>
    <x v="1836"/>
    <x v="831"/>
    <s v="Amir Tanaka"/>
    <x v="2"/>
    <s v="China"/>
    <x v="3"/>
    <x v="3"/>
    <x v="33"/>
    <n v="3"/>
    <n v="35.090000000000003"/>
    <n v="15"/>
    <n v="89.48"/>
    <n v="15.75"/>
    <n v="21.09"/>
    <x v="2"/>
    <n v="105.27000000000001"/>
    <n v="0.23569512740277157"/>
    <n v="105.23"/>
  </r>
  <r>
    <x v="1837"/>
    <x v="831"/>
    <s v="Robert Khan"/>
    <x v="1"/>
    <s v="Argentina"/>
    <x v="4"/>
    <x v="0"/>
    <x v="29"/>
    <n v="1"/>
    <n v="31.02"/>
    <n v="15"/>
    <n v="26.37"/>
    <n v="11.99"/>
    <n v="-2.68"/>
    <x v="1"/>
    <n v="31.02"/>
    <n v="-0.10163064087978764"/>
    <n v="38.36"/>
  </r>
  <r>
    <x v="1838"/>
    <x v="832"/>
    <s v="Michael Smith"/>
    <x v="0"/>
    <s v="Canada"/>
    <x v="0"/>
    <x v="3"/>
    <x v="27"/>
    <n v="2"/>
    <n v="57.57"/>
    <n v="5"/>
    <n v="109.38"/>
    <n v="7.11"/>
    <n v="44.7"/>
    <x v="2"/>
    <n v="115.14"/>
    <n v="0.40866703236423479"/>
    <n v="116.49"/>
  </r>
  <r>
    <x v="1839"/>
    <x v="832"/>
    <s v="Maria Weber"/>
    <x v="1"/>
    <s v="Nigeria"/>
    <x v="2"/>
    <x v="0"/>
    <x v="7"/>
    <n v="4"/>
    <n v="66.819999999999993"/>
    <n v="0"/>
    <n v="267.27999999999997"/>
    <n v="19.899999999999999"/>
    <n v="100.38"/>
    <x v="1"/>
    <n v="267.27999999999997"/>
    <n v="0.37556120921879677"/>
    <n v="287.17999999999995"/>
  </r>
  <r>
    <x v="1840"/>
    <x v="833"/>
    <s v="Li Wang"/>
    <x v="0"/>
    <s v="China"/>
    <x v="3"/>
    <x v="3"/>
    <x v="27"/>
    <n v="3"/>
    <n v="31.44"/>
    <n v="0"/>
    <n v="94.32"/>
    <n v="11.64"/>
    <n v="35.520000000000003"/>
    <x v="0"/>
    <n v="94.320000000000007"/>
    <n v="0.37659033078880411"/>
    <n v="105.96"/>
  </r>
  <r>
    <x v="1841"/>
    <x v="834"/>
    <s v="Jennifer Dubois"/>
    <x v="1"/>
    <s v="China"/>
    <x v="3"/>
    <x v="0"/>
    <x v="7"/>
    <n v="1"/>
    <n v="32.700000000000003"/>
    <n v="0"/>
    <n v="32.700000000000003"/>
    <n v="10.93"/>
    <n v="3.79"/>
    <x v="1"/>
    <n v="32.700000000000003"/>
    <n v="0.11590214067278287"/>
    <n v="43.63"/>
  </r>
  <r>
    <x v="1842"/>
    <x v="834"/>
    <s v="Elizabeth Garcia"/>
    <x v="2"/>
    <s v="South Korea"/>
    <x v="3"/>
    <x v="1"/>
    <x v="17"/>
    <n v="1"/>
    <n v="21.86"/>
    <n v="20"/>
    <n v="17.489999999999998"/>
    <n v="11.22"/>
    <n v="-3.57"/>
    <x v="3"/>
    <n v="21.86"/>
    <n v="-0.20411663807890223"/>
    <n v="28.71"/>
  </r>
  <r>
    <x v="1843"/>
    <x v="834"/>
    <s v="Chen Tanaka"/>
    <x v="2"/>
    <s v="Japan"/>
    <x v="3"/>
    <x v="1"/>
    <x v="25"/>
    <n v="1"/>
    <n v="13.39"/>
    <n v="5"/>
    <n v="12.72"/>
    <n v="9.93"/>
    <n v="-3.24"/>
    <x v="2"/>
    <n v="13.39"/>
    <n v="-0.25471698113207547"/>
    <n v="22.65"/>
  </r>
  <r>
    <x v="1844"/>
    <x v="834"/>
    <s v="Thomas Smith"/>
    <x v="2"/>
    <s v="Canada"/>
    <x v="0"/>
    <x v="3"/>
    <x v="11"/>
    <n v="5"/>
    <n v="31.44"/>
    <n v="0"/>
    <n v="157.19999999999999"/>
    <n v="11.49"/>
    <n v="67.11"/>
    <x v="0"/>
    <n v="157.20000000000002"/>
    <n v="0.42690839694656491"/>
    <n v="168.69"/>
  </r>
  <r>
    <x v="1845"/>
    <x v="834"/>
    <s v="Olivia Anderson"/>
    <x v="2"/>
    <s v="Mexico"/>
    <x v="0"/>
    <x v="1"/>
    <x v="25"/>
    <n v="4"/>
    <n v="5.03"/>
    <n v="5"/>
    <n v="19.11"/>
    <n v="12.77"/>
    <n v="-2.71"/>
    <x v="1"/>
    <n v="20.12"/>
    <n v="-0.14181057038199896"/>
    <n v="31.88"/>
  </r>
  <r>
    <x v="1846"/>
    <x v="835"/>
    <s v="Sarah Kim"/>
    <x v="1"/>
    <s v="United Kingdom"/>
    <x v="1"/>
    <x v="1"/>
    <x v="20"/>
    <n v="3"/>
    <n v="7.81"/>
    <n v="0"/>
    <n v="23.43"/>
    <n v="11.85"/>
    <n v="1.04"/>
    <x v="2"/>
    <n v="23.43"/>
    <n v="4.4387537345283827E-2"/>
    <n v="35.28"/>
  </r>
  <r>
    <x v="1847"/>
    <x v="836"/>
    <s v="James Williams"/>
    <x v="0"/>
    <s v="Mexico"/>
    <x v="0"/>
    <x v="2"/>
    <x v="21"/>
    <n v="6"/>
    <n v="63.63"/>
    <n v="10"/>
    <n v="343.6"/>
    <n v="17.309999999999999"/>
    <n v="97.22"/>
    <x v="0"/>
    <n v="381.78000000000003"/>
    <n v="0.28294528521536666"/>
    <n v="360.91"/>
  </r>
  <r>
    <x v="1848"/>
    <x v="836"/>
    <s v="Ahmed Rodriguez"/>
    <x v="2"/>
    <s v="South Africa"/>
    <x v="2"/>
    <x v="2"/>
    <x v="5"/>
    <n v="4"/>
    <n v="107.74"/>
    <n v="10"/>
    <n v="387.86"/>
    <n v="18.57"/>
    <n v="110.71"/>
    <x v="1"/>
    <n v="430.96"/>
    <n v="0.28543804465528794"/>
    <n v="406.43"/>
  </r>
  <r>
    <x v="1849"/>
    <x v="837"/>
    <s v="Sarah Johnson"/>
    <x v="1"/>
    <s v="United States"/>
    <x v="0"/>
    <x v="1"/>
    <x v="20"/>
    <n v="4"/>
    <n v="11.36"/>
    <n v="0"/>
    <n v="45.44"/>
    <n v="11.98"/>
    <n v="13.01"/>
    <x v="1"/>
    <n v="45.44"/>
    <n v="0.28631161971830987"/>
    <n v="57.42"/>
  </r>
  <r>
    <x v="1850"/>
    <x v="837"/>
    <s v="Giulia Oliveira"/>
    <x v="0"/>
    <s v="Italy"/>
    <x v="1"/>
    <x v="3"/>
    <x v="26"/>
    <n v="2"/>
    <n v="31.6"/>
    <n v="15"/>
    <n v="53.72"/>
    <n v="10.11"/>
    <n v="12.01"/>
    <x v="1"/>
    <n v="63.2"/>
    <n v="0.22356664184661207"/>
    <n v="63.83"/>
  </r>
  <r>
    <x v="1851"/>
    <x v="837"/>
    <s v="Christopher Davis"/>
    <x v="1"/>
    <s v="Australia"/>
    <x v="3"/>
    <x v="0"/>
    <x v="3"/>
    <n v="4"/>
    <n v="46.59"/>
    <n v="5"/>
    <n v="177.04"/>
    <n v="18.989999999999998"/>
    <n v="55.55"/>
    <x v="0"/>
    <n v="186.36"/>
    <n v="0.31377089923181201"/>
    <n v="196.03"/>
  </r>
  <r>
    <x v="1852"/>
    <x v="838"/>
    <s v="Mary Martinez"/>
    <x v="0"/>
    <s v="United Kingdom"/>
    <x v="1"/>
    <x v="0"/>
    <x v="3"/>
    <n v="2"/>
    <n v="40.18"/>
    <n v="0"/>
    <n v="80.36"/>
    <n v="10.31"/>
    <n v="25.85"/>
    <x v="1"/>
    <n v="80.36"/>
    <n v="0.32167745146839227"/>
    <n v="90.67"/>
  </r>
  <r>
    <x v="1853"/>
    <x v="838"/>
    <s v="William Rodriguez"/>
    <x v="0"/>
    <s v="United States"/>
    <x v="0"/>
    <x v="0"/>
    <x v="29"/>
    <n v="1"/>
    <n v="36.619999999999997"/>
    <n v="20"/>
    <n v="29.3"/>
    <n v="6.08"/>
    <n v="3.08"/>
    <x v="3"/>
    <n v="36.619999999999997"/>
    <n v="0.10511945392491467"/>
    <n v="35.380000000000003"/>
  </r>
  <r>
    <x v="1854"/>
    <x v="839"/>
    <s v="Priya Harris"/>
    <x v="2"/>
    <s v="United States"/>
    <x v="0"/>
    <x v="2"/>
    <x v="21"/>
    <n v="5"/>
    <n v="38.24"/>
    <n v="10"/>
    <n v="172.08"/>
    <n v="9.65"/>
    <n v="47.71"/>
    <x v="2"/>
    <n v="191.20000000000002"/>
    <n v="0.27725476522547648"/>
    <n v="181.73000000000002"/>
  </r>
  <r>
    <x v="1855"/>
    <x v="839"/>
    <s v="Liam Smith"/>
    <x v="1"/>
    <s v="Germany"/>
    <x v="1"/>
    <x v="3"/>
    <x v="27"/>
    <n v="4"/>
    <n v="59.6"/>
    <n v="0"/>
    <n v="238.4"/>
    <n v="14.78"/>
    <n v="104.42"/>
    <x v="0"/>
    <n v="238.4"/>
    <n v="0.43800335570469801"/>
    <n v="253.18"/>
  </r>
  <r>
    <x v="1856"/>
    <x v="840"/>
    <s v="Jamal Brown"/>
    <x v="0"/>
    <s v="Japan"/>
    <x v="3"/>
    <x v="3"/>
    <x v="16"/>
    <n v="6"/>
    <n v="40.46"/>
    <n v="0"/>
    <n v="242.76"/>
    <n v="18.34"/>
    <n v="103.04"/>
    <x v="1"/>
    <n v="242.76"/>
    <n v="0.42445213379469438"/>
    <n v="261.09999999999997"/>
  </r>
  <r>
    <x v="1857"/>
    <x v="840"/>
    <s v="Felix Fischer"/>
    <x v="0"/>
    <s v="Argentina"/>
    <x v="4"/>
    <x v="1"/>
    <x v="20"/>
    <n v="1"/>
    <n v="18.809999999999999"/>
    <n v="20"/>
    <n v="15.05"/>
    <n v="11.78"/>
    <n v="-5.19"/>
    <x v="0"/>
    <n v="18.809999999999999"/>
    <n v="-0.34485049833887044"/>
    <n v="26.83"/>
  </r>
  <r>
    <x v="1858"/>
    <x v="841"/>
    <s v="Pierre Wang"/>
    <x v="0"/>
    <s v="Spain"/>
    <x v="1"/>
    <x v="1"/>
    <x v="17"/>
    <n v="3"/>
    <n v="7.81"/>
    <n v="15"/>
    <n v="19.920000000000002"/>
    <n v="9.35"/>
    <n v="0.03"/>
    <x v="3"/>
    <n v="23.43"/>
    <n v="1.506024096385542E-3"/>
    <n v="29.270000000000003"/>
  </r>
  <r>
    <x v="1859"/>
    <x v="841"/>
    <s v="Layla Smith"/>
    <x v="2"/>
    <s v="Australia"/>
    <x v="3"/>
    <x v="0"/>
    <x v="18"/>
    <n v="11"/>
    <n v="61.28"/>
    <n v="10"/>
    <n v="606.66999999999996"/>
    <n v="16.64"/>
    <n v="219.29"/>
    <x v="2"/>
    <n v="674.08"/>
    <n v="0.36146504689534675"/>
    <n v="623.30999999999995"/>
  </r>
  <r>
    <x v="1860"/>
    <x v="841"/>
    <s v="Sophie Martinez"/>
    <x v="1"/>
    <s v="United States"/>
    <x v="0"/>
    <x v="3"/>
    <x v="11"/>
    <n v="11"/>
    <n v="79.5"/>
    <n v="0"/>
    <n v="874.5"/>
    <n v="14.35"/>
    <n v="422.9"/>
    <x v="1"/>
    <n v="874.5"/>
    <n v="0.48359062321326468"/>
    <n v="888.85"/>
  </r>
  <r>
    <x v="1861"/>
    <x v="842"/>
    <s v="Robert Park"/>
    <x v="1"/>
    <s v="United States"/>
    <x v="0"/>
    <x v="2"/>
    <x v="32"/>
    <n v="11"/>
    <n v="43.24"/>
    <n v="5"/>
    <n v="451.86"/>
    <n v="28.8"/>
    <n v="137.68"/>
    <x v="1"/>
    <n v="475.64000000000004"/>
    <n v="0.30469614482361795"/>
    <n v="480.66"/>
  </r>
  <r>
    <x v="1862"/>
    <x v="843"/>
    <s v="Jennifer Brown"/>
    <x v="2"/>
    <s v="France"/>
    <x v="1"/>
    <x v="1"/>
    <x v="2"/>
    <n v="1"/>
    <n v="12.72"/>
    <n v="10"/>
    <n v="11.45"/>
    <n v="8.73"/>
    <n v="-3"/>
    <x v="1"/>
    <n v="12.72"/>
    <n v="-0.26200873362445415"/>
    <n v="20.18"/>
  </r>
  <r>
    <x v="1863"/>
    <x v="844"/>
    <s v="Ingrid Jackson"/>
    <x v="2"/>
    <s v="China"/>
    <x v="3"/>
    <x v="2"/>
    <x v="8"/>
    <n v="8"/>
    <n v="98.63"/>
    <n v="5"/>
    <n v="749.59"/>
    <n v="25.57"/>
    <n v="250.6"/>
    <x v="1"/>
    <n v="789.04"/>
    <n v="0.33431609279739588"/>
    <n v="775.16000000000008"/>
  </r>
  <r>
    <x v="1864"/>
    <x v="845"/>
    <s v="Pierre Fischer"/>
    <x v="1"/>
    <s v="United Kingdom"/>
    <x v="1"/>
    <x v="1"/>
    <x v="12"/>
    <n v="4"/>
    <n v="21.61"/>
    <n v="10"/>
    <n v="77.8"/>
    <n v="9.9600000000000009"/>
    <n v="28.94"/>
    <x v="3"/>
    <n v="86.44"/>
    <n v="0.37197943444730081"/>
    <n v="87.759999999999991"/>
  </r>
  <r>
    <x v="1865"/>
    <x v="845"/>
    <s v="Elizabeth Schmidt"/>
    <x v="0"/>
    <s v="Canada"/>
    <x v="0"/>
    <x v="3"/>
    <x v="13"/>
    <n v="2"/>
    <n v="82.5"/>
    <n v="15"/>
    <n v="140.25"/>
    <n v="8.65"/>
    <n v="49.1"/>
    <x v="2"/>
    <n v="165"/>
    <n v="0.3500891265597148"/>
    <n v="148.9"/>
  </r>
  <r>
    <x v="1866"/>
    <x v="846"/>
    <s v="Linda Zhang"/>
    <x v="1"/>
    <s v="Canada"/>
    <x v="0"/>
    <x v="3"/>
    <x v="30"/>
    <n v="10"/>
    <n v="11.46"/>
    <n v="0"/>
    <n v="114.6"/>
    <n v="13.72"/>
    <n v="43.58"/>
    <x v="2"/>
    <n v="114.60000000000001"/>
    <n v="0.38027923211169284"/>
    <n v="128.32"/>
  </r>
  <r>
    <x v="1867"/>
    <x v="846"/>
    <s v="Christopher White"/>
    <x v="0"/>
    <s v="Mexico"/>
    <x v="0"/>
    <x v="3"/>
    <x v="13"/>
    <n v="7"/>
    <n v="147.88"/>
    <n v="5"/>
    <n v="983.4"/>
    <n v="18.010000000000002"/>
    <n v="447.81"/>
    <x v="2"/>
    <n v="1035.1599999999999"/>
    <n v="0.45536912751677855"/>
    <n v="1001.41"/>
  </r>
  <r>
    <x v="1868"/>
    <x v="847"/>
    <s v="Pierre Weber"/>
    <x v="1"/>
    <s v="South Korea"/>
    <x v="3"/>
    <x v="0"/>
    <x v="0"/>
    <n v="1"/>
    <n v="249.9"/>
    <n v="10"/>
    <n v="224.91"/>
    <n v="10.6"/>
    <n v="76.86"/>
    <x v="2"/>
    <n v="249.9"/>
    <n v="0.34173669467787116"/>
    <n v="235.51"/>
  </r>
  <r>
    <x v="1869"/>
    <x v="847"/>
    <s v="Hans Rossi"/>
    <x v="1"/>
    <s v="France"/>
    <x v="1"/>
    <x v="0"/>
    <x v="0"/>
    <n v="8"/>
    <n v="47.09"/>
    <n v="10"/>
    <n v="339.05"/>
    <n v="20.61"/>
    <n v="111.24"/>
    <x v="3"/>
    <n v="376.72"/>
    <n v="0.3280932015926854"/>
    <n v="359.66"/>
  </r>
  <r>
    <x v="1870"/>
    <x v="848"/>
    <s v="Robert Russo"/>
    <x v="0"/>
    <s v="India"/>
    <x v="3"/>
    <x v="1"/>
    <x v="6"/>
    <n v="3"/>
    <n v="14.48"/>
    <n v="20"/>
    <n v="34.75"/>
    <n v="15.11"/>
    <n v="0.09"/>
    <x v="1"/>
    <n v="43.44"/>
    <n v="2.5899280575539568E-3"/>
    <n v="49.86"/>
  </r>
  <r>
    <x v="1871"/>
    <x v="848"/>
    <s v="Layla Rodriguez"/>
    <x v="1"/>
    <s v="China"/>
    <x v="3"/>
    <x v="2"/>
    <x v="32"/>
    <n v="5"/>
    <n v="44.91"/>
    <n v="20"/>
    <n v="179.64"/>
    <n v="11.97"/>
    <n v="32.94"/>
    <x v="2"/>
    <n v="224.54999999999998"/>
    <n v="0.18336673346693386"/>
    <n v="191.60999999999999"/>
  </r>
  <r>
    <x v="1872"/>
    <x v="848"/>
    <s v="Zara Suzuki"/>
    <x v="1"/>
    <s v="South Africa"/>
    <x v="2"/>
    <x v="1"/>
    <x v="17"/>
    <n v="3"/>
    <n v="17.760000000000002"/>
    <n v="15"/>
    <n v="45.29"/>
    <n v="15.75"/>
    <n v="5.56"/>
    <x v="0"/>
    <n v="53.28"/>
    <n v="0.1227644071538971"/>
    <n v="61.04"/>
  </r>
  <r>
    <x v="1873"/>
    <x v="849"/>
    <s v="Ali Yamamoto"/>
    <x v="1"/>
    <s v="Brazil"/>
    <x v="4"/>
    <x v="3"/>
    <x v="27"/>
    <n v="1"/>
    <n v="40.549999999999997"/>
    <n v="15"/>
    <n v="34.47"/>
    <n v="11.54"/>
    <n v="2.66"/>
    <x v="2"/>
    <n v="40.549999999999997"/>
    <n v="7.7168552364374823E-2"/>
    <n v="46.01"/>
  </r>
  <r>
    <x v="1874"/>
    <x v="850"/>
    <s v="Wei White"/>
    <x v="2"/>
    <s v="France"/>
    <x v="1"/>
    <x v="2"/>
    <x v="15"/>
    <n v="3"/>
    <n v="414.09"/>
    <n v="10"/>
    <n v="1118.04"/>
    <n v="13.11"/>
    <n v="359.57"/>
    <x v="2"/>
    <n v="1242.27"/>
    <n v="0.32160745590497658"/>
    <n v="1131.1499999999999"/>
  </r>
  <r>
    <x v="1875"/>
    <x v="850"/>
    <s v="Emma Miller"/>
    <x v="1"/>
    <s v="Spain"/>
    <x v="1"/>
    <x v="3"/>
    <x v="11"/>
    <n v="4"/>
    <n v="90.28"/>
    <n v="15"/>
    <n v="306.95"/>
    <n v="11.43"/>
    <n v="114.96"/>
    <x v="1"/>
    <n v="361.12"/>
    <n v="0.37452353803551064"/>
    <n v="318.38"/>
  </r>
  <r>
    <x v="1876"/>
    <x v="851"/>
    <s v="Giulia Harris"/>
    <x v="2"/>
    <s v="Italy"/>
    <x v="1"/>
    <x v="0"/>
    <x v="0"/>
    <n v="2"/>
    <n v="217.52"/>
    <n v="10"/>
    <n v="391.54"/>
    <n v="8.5"/>
    <n v="143.77000000000001"/>
    <x v="3"/>
    <n v="435.04"/>
    <n v="0.36719109158706648"/>
    <n v="400.04"/>
  </r>
  <r>
    <x v="1877"/>
    <x v="851"/>
    <s v="Jamal Rossi"/>
    <x v="1"/>
    <s v="United States"/>
    <x v="0"/>
    <x v="3"/>
    <x v="37"/>
    <n v="4"/>
    <n v="70.89"/>
    <n v="0"/>
    <n v="283.56"/>
    <n v="8.25"/>
    <n v="133.53"/>
    <x v="0"/>
    <n v="283.56"/>
    <n v="0.47090562843842571"/>
    <n v="291.81"/>
  </r>
  <r>
    <x v="1878"/>
    <x v="852"/>
    <s v="Sophie Schmidt"/>
    <x v="2"/>
    <s v="Colombia"/>
    <x v="4"/>
    <x v="2"/>
    <x v="36"/>
    <n v="2"/>
    <n v="178.05"/>
    <n v="0"/>
    <n v="356.1"/>
    <n v="11.65"/>
    <n v="130.79"/>
    <x v="2"/>
    <n v="356.1"/>
    <n v="0.36728447065431052"/>
    <n v="367.75"/>
  </r>
  <r>
    <x v="1879"/>
    <x v="852"/>
    <s v="Wei Jackson"/>
    <x v="2"/>
    <s v="United Kingdom"/>
    <x v="1"/>
    <x v="2"/>
    <x v="4"/>
    <n v="10"/>
    <n v="320.82"/>
    <n v="20"/>
    <n v="2566.56"/>
    <n v="27"/>
    <n v="614.64"/>
    <x v="3"/>
    <n v="3208.2"/>
    <n v="0.23948008228913409"/>
    <n v="2593.56"/>
  </r>
  <r>
    <x v="1880"/>
    <x v="852"/>
    <s v="Isabella Sato"/>
    <x v="1"/>
    <s v="Argentina"/>
    <x v="4"/>
    <x v="3"/>
    <x v="11"/>
    <n v="6"/>
    <n v="92.98"/>
    <n v="0"/>
    <n v="557.88"/>
    <n v="18.670000000000002"/>
    <n v="260.27"/>
    <x v="2"/>
    <n v="557.88"/>
    <n v="0.46653402165340213"/>
    <n v="576.54999999999995"/>
  </r>
  <r>
    <x v="1881"/>
    <x v="853"/>
    <s v="Diego Suzuki"/>
    <x v="0"/>
    <s v="Mexico"/>
    <x v="0"/>
    <x v="0"/>
    <x v="28"/>
    <n v="2"/>
    <n v="61.98"/>
    <n v="15"/>
    <n v="105.37"/>
    <n v="7.76"/>
    <n v="29.43"/>
    <x v="3"/>
    <n v="123.96"/>
    <n v="0.27930150896839706"/>
    <n v="113.13000000000001"/>
  </r>
  <r>
    <x v="1882"/>
    <x v="853"/>
    <s v="Xiao Jackson"/>
    <x v="1"/>
    <s v="Mexico"/>
    <x v="0"/>
    <x v="1"/>
    <x v="6"/>
    <n v="2"/>
    <n v="24.23"/>
    <n v="0"/>
    <n v="48.46"/>
    <n v="7.91"/>
    <n v="18.739999999999998"/>
    <x v="0"/>
    <n v="48.46"/>
    <n v="0.38671068922822943"/>
    <n v="56.370000000000005"/>
  </r>
  <r>
    <x v="1883"/>
    <x v="854"/>
    <s v="Hans Sato"/>
    <x v="0"/>
    <s v="Spain"/>
    <x v="1"/>
    <x v="0"/>
    <x v="0"/>
    <n v="5"/>
    <n v="248.6"/>
    <n v="25"/>
    <n v="932.25"/>
    <n v="17.13"/>
    <n v="231.47"/>
    <x v="3"/>
    <n v="1243"/>
    <n v="0.24829176722982033"/>
    <n v="949.38"/>
  </r>
  <r>
    <x v="1884"/>
    <x v="854"/>
    <s v="Ivan Sato"/>
    <x v="1"/>
    <s v="Spain"/>
    <x v="1"/>
    <x v="2"/>
    <x v="14"/>
    <n v="2"/>
    <n v="297.83999999999997"/>
    <n v="15"/>
    <n v="506.33"/>
    <n v="8.5500000000000007"/>
    <n v="140.37"/>
    <x v="3"/>
    <n v="595.67999999999995"/>
    <n v="0.27723026484703656"/>
    <n v="514.88"/>
  </r>
  <r>
    <x v="1885"/>
    <x v="854"/>
    <s v="Hanna Hassan"/>
    <x v="2"/>
    <s v="France"/>
    <x v="1"/>
    <x v="0"/>
    <x v="22"/>
    <n v="6"/>
    <n v="110.54"/>
    <n v="10"/>
    <n v="596.91999999999996"/>
    <n v="21.12"/>
    <n v="211.02"/>
    <x v="2"/>
    <n v="663.24"/>
    <n v="0.35351470883870539"/>
    <n v="618.04"/>
  </r>
  <r>
    <x v="1886"/>
    <x v="855"/>
    <s v="Hanna Ferrari"/>
    <x v="1"/>
    <s v="Italy"/>
    <x v="1"/>
    <x v="0"/>
    <x v="29"/>
    <n v="1"/>
    <n v="48.57"/>
    <n v="15"/>
    <n v="41.28"/>
    <n v="8.92"/>
    <n v="5.65"/>
    <x v="2"/>
    <n v="48.57"/>
    <n v="0.13687015503875968"/>
    <n v="50.2"/>
  </r>
  <r>
    <x v="1887"/>
    <x v="856"/>
    <s v="Fatima Smith"/>
    <x v="2"/>
    <s v="Australia"/>
    <x v="3"/>
    <x v="1"/>
    <x v="25"/>
    <n v="7"/>
    <n v="12.96"/>
    <n v="0"/>
    <n v="90.72"/>
    <n v="22.05"/>
    <n v="27.85"/>
    <x v="2"/>
    <n v="90.72"/>
    <n v="0.30698853615520283"/>
    <n v="112.77"/>
  </r>
  <r>
    <x v="1888"/>
    <x v="857"/>
    <s v="Priya Costa"/>
    <x v="0"/>
    <s v="Canada"/>
    <x v="0"/>
    <x v="2"/>
    <x v="32"/>
    <n v="1"/>
    <n v="79.069999999999993"/>
    <n v="0"/>
    <n v="79.069999999999993"/>
    <n v="7.11"/>
    <n v="24.52"/>
    <x v="1"/>
    <n v="79.069999999999993"/>
    <n v="0.31010497027949918"/>
    <n v="86.179999999999993"/>
  </r>
  <r>
    <x v="1889"/>
    <x v="857"/>
    <s v="Mary Rossi"/>
    <x v="1"/>
    <s v="South Africa"/>
    <x v="2"/>
    <x v="0"/>
    <x v="3"/>
    <n v="2"/>
    <n v="41.12"/>
    <n v="0"/>
    <n v="82.24"/>
    <n v="15.15"/>
    <n v="21.86"/>
    <x v="1"/>
    <n v="82.24"/>
    <n v="0.26580739299610895"/>
    <n v="97.39"/>
  </r>
  <r>
    <x v="1890"/>
    <x v="857"/>
    <s v="Hans Wang"/>
    <x v="0"/>
    <s v="Mexico"/>
    <x v="0"/>
    <x v="1"/>
    <x v="19"/>
    <n v="1"/>
    <n v="7.84"/>
    <n v="15"/>
    <n v="6.66"/>
    <n v="6.96"/>
    <n v="-3.83"/>
    <x v="1"/>
    <n v="7.84"/>
    <n v="-0.57507507507507505"/>
    <n v="13.620000000000001"/>
  </r>
  <r>
    <x v="1891"/>
    <x v="858"/>
    <s v="William Ali"/>
    <x v="2"/>
    <s v="China"/>
    <x v="3"/>
    <x v="2"/>
    <x v="8"/>
    <n v="4"/>
    <n v="102.08"/>
    <n v="0"/>
    <n v="408.32"/>
    <n v="18.68"/>
    <n v="144.65"/>
    <x v="1"/>
    <n v="408.32"/>
    <n v="0.35425646551724138"/>
    <n v="427"/>
  </r>
  <r>
    <x v="1892"/>
    <x v="859"/>
    <s v="Olivia Leroy"/>
    <x v="2"/>
    <s v="China"/>
    <x v="3"/>
    <x v="2"/>
    <x v="15"/>
    <n v="1"/>
    <n v="165.86"/>
    <n v="5"/>
    <n v="157.57"/>
    <n v="10.45"/>
    <n v="47.6"/>
    <x v="2"/>
    <n v="165.86"/>
    <n v="0.30208796090626389"/>
    <n v="168.01999999999998"/>
  </r>
  <r>
    <x v="1893"/>
    <x v="859"/>
    <s v="Ayumi Singh"/>
    <x v="1"/>
    <s v="India"/>
    <x v="3"/>
    <x v="3"/>
    <x v="13"/>
    <n v="6"/>
    <n v="129.18"/>
    <n v="0"/>
    <n v="775.08"/>
    <n v="12.89"/>
    <n v="374.65"/>
    <x v="1"/>
    <n v="775.08"/>
    <n v="0.4833694586365278"/>
    <n v="787.97"/>
  </r>
  <r>
    <x v="1894"/>
    <x v="859"/>
    <s v="James Rossi"/>
    <x v="1"/>
    <s v="France"/>
    <x v="1"/>
    <x v="2"/>
    <x v="32"/>
    <n v="5"/>
    <n v="72.91"/>
    <n v="5"/>
    <n v="346.32"/>
    <n v="18.059999999999999"/>
    <n v="109.53"/>
    <x v="1"/>
    <n v="364.54999999999995"/>
    <n v="0.31626819126819128"/>
    <n v="364.38"/>
  </r>
  <r>
    <x v="1895"/>
    <x v="859"/>
    <s v="Mary Fischer"/>
    <x v="1"/>
    <s v="Saudi Arabia"/>
    <x v="2"/>
    <x v="3"/>
    <x v="27"/>
    <n v="3"/>
    <n v="53.65"/>
    <n v="5"/>
    <n v="152.9"/>
    <n v="13.46"/>
    <n v="58.97"/>
    <x v="1"/>
    <n v="160.94999999999999"/>
    <n v="0.38567691301504248"/>
    <n v="166.36"/>
  </r>
  <r>
    <x v="1896"/>
    <x v="859"/>
    <s v="Susan Yamamoto"/>
    <x v="2"/>
    <s v="United Kingdom"/>
    <x v="1"/>
    <x v="2"/>
    <x v="36"/>
    <n v="1"/>
    <n v="272.64"/>
    <n v="10"/>
    <n v="245.38"/>
    <n v="9.1199999999999992"/>
    <n v="72.680000000000007"/>
    <x v="1"/>
    <n v="272.64"/>
    <n v="0.2961936588148994"/>
    <n v="254.5"/>
  </r>
  <r>
    <x v="1897"/>
    <x v="860"/>
    <s v="Olga Robinson"/>
    <x v="0"/>
    <s v="China"/>
    <x v="3"/>
    <x v="0"/>
    <x v="0"/>
    <n v="2"/>
    <n v="166.68"/>
    <n v="15"/>
    <n v="283.36"/>
    <n v="11.52"/>
    <n v="88.49"/>
    <x v="2"/>
    <n v="333.36"/>
    <n v="0.31228825522303783"/>
    <n v="294.88"/>
  </r>
  <r>
    <x v="1898"/>
    <x v="860"/>
    <s v="Susan Jackson"/>
    <x v="0"/>
    <s v="United Kingdom"/>
    <x v="1"/>
    <x v="2"/>
    <x v="4"/>
    <n v="3"/>
    <n v="263.77"/>
    <n v="5"/>
    <n v="751.74"/>
    <n v="8.65"/>
    <n v="268.3"/>
    <x v="3"/>
    <n v="791.31"/>
    <n v="0.35690531300715672"/>
    <n v="760.39"/>
  </r>
  <r>
    <x v="1899"/>
    <x v="861"/>
    <s v="Marco Sato"/>
    <x v="1"/>
    <s v="Germany"/>
    <x v="1"/>
    <x v="2"/>
    <x v="21"/>
    <n v="4"/>
    <n v="78.41"/>
    <n v="0"/>
    <n v="313.64"/>
    <n v="10.24"/>
    <n v="115.22"/>
    <x v="1"/>
    <n v="313.64"/>
    <n v="0.3673638566509374"/>
    <n v="323.88"/>
  </r>
  <r>
    <x v="1900"/>
    <x v="862"/>
    <s v="Liam Sharma"/>
    <x v="1"/>
    <s v="Colombia"/>
    <x v="4"/>
    <x v="1"/>
    <x v="38"/>
    <n v="5"/>
    <n v="6.76"/>
    <n v="15"/>
    <n v="28.73"/>
    <n v="18"/>
    <n v="-4.4800000000000004"/>
    <x v="1"/>
    <n v="33.799999999999997"/>
    <n v="-0.1559345631743822"/>
    <n v="46.730000000000004"/>
  </r>
  <r>
    <x v="1901"/>
    <x v="862"/>
    <s v="Sophie Zhang"/>
    <x v="1"/>
    <s v="Mexico"/>
    <x v="0"/>
    <x v="1"/>
    <x v="10"/>
    <n v="2"/>
    <n v="7.54"/>
    <n v="0"/>
    <n v="15.08"/>
    <n v="6.17"/>
    <n v="2.12"/>
    <x v="1"/>
    <n v="15.08"/>
    <n v="0.14058355437665784"/>
    <n v="21.25"/>
  </r>
  <r>
    <x v="1902"/>
    <x v="863"/>
    <s v="Karen Romano"/>
    <x v="1"/>
    <s v="India"/>
    <x v="3"/>
    <x v="1"/>
    <x v="12"/>
    <n v="4"/>
    <n v="21.32"/>
    <n v="20"/>
    <n v="68.22"/>
    <n v="14.03"/>
    <n v="15.81"/>
    <x v="2"/>
    <n v="85.28"/>
    <n v="0.23175021987686897"/>
    <n v="82.25"/>
  </r>
  <r>
    <x v="1903"/>
    <x v="864"/>
    <s v="Thomas Laurent"/>
    <x v="2"/>
    <s v="United States"/>
    <x v="0"/>
    <x v="1"/>
    <x v="12"/>
    <n v="4"/>
    <n v="13.79"/>
    <n v="0"/>
    <n v="55.16"/>
    <n v="14.12"/>
    <n v="16.22"/>
    <x v="2"/>
    <n v="55.16"/>
    <n v="0.29405366207396666"/>
    <n v="69.28"/>
  </r>
  <r>
    <x v="1904"/>
    <x v="864"/>
    <s v="Raj Patel"/>
    <x v="0"/>
    <s v="Canada"/>
    <x v="0"/>
    <x v="1"/>
    <x v="2"/>
    <n v="2"/>
    <n v="14.04"/>
    <n v="15"/>
    <n v="23.87"/>
    <n v="7.52"/>
    <n v="3.71"/>
    <x v="0"/>
    <n v="28.08"/>
    <n v="0.15542521994134897"/>
    <n v="31.39"/>
  </r>
  <r>
    <x v="1905"/>
    <x v="865"/>
    <s v="Jessica Thomas"/>
    <x v="0"/>
    <s v="Spain"/>
    <x v="1"/>
    <x v="1"/>
    <x v="19"/>
    <n v="1"/>
    <n v="13.54"/>
    <n v="5"/>
    <n v="12.86"/>
    <n v="8.16"/>
    <n v="-1.39"/>
    <x v="1"/>
    <n v="13.54"/>
    <n v="-0.10808709175738725"/>
    <n v="21.02"/>
  </r>
  <r>
    <x v="1906"/>
    <x v="866"/>
    <s v="Omar Nilsson"/>
    <x v="0"/>
    <s v="Canada"/>
    <x v="0"/>
    <x v="0"/>
    <x v="18"/>
    <n v="3"/>
    <n v="73.819999999999993"/>
    <n v="5"/>
    <n v="210.39"/>
    <n v="11.99"/>
    <n v="76.599999999999994"/>
    <x v="0"/>
    <n v="221.45999999999998"/>
    <n v="0.36408574552022432"/>
    <n v="222.38"/>
  </r>
  <r>
    <x v="1907"/>
    <x v="867"/>
    <s v="Joseph Zhang"/>
    <x v="1"/>
    <s v="France"/>
    <x v="1"/>
    <x v="1"/>
    <x v="38"/>
    <n v="9"/>
    <n v="9.0399999999999991"/>
    <n v="0"/>
    <n v="81.36"/>
    <n v="25.6"/>
    <n v="19.149999999999999"/>
    <x v="0"/>
    <n v="81.359999999999985"/>
    <n v="0.23537364798426744"/>
    <n v="106.96000000000001"/>
  </r>
  <r>
    <x v="1908"/>
    <x v="867"/>
    <s v="Clara Fischer"/>
    <x v="0"/>
    <s v="Mexico"/>
    <x v="0"/>
    <x v="1"/>
    <x v="20"/>
    <n v="3"/>
    <n v="8"/>
    <n v="5"/>
    <n v="22.8"/>
    <n v="12.01"/>
    <n v="-0.01"/>
    <x v="2"/>
    <n v="24"/>
    <n v="-4.3859649122807018E-4"/>
    <n v="34.81"/>
  </r>
  <r>
    <x v="1909"/>
    <x v="867"/>
    <s v="William Sato"/>
    <x v="0"/>
    <s v="Italy"/>
    <x v="1"/>
    <x v="0"/>
    <x v="35"/>
    <n v="7"/>
    <n v="41.83"/>
    <n v="5"/>
    <n v="278.17"/>
    <n v="10.79"/>
    <n v="106.33"/>
    <x v="2"/>
    <n v="292.81"/>
    <n v="0.38224826544918572"/>
    <n v="288.96000000000004"/>
  </r>
  <r>
    <x v="1910"/>
    <x v="867"/>
    <s v="Emma Thompson"/>
    <x v="0"/>
    <s v="Mexico"/>
    <x v="0"/>
    <x v="1"/>
    <x v="6"/>
    <n v="3"/>
    <n v="17.07"/>
    <n v="30"/>
    <n v="35.85"/>
    <n v="12.2"/>
    <n v="0.61"/>
    <x v="2"/>
    <n v="51.21"/>
    <n v="1.7015341701534171E-2"/>
    <n v="48.05"/>
  </r>
  <r>
    <x v="1911"/>
    <x v="868"/>
    <s v="Diego Williams"/>
    <x v="1"/>
    <s v="India"/>
    <x v="3"/>
    <x v="0"/>
    <x v="7"/>
    <n v="9"/>
    <n v="34.21"/>
    <n v="5"/>
    <n v="292.5"/>
    <n v="13.63"/>
    <n v="109.53"/>
    <x v="1"/>
    <n v="307.89"/>
    <n v="0.37446153846153846"/>
    <n v="306.13"/>
  </r>
  <r>
    <x v="1912"/>
    <x v="868"/>
    <s v="Susan Ali"/>
    <x v="1"/>
    <s v="South Korea"/>
    <x v="3"/>
    <x v="3"/>
    <x v="24"/>
    <n v="4"/>
    <n v="71.05"/>
    <n v="15"/>
    <n v="241.57"/>
    <n v="11.85"/>
    <n v="87.62"/>
    <x v="1"/>
    <n v="284.2"/>
    <n v="0.36271060148197215"/>
    <n v="253.42"/>
  </r>
  <r>
    <x v="1913"/>
    <x v="868"/>
    <s v="Olga Davis"/>
    <x v="0"/>
    <s v="India"/>
    <x v="3"/>
    <x v="2"/>
    <x v="39"/>
    <n v="1"/>
    <n v="198.02"/>
    <n v="10"/>
    <n v="178.22"/>
    <n v="9.93"/>
    <n v="49.48"/>
    <x v="0"/>
    <n v="198.02"/>
    <n v="0.27763438446863425"/>
    <n v="188.15"/>
  </r>
  <r>
    <x v="1914"/>
    <x v="868"/>
    <s v="Fatima Fischer"/>
    <x v="0"/>
    <s v="Mexico"/>
    <x v="0"/>
    <x v="2"/>
    <x v="36"/>
    <n v="2"/>
    <n v="280.54000000000002"/>
    <n v="30"/>
    <n v="392.76"/>
    <n v="6.47"/>
    <n v="49.64"/>
    <x v="0"/>
    <n v="561.08000000000004"/>
    <n v="0.12638761584682759"/>
    <n v="399.23"/>
  </r>
  <r>
    <x v="1915"/>
    <x v="869"/>
    <s v="Liam Martin"/>
    <x v="1"/>
    <s v="Argentina"/>
    <x v="4"/>
    <x v="3"/>
    <x v="13"/>
    <n v="3"/>
    <n v="112.34"/>
    <n v="5"/>
    <n v="320.17"/>
    <n v="12.63"/>
    <n v="139.03"/>
    <x v="1"/>
    <n v="337.02"/>
    <n v="0.43423806103007773"/>
    <n v="332.8"/>
  </r>
  <r>
    <x v="1916"/>
    <x v="869"/>
    <s v="Kenji Hassan"/>
    <x v="0"/>
    <s v="India"/>
    <x v="3"/>
    <x v="2"/>
    <x v="39"/>
    <n v="2"/>
    <n v="188.36"/>
    <n v="0"/>
    <n v="376.72"/>
    <n v="13.35"/>
    <n v="137.34"/>
    <x v="3"/>
    <n v="376.72"/>
    <n v="0.36456784880016985"/>
    <n v="390.07000000000005"/>
  </r>
  <r>
    <x v="1917"/>
    <x v="870"/>
    <s v="Xiao Ferrari"/>
    <x v="2"/>
    <s v="Mexico"/>
    <x v="0"/>
    <x v="0"/>
    <x v="29"/>
    <n v="2"/>
    <n v="23.95"/>
    <n v="5"/>
    <n v="45.5"/>
    <n v="7.35"/>
    <n v="11.8"/>
    <x v="1"/>
    <n v="47.9"/>
    <n v="0.25934065934065936"/>
    <n v="52.85"/>
  </r>
  <r>
    <x v="1918"/>
    <x v="870"/>
    <s v="Jamal Park"/>
    <x v="1"/>
    <s v="UAE"/>
    <x v="2"/>
    <x v="3"/>
    <x v="9"/>
    <n v="2"/>
    <n v="25.11"/>
    <n v="5"/>
    <n v="47.71"/>
    <n v="12.85"/>
    <n v="9.75"/>
    <x v="3"/>
    <n v="50.22"/>
    <n v="0.20435967302452315"/>
    <n v="60.56"/>
  </r>
  <r>
    <x v="1919"/>
    <x v="870"/>
    <s v="Noah Thomas"/>
    <x v="0"/>
    <s v="India"/>
    <x v="3"/>
    <x v="1"/>
    <x v="38"/>
    <n v="2"/>
    <n v="7.1"/>
    <n v="10"/>
    <n v="12.78"/>
    <n v="10.79"/>
    <n v="-4.4000000000000004"/>
    <x v="2"/>
    <n v="14.2"/>
    <n v="-0.34428794992175277"/>
    <n v="23.57"/>
  </r>
  <r>
    <x v="1920"/>
    <x v="871"/>
    <s v="Jessica Hassan"/>
    <x v="2"/>
    <s v="Argentina"/>
    <x v="4"/>
    <x v="1"/>
    <x v="12"/>
    <n v="7"/>
    <n v="12.82"/>
    <n v="5"/>
    <n v="85.25"/>
    <n v="25.24"/>
    <n v="19.63"/>
    <x v="3"/>
    <n v="89.740000000000009"/>
    <n v="0.23026392961876832"/>
    <n v="110.49"/>
  </r>
  <r>
    <x v="1921"/>
    <x v="872"/>
    <s v="Layla Park"/>
    <x v="1"/>
    <s v="Japan"/>
    <x v="3"/>
    <x v="1"/>
    <x v="20"/>
    <n v="1"/>
    <n v="8.8699999999999992"/>
    <n v="5"/>
    <n v="8.43"/>
    <n v="11.23"/>
    <n v="-6.79"/>
    <x v="1"/>
    <n v="8.8699999999999992"/>
    <n v="-0.80545670225385535"/>
    <n v="19.66"/>
  </r>
  <r>
    <x v="1922"/>
    <x v="873"/>
    <s v="Christopher Romano"/>
    <x v="1"/>
    <s v="Spain"/>
    <x v="1"/>
    <x v="2"/>
    <x v="8"/>
    <n v="11"/>
    <n v="121"/>
    <n v="10"/>
    <n v="1197.9000000000001"/>
    <n v="25.42"/>
    <n v="373.88"/>
    <x v="2"/>
    <n v="1331"/>
    <n v="0.31211286417897988"/>
    <n v="1223.3200000000002"/>
  </r>
  <r>
    <x v="1923"/>
    <x v="873"/>
    <s v="Joseph Martin"/>
    <x v="0"/>
    <s v="South Korea"/>
    <x v="3"/>
    <x v="2"/>
    <x v="34"/>
    <n v="1"/>
    <n v="24.61"/>
    <n v="15"/>
    <n v="20.92"/>
    <n v="10.08"/>
    <n v="-3.93"/>
    <x v="2"/>
    <n v="24.61"/>
    <n v="-0.1878585086042065"/>
    <n v="31"/>
  </r>
  <r>
    <x v="1924"/>
    <x v="874"/>
    <s v="Layla Yamamoto"/>
    <x v="2"/>
    <s v="Australia"/>
    <x v="3"/>
    <x v="2"/>
    <x v="39"/>
    <n v="2"/>
    <n v="118.2"/>
    <n v="10"/>
    <n v="212.76"/>
    <n v="10.92"/>
    <n v="60"/>
    <x v="1"/>
    <n v="236.4"/>
    <n v="0.28200789622109418"/>
    <n v="223.67999999999998"/>
  </r>
  <r>
    <x v="1925"/>
    <x v="875"/>
    <s v="Clara Hassan"/>
    <x v="0"/>
    <s v="Germany"/>
    <x v="1"/>
    <x v="0"/>
    <x v="7"/>
    <n v="3"/>
    <n v="75.55"/>
    <n v="15"/>
    <n v="192.65"/>
    <n v="11.85"/>
    <n v="56.14"/>
    <x v="2"/>
    <n v="226.64999999999998"/>
    <n v="0.29140929146119904"/>
    <n v="204.5"/>
  </r>
  <r>
    <x v="1926"/>
    <x v="875"/>
    <s v="Sarah Nilsson"/>
    <x v="0"/>
    <s v="Japan"/>
    <x v="3"/>
    <x v="0"/>
    <x v="35"/>
    <n v="4"/>
    <n v="23.57"/>
    <n v="10"/>
    <n v="84.85"/>
    <n v="16.899999999999999"/>
    <n v="16.100000000000001"/>
    <x v="1"/>
    <n v="94.28"/>
    <n v="0.18974661166764883"/>
    <n v="101.75"/>
  </r>
  <r>
    <x v="1927"/>
    <x v="875"/>
    <s v="Felix Singh"/>
    <x v="1"/>
    <s v="Japan"/>
    <x v="3"/>
    <x v="3"/>
    <x v="13"/>
    <n v="1"/>
    <n v="45.56"/>
    <n v="0"/>
    <n v="45.56"/>
    <n v="11.16"/>
    <n v="11.62"/>
    <x v="1"/>
    <n v="45.56"/>
    <n v="0.25504828797190515"/>
    <n v="56.72"/>
  </r>
  <r>
    <x v="1928"/>
    <x v="876"/>
    <s v="Thomas Suzuki"/>
    <x v="0"/>
    <s v="UAE"/>
    <x v="2"/>
    <x v="0"/>
    <x v="28"/>
    <n v="8"/>
    <n v="27.29"/>
    <n v="5"/>
    <n v="207.4"/>
    <n v="30.16"/>
    <n v="57.16"/>
    <x v="2"/>
    <n v="218.32"/>
    <n v="0.27560270009643201"/>
    <n v="237.56"/>
  </r>
  <r>
    <x v="1929"/>
    <x v="876"/>
    <s v="Emma Suzuki"/>
    <x v="2"/>
    <s v="United Kingdom"/>
    <x v="1"/>
    <x v="2"/>
    <x v="34"/>
    <n v="1"/>
    <n v="38.28"/>
    <n v="10"/>
    <n v="34.450000000000003"/>
    <n v="7.59"/>
    <n v="3.89"/>
    <x v="0"/>
    <n v="38.28"/>
    <n v="0.11291727140783744"/>
    <n v="42.040000000000006"/>
  </r>
  <r>
    <x v="1930"/>
    <x v="877"/>
    <s v="Raj Rossi"/>
    <x v="1"/>
    <s v="Australia"/>
    <x v="3"/>
    <x v="1"/>
    <x v="10"/>
    <n v="3"/>
    <n v="4.2699999999999996"/>
    <n v="10"/>
    <n v="11.53"/>
    <n v="13.45"/>
    <n v="-7.68"/>
    <x v="1"/>
    <n v="12.809999999999999"/>
    <n v="-0.66608846487424112"/>
    <n v="24.979999999999997"/>
  </r>
  <r>
    <x v="1931"/>
    <x v="877"/>
    <s v="Olga Miller"/>
    <x v="1"/>
    <s v="Mexico"/>
    <x v="0"/>
    <x v="1"/>
    <x v="23"/>
    <n v="2"/>
    <n v="9.8699999999999992"/>
    <n v="5"/>
    <n v="18.75"/>
    <n v="8.7200000000000006"/>
    <n v="1.1499999999999999"/>
    <x v="2"/>
    <n v="19.739999999999998"/>
    <n v="6.133333333333333E-2"/>
    <n v="27.47"/>
  </r>
  <r>
    <x v="1932"/>
    <x v="877"/>
    <s v="Jessica Pereira"/>
    <x v="1"/>
    <s v="Argentina"/>
    <x v="4"/>
    <x v="1"/>
    <x v="38"/>
    <n v="6"/>
    <n v="10.63"/>
    <n v="0"/>
    <n v="63.78"/>
    <n v="17.670000000000002"/>
    <n v="17.41"/>
    <x v="1"/>
    <n v="63.78"/>
    <n v="0.27296958294136092"/>
    <n v="81.45"/>
  </r>
  <r>
    <x v="1933"/>
    <x v="878"/>
    <s v="Raj White"/>
    <x v="2"/>
    <s v="France"/>
    <x v="1"/>
    <x v="1"/>
    <x v="17"/>
    <n v="2"/>
    <n v="13.2"/>
    <n v="5"/>
    <n v="25.08"/>
    <n v="9.67"/>
    <n v="3.53"/>
    <x v="3"/>
    <n v="26.4"/>
    <n v="0.14074960127591707"/>
    <n v="34.75"/>
  </r>
  <r>
    <x v="1934"/>
    <x v="878"/>
    <s v="Kenji Wang"/>
    <x v="1"/>
    <s v="China"/>
    <x v="3"/>
    <x v="0"/>
    <x v="29"/>
    <n v="13"/>
    <n v="31.37"/>
    <n v="10"/>
    <n v="367.03"/>
    <n v="38.630000000000003"/>
    <n v="104.1"/>
    <x v="0"/>
    <n v="407.81"/>
    <n v="0.28362804130452551"/>
    <n v="405.65999999999997"/>
  </r>
  <r>
    <x v="1935"/>
    <x v="879"/>
    <s v="Omar Ali"/>
    <x v="0"/>
    <s v="Spain"/>
    <x v="1"/>
    <x v="2"/>
    <x v="32"/>
    <n v="1"/>
    <n v="66.790000000000006"/>
    <n v="10"/>
    <n v="60.11"/>
    <n v="8.82"/>
    <n v="11.22"/>
    <x v="2"/>
    <n v="66.790000000000006"/>
    <n v="0.18665779404425223"/>
    <n v="68.930000000000007"/>
  </r>
  <r>
    <x v="1936"/>
    <x v="880"/>
    <s v="Emma Laurent"/>
    <x v="1"/>
    <s v="South Korea"/>
    <x v="3"/>
    <x v="1"/>
    <x v="23"/>
    <n v="1"/>
    <n v="17.12"/>
    <n v="15"/>
    <n v="14.55"/>
    <n v="10.37"/>
    <n v="-3.52"/>
    <x v="1"/>
    <n v="17.12"/>
    <n v="-0.24192439862542955"/>
    <n v="24.92"/>
  </r>
  <r>
    <x v="1937"/>
    <x v="880"/>
    <s v="Mary Yamamoto"/>
    <x v="1"/>
    <s v="China"/>
    <x v="3"/>
    <x v="2"/>
    <x v="15"/>
    <n v="12"/>
    <n v="189.49"/>
    <n v="15"/>
    <n v="1932.8"/>
    <n v="34.81"/>
    <n v="533.66"/>
    <x v="1"/>
    <n v="2273.88"/>
    <n v="0.27610720198675498"/>
    <n v="1967.61"/>
  </r>
  <r>
    <x v="1938"/>
    <x v="881"/>
    <s v="Joseph Chen"/>
    <x v="1"/>
    <s v="United States"/>
    <x v="0"/>
    <x v="3"/>
    <x v="13"/>
    <n v="10"/>
    <n v="72.25"/>
    <n v="5"/>
    <n v="686.38"/>
    <n v="12.64"/>
    <n v="312.49"/>
    <x v="1"/>
    <n v="722.5"/>
    <n v="0.45527258952766692"/>
    <n v="699.02"/>
  </r>
  <r>
    <x v="1939"/>
    <x v="881"/>
    <s v="James Khan"/>
    <x v="2"/>
    <s v="United States"/>
    <x v="0"/>
    <x v="1"/>
    <x v="25"/>
    <n v="3"/>
    <n v="12.71"/>
    <n v="10"/>
    <n v="34.32"/>
    <n v="9.81"/>
    <n v="7.35"/>
    <x v="3"/>
    <n v="38.130000000000003"/>
    <n v="0.21416083916083914"/>
    <n v="44.13"/>
  </r>
  <r>
    <x v="1940"/>
    <x v="881"/>
    <s v="Xiao Romano"/>
    <x v="0"/>
    <s v="India"/>
    <x v="3"/>
    <x v="2"/>
    <x v="34"/>
    <n v="4"/>
    <n v="34.17"/>
    <n v="10"/>
    <n v="123.01"/>
    <n v="18.86"/>
    <n v="22.14"/>
    <x v="2"/>
    <n v="136.68"/>
    <n v="0.17998536704332982"/>
    <n v="141.87"/>
  </r>
  <r>
    <x v="1941"/>
    <x v="881"/>
    <s v="Pierre Suzuki"/>
    <x v="0"/>
    <s v="Colombia"/>
    <x v="4"/>
    <x v="1"/>
    <x v="20"/>
    <n v="2"/>
    <n v="12.44"/>
    <n v="10"/>
    <n v="22.39"/>
    <n v="11.74"/>
    <n v="-0.55000000000000004"/>
    <x v="2"/>
    <n v="24.88"/>
    <n v="-2.4564537740062529E-2"/>
    <n v="34.130000000000003"/>
  </r>
  <r>
    <x v="1942"/>
    <x v="882"/>
    <s v="Lucas Clark"/>
    <x v="2"/>
    <s v="South Africa"/>
    <x v="2"/>
    <x v="2"/>
    <x v="21"/>
    <n v="1"/>
    <n v="41.13"/>
    <n v="5"/>
    <n v="39.07"/>
    <n v="13.01"/>
    <n v="1.38"/>
    <x v="2"/>
    <n v="41.13"/>
    <n v="3.5321218326081393E-2"/>
    <n v="52.08"/>
  </r>
  <r>
    <x v="1943"/>
    <x v="883"/>
    <s v="Sarah Harris"/>
    <x v="1"/>
    <s v="Japan"/>
    <x v="3"/>
    <x v="1"/>
    <x v="23"/>
    <n v="8"/>
    <n v="19.350000000000001"/>
    <n v="0"/>
    <n v="154.80000000000001"/>
    <n v="27.15"/>
    <n v="57.99"/>
    <x v="1"/>
    <n v="154.80000000000001"/>
    <n v="0.3746124031007752"/>
    <n v="181.95000000000002"/>
  </r>
  <r>
    <x v="1944"/>
    <x v="883"/>
    <s v="Joseph Fischer"/>
    <x v="0"/>
    <s v="United States"/>
    <x v="0"/>
    <x v="3"/>
    <x v="16"/>
    <n v="2"/>
    <n v="41.19"/>
    <n v="0"/>
    <n v="82.38"/>
    <n v="9.35"/>
    <n v="31.84"/>
    <x v="1"/>
    <n v="82.38"/>
    <n v="0.38650157805292551"/>
    <n v="91.72999999999999"/>
  </r>
  <r>
    <x v="1945"/>
    <x v="884"/>
    <s v="Oscar Martin"/>
    <x v="1"/>
    <s v="Japan"/>
    <x v="3"/>
    <x v="0"/>
    <x v="0"/>
    <n v="1"/>
    <n v="121.88"/>
    <n v="15"/>
    <n v="103.6"/>
    <n v="10.32"/>
    <n v="26.25"/>
    <x v="1"/>
    <n v="121.88"/>
    <n v="0.2533783783783784"/>
    <n v="113.91999999999999"/>
  </r>
  <r>
    <x v="1946"/>
    <x v="884"/>
    <s v="Oscar Davis"/>
    <x v="1"/>
    <s v="Japan"/>
    <x v="3"/>
    <x v="0"/>
    <x v="3"/>
    <n v="2"/>
    <n v="48.3"/>
    <n v="0"/>
    <n v="96.6"/>
    <n v="10.11"/>
    <n v="33.36"/>
    <x v="1"/>
    <n v="96.6"/>
    <n v="0.34534161490683229"/>
    <n v="106.71"/>
  </r>
  <r>
    <x v="1947"/>
    <x v="884"/>
    <s v="Olga Robinson"/>
    <x v="0"/>
    <s v="South Africa"/>
    <x v="2"/>
    <x v="2"/>
    <x v="34"/>
    <n v="1"/>
    <n v="40.369999999999997"/>
    <n v="5"/>
    <n v="38.35"/>
    <n v="12.87"/>
    <n v="1.26"/>
    <x v="3"/>
    <n v="40.369999999999997"/>
    <n v="3.285528031290743E-2"/>
    <n v="51.22"/>
  </r>
  <r>
    <x v="1948"/>
    <x v="884"/>
    <s v="Mary Jackson"/>
    <x v="1"/>
    <s v="Mexico"/>
    <x v="0"/>
    <x v="1"/>
    <x v="20"/>
    <n v="1"/>
    <n v="9.9499999999999993"/>
    <n v="10"/>
    <n v="8.9600000000000009"/>
    <n v="5.73"/>
    <n v="-1.25"/>
    <x v="2"/>
    <n v="9.9499999999999993"/>
    <n v="-0.13950892857142855"/>
    <n v="14.690000000000001"/>
  </r>
  <r>
    <x v="1949"/>
    <x v="884"/>
    <s v="Maria Martin"/>
    <x v="1"/>
    <s v="China"/>
    <x v="3"/>
    <x v="3"/>
    <x v="30"/>
    <n v="3"/>
    <n v="26.38"/>
    <n v="10"/>
    <n v="71.23"/>
    <n v="16.45"/>
    <n v="15.21"/>
    <x v="2"/>
    <n v="79.14"/>
    <n v="0.21353362347325566"/>
    <n v="87.68"/>
  </r>
  <r>
    <x v="1950"/>
    <x v="885"/>
    <s v="Susan Weber"/>
    <x v="1"/>
    <s v="Canada"/>
    <x v="0"/>
    <x v="3"/>
    <x v="16"/>
    <n v="2"/>
    <n v="46.65"/>
    <n v="0"/>
    <n v="93.3"/>
    <n v="7.99"/>
    <n v="38.659999999999997"/>
    <x v="1"/>
    <n v="93.3"/>
    <n v="0.41436227224008571"/>
    <n v="101.28999999999999"/>
  </r>
  <r>
    <x v="1951"/>
    <x v="885"/>
    <s v="Lucas Sato"/>
    <x v="1"/>
    <s v="United Kingdom"/>
    <x v="1"/>
    <x v="3"/>
    <x v="33"/>
    <n v="3"/>
    <n v="28.76"/>
    <n v="0"/>
    <n v="86.28"/>
    <n v="14.03"/>
    <n v="29.11"/>
    <x v="0"/>
    <n v="86.28"/>
    <n v="0.33738989337042186"/>
    <n v="100.31"/>
  </r>
  <r>
    <x v="1952"/>
    <x v="885"/>
    <s v="Robert Martinez"/>
    <x v="1"/>
    <s v="Canada"/>
    <x v="0"/>
    <x v="0"/>
    <x v="0"/>
    <n v="4"/>
    <n v="128.26"/>
    <n v="20"/>
    <n v="410.43"/>
    <n v="9.52"/>
    <n v="118.74"/>
    <x v="0"/>
    <n v="513.04"/>
    <n v="0.28930633725604854"/>
    <n v="419.95"/>
  </r>
  <r>
    <x v="1953"/>
    <x v="885"/>
    <s v="Richard Martinez"/>
    <x v="2"/>
    <s v="South Korea"/>
    <x v="3"/>
    <x v="1"/>
    <x v="25"/>
    <n v="1"/>
    <n v="11.64"/>
    <n v="15"/>
    <n v="9.89"/>
    <n v="10.8"/>
    <n v="-6.15"/>
    <x v="2"/>
    <n v="11.64"/>
    <n v="-0.621840242669363"/>
    <n v="20.69"/>
  </r>
  <r>
    <x v="1954"/>
    <x v="886"/>
    <s v="Chen Patel"/>
    <x v="0"/>
    <s v="Nigeria"/>
    <x v="2"/>
    <x v="1"/>
    <x v="12"/>
    <n v="2"/>
    <n v="13.26"/>
    <n v="10"/>
    <n v="23.87"/>
    <n v="15.22"/>
    <n v="-3.28"/>
    <x v="2"/>
    <n v="26.52"/>
    <n v="-0.13741097612065353"/>
    <n v="39.090000000000003"/>
  </r>
  <r>
    <x v="1955"/>
    <x v="886"/>
    <s v="Richard Romano"/>
    <x v="0"/>
    <s v="Nigeria"/>
    <x v="2"/>
    <x v="2"/>
    <x v="34"/>
    <n v="4"/>
    <n v="56.46"/>
    <n v="0"/>
    <n v="225.84"/>
    <n v="20.67"/>
    <n v="69.67"/>
    <x v="1"/>
    <n v="225.84"/>
    <n v="0.30849273822174994"/>
    <n v="246.51"/>
  </r>
  <r>
    <x v="1956"/>
    <x v="887"/>
    <s v="Olga Nilsson"/>
    <x v="2"/>
    <s v="United States"/>
    <x v="0"/>
    <x v="0"/>
    <x v="1"/>
    <n v="2"/>
    <n v="130.57"/>
    <n v="5"/>
    <n v="248.08"/>
    <n v="9.18"/>
    <n v="95.27"/>
    <x v="1"/>
    <n v="261.14"/>
    <n v="0.38402934537246047"/>
    <n v="257.26"/>
  </r>
  <r>
    <x v="1957"/>
    <x v="887"/>
    <s v="Jennifer Clark"/>
    <x v="2"/>
    <s v="Spain"/>
    <x v="1"/>
    <x v="2"/>
    <x v="5"/>
    <n v="7"/>
    <n v="107.98"/>
    <n v="5"/>
    <n v="718.07"/>
    <n v="13.14"/>
    <n v="251.41"/>
    <x v="0"/>
    <n v="755.86"/>
    <n v="0.35011906917152918"/>
    <n v="731.21"/>
  </r>
  <r>
    <x v="1958"/>
    <x v="887"/>
    <s v="Ahmed Dubois"/>
    <x v="1"/>
    <s v="Spain"/>
    <x v="1"/>
    <x v="0"/>
    <x v="29"/>
    <n v="1"/>
    <n v="45.07"/>
    <n v="5"/>
    <n v="42.82"/>
    <n v="9.42"/>
    <n v="8.61"/>
    <x v="0"/>
    <n v="45.07"/>
    <n v="0.20107426436244744"/>
    <n v="52.24"/>
  </r>
  <r>
    <x v="1959"/>
    <x v="888"/>
    <s v="Karen Garcia"/>
    <x v="0"/>
    <s v="South Africa"/>
    <x v="2"/>
    <x v="0"/>
    <x v="22"/>
    <n v="1"/>
    <n v="87.05"/>
    <n v="25"/>
    <n v="65.290000000000006"/>
    <n v="12.28"/>
    <n v="5.13"/>
    <x v="1"/>
    <n v="87.05"/>
    <n v="7.8572522591514773E-2"/>
    <n v="77.570000000000007"/>
  </r>
  <r>
    <x v="1960"/>
    <x v="888"/>
    <s v="Carlos Rodriguez"/>
    <x v="0"/>
    <s v="Brazil"/>
    <x v="4"/>
    <x v="2"/>
    <x v="5"/>
    <n v="3"/>
    <n v="194.57"/>
    <n v="0"/>
    <n v="583.71"/>
    <n v="13.8"/>
    <n v="219.68"/>
    <x v="1"/>
    <n v="583.71"/>
    <n v="0.37635127032259169"/>
    <n v="597.51"/>
  </r>
  <r>
    <x v="1961"/>
    <x v="889"/>
    <s v="Mia Tanaka"/>
    <x v="2"/>
    <s v="Germany"/>
    <x v="1"/>
    <x v="2"/>
    <x v="14"/>
    <n v="1"/>
    <n v="416.05"/>
    <n v="20"/>
    <n v="332.84"/>
    <n v="8.18"/>
    <n v="75.03"/>
    <x v="1"/>
    <n v="416.05"/>
    <n v="0.22542362696791254"/>
    <n v="341.02"/>
  </r>
  <r>
    <x v="1962"/>
    <x v="889"/>
    <s v="Ava Laurent"/>
    <x v="0"/>
    <s v="Mexico"/>
    <x v="0"/>
    <x v="0"/>
    <x v="31"/>
    <n v="1"/>
    <n v="98.02"/>
    <n v="25"/>
    <n v="73.52"/>
    <n v="6.56"/>
    <n v="13.05"/>
    <x v="1"/>
    <n v="98.02"/>
    <n v="0.17750272034820458"/>
    <n v="80.08"/>
  </r>
  <r>
    <x v="1963"/>
    <x v="890"/>
    <s v="Li Kim"/>
    <x v="1"/>
    <s v="Japan"/>
    <x v="3"/>
    <x v="2"/>
    <x v="34"/>
    <n v="3"/>
    <n v="18.510000000000002"/>
    <n v="0"/>
    <n v="55.53"/>
    <n v="13.79"/>
    <n v="8.42"/>
    <x v="2"/>
    <n v="55.53"/>
    <n v="0.15162974968485504"/>
    <n v="69.319999999999993"/>
  </r>
  <r>
    <x v="1964"/>
    <x v="891"/>
    <s v="Amina Smith"/>
    <x v="1"/>
    <s v="Mexico"/>
    <x v="0"/>
    <x v="1"/>
    <x v="17"/>
    <n v="7"/>
    <n v="12.44"/>
    <n v="20"/>
    <n v="69.66"/>
    <n v="16.3"/>
    <n v="14.17"/>
    <x v="0"/>
    <n v="87.08"/>
    <n v="0.20341659488946312"/>
    <n v="85.96"/>
  </r>
  <r>
    <x v="1965"/>
    <x v="892"/>
    <s v="Olga Davis"/>
    <x v="1"/>
    <s v="Australia"/>
    <x v="3"/>
    <x v="1"/>
    <x v="6"/>
    <n v="12"/>
    <n v="11.75"/>
    <n v="0"/>
    <n v="141"/>
    <n v="19.91"/>
    <n v="57.64"/>
    <x v="0"/>
    <n v="141"/>
    <n v="0.40879432624113476"/>
    <n v="160.91"/>
  </r>
  <r>
    <x v="1966"/>
    <x v="892"/>
    <s v="Marco Taylor"/>
    <x v="1"/>
    <s v="South Africa"/>
    <x v="2"/>
    <x v="2"/>
    <x v="39"/>
    <n v="3"/>
    <n v="242.14"/>
    <n v="15"/>
    <n v="617.46"/>
    <n v="15.04"/>
    <n v="166.57"/>
    <x v="3"/>
    <n v="726.42"/>
    <n v="0.26976646260486509"/>
    <n v="632.5"/>
  </r>
  <r>
    <x v="1967"/>
    <x v="892"/>
    <s v="Xiao Johansson"/>
    <x v="2"/>
    <s v="Mexico"/>
    <x v="0"/>
    <x v="1"/>
    <x v="19"/>
    <n v="1"/>
    <n v="9.32"/>
    <n v="0"/>
    <n v="9.32"/>
    <n v="6.23"/>
    <n v="-1.1000000000000001"/>
    <x v="0"/>
    <n v="9.32"/>
    <n v="-0.11802575107296139"/>
    <n v="15.55"/>
  </r>
  <r>
    <x v="1968"/>
    <x v="893"/>
    <s v="Hanna Martinez"/>
    <x v="0"/>
    <s v="Germany"/>
    <x v="1"/>
    <x v="1"/>
    <x v="10"/>
    <n v="4"/>
    <n v="6.29"/>
    <n v="10"/>
    <n v="22.64"/>
    <n v="14.16"/>
    <n v="-2.84"/>
    <x v="1"/>
    <n v="25.16"/>
    <n v="-0.12544169611307421"/>
    <n v="36.799999999999997"/>
  </r>
  <r>
    <x v="1969"/>
    <x v="893"/>
    <s v="Noah Jones"/>
    <x v="1"/>
    <s v="Australia"/>
    <x v="3"/>
    <x v="1"/>
    <x v="2"/>
    <n v="2"/>
    <n v="14.78"/>
    <n v="0"/>
    <n v="29.56"/>
    <n v="12.49"/>
    <n v="3.77"/>
    <x v="1"/>
    <n v="29.56"/>
    <n v="0.12753721244925575"/>
    <n v="42.05"/>
  </r>
  <r>
    <x v="1970"/>
    <x v="893"/>
    <s v="Nadia Nilsson"/>
    <x v="0"/>
    <s v="South Korea"/>
    <x v="3"/>
    <x v="2"/>
    <x v="5"/>
    <n v="5"/>
    <n v="183.87"/>
    <n v="10"/>
    <n v="827.42"/>
    <n v="14.56"/>
    <n v="261.25"/>
    <x v="0"/>
    <n v="919.35"/>
    <n v="0.31574049454932201"/>
    <n v="841.9799999999999"/>
  </r>
  <r>
    <x v="1971"/>
    <x v="894"/>
    <s v="Ingrid Li"/>
    <x v="1"/>
    <s v="Spain"/>
    <x v="1"/>
    <x v="0"/>
    <x v="29"/>
    <n v="1"/>
    <n v="52.93"/>
    <n v="0"/>
    <n v="52.93"/>
    <n v="8.1300000000000008"/>
    <n v="15.69"/>
    <x v="1"/>
    <n v="52.93"/>
    <n v="0.29642924617419231"/>
    <n v="61.06"/>
  </r>
  <r>
    <x v="1972"/>
    <x v="894"/>
    <s v="Sophie Khan"/>
    <x v="1"/>
    <s v="Nigeria"/>
    <x v="2"/>
    <x v="0"/>
    <x v="31"/>
    <n v="5"/>
    <n v="68.790000000000006"/>
    <n v="0"/>
    <n v="343.95"/>
    <n v="20.77"/>
    <n v="134.01"/>
    <x v="0"/>
    <n v="343.95000000000005"/>
    <n v="0.3896205843872656"/>
    <n v="364.71999999999997"/>
  </r>
  <r>
    <x v="1973"/>
    <x v="895"/>
    <s v="Kenji Johnson"/>
    <x v="2"/>
    <s v="United States"/>
    <x v="0"/>
    <x v="0"/>
    <x v="28"/>
    <n v="10"/>
    <n v="26.45"/>
    <n v="0"/>
    <n v="264.5"/>
    <n v="23.7"/>
    <n v="95.32"/>
    <x v="2"/>
    <n v="264.5"/>
    <n v="0.36037807183364839"/>
    <n v="288.2"/>
  </r>
  <r>
    <x v="1974"/>
    <x v="896"/>
    <s v="Barbara Williams"/>
    <x v="0"/>
    <s v="Canada"/>
    <x v="0"/>
    <x v="3"/>
    <x v="27"/>
    <n v="3"/>
    <n v="54.8"/>
    <n v="10"/>
    <n v="147.96"/>
    <n v="10.130000000000001"/>
    <n v="55.63"/>
    <x v="3"/>
    <n v="164.39999999999998"/>
    <n v="0.37597999459313325"/>
    <n v="158.09"/>
  </r>
  <r>
    <x v="1975"/>
    <x v="896"/>
    <s v="Ingrid Suzuki"/>
    <x v="1"/>
    <s v="Italy"/>
    <x v="1"/>
    <x v="2"/>
    <x v="8"/>
    <n v="2"/>
    <n v="46.63"/>
    <n v="5"/>
    <n v="88.6"/>
    <n v="11.27"/>
    <n v="21.37"/>
    <x v="0"/>
    <n v="93.26"/>
    <n v="0.24119638826185105"/>
    <n v="99.86999999999999"/>
  </r>
  <r>
    <x v="1976"/>
    <x v="897"/>
    <s v="Elizabeth Fischer"/>
    <x v="2"/>
    <s v="Italy"/>
    <x v="1"/>
    <x v="0"/>
    <x v="0"/>
    <n v="1"/>
    <n v="223.52"/>
    <n v="20"/>
    <n v="178.82"/>
    <n v="8.19"/>
    <n v="47.69"/>
    <x v="0"/>
    <n v="223.52"/>
    <n v="0.26669276367296724"/>
    <n v="187.01"/>
  </r>
  <r>
    <x v="1977"/>
    <x v="897"/>
    <s v="Pierre Robinson"/>
    <x v="1"/>
    <s v="Mexico"/>
    <x v="0"/>
    <x v="3"/>
    <x v="9"/>
    <n v="1"/>
    <n v="63.87"/>
    <n v="20"/>
    <n v="51.1"/>
    <n v="6.15"/>
    <n v="13.02"/>
    <x v="2"/>
    <n v="63.87"/>
    <n v="0.25479452054794521"/>
    <n v="57.25"/>
  </r>
  <r>
    <x v="1978"/>
    <x v="898"/>
    <s v="Ingrid Zhang"/>
    <x v="0"/>
    <s v="Japan"/>
    <x v="3"/>
    <x v="0"/>
    <x v="31"/>
    <n v="2"/>
    <n v="130.38999999999999"/>
    <n v="15"/>
    <n v="221.66"/>
    <n v="10.61"/>
    <n v="67.62"/>
    <x v="2"/>
    <n v="260.77999999999997"/>
    <n v="0.30506180637011643"/>
    <n v="232.26999999999998"/>
  </r>
  <r>
    <x v="1979"/>
    <x v="898"/>
    <s v="Ali Jackson"/>
    <x v="1"/>
    <s v="Saudi Arabia"/>
    <x v="2"/>
    <x v="0"/>
    <x v="22"/>
    <n v="1"/>
    <n v="85.33"/>
    <n v="0"/>
    <n v="85.33"/>
    <n v="12.49"/>
    <n v="25.91"/>
    <x v="0"/>
    <n v="85.33"/>
    <n v="0.30364467362006331"/>
    <n v="97.82"/>
  </r>
  <r>
    <x v="1980"/>
    <x v="899"/>
    <s v="Carlos Thomas"/>
    <x v="1"/>
    <s v="France"/>
    <x v="1"/>
    <x v="2"/>
    <x v="32"/>
    <n v="2"/>
    <n v="70.680000000000007"/>
    <n v="15"/>
    <n v="120.16"/>
    <n v="9.93"/>
    <n v="25.41"/>
    <x v="3"/>
    <n v="141.36000000000001"/>
    <n v="0.21146804260985352"/>
    <n v="130.09"/>
  </r>
  <r>
    <x v="1981"/>
    <x v="899"/>
    <s v="Kenji Harris"/>
    <x v="1"/>
    <s v="France"/>
    <x v="1"/>
    <x v="3"/>
    <x v="13"/>
    <n v="5"/>
    <n v="55.45"/>
    <n v="15"/>
    <n v="235.66"/>
    <n v="16.489999999999998"/>
    <n v="80.55"/>
    <x v="3"/>
    <n v="277.25"/>
    <n v="0.34180599168293302"/>
    <n v="252.15"/>
  </r>
  <r>
    <x v="1982"/>
    <x v="899"/>
    <s v="Robert Sato"/>
    <x v="1"/>
    <s v="Canada"/>
    <x v="0"/>
    <x v="1"/>
    <x v="25"/>
    <n v="2"/>
    <n v="9.4499999999999993"/>
    <n v="15"/>
    <n v="16.059999999999999"/>
    <n v="9.31"/>
    <n v="-1.76"/>
    <x v="2"/>
    <n v="18.899999999999999"/>
    <n v="-0.10958904109589042"/>
    <n v="25.369999999999997"/>
  </r>
  <r>
    <x v="1983"/>
    <x v="900"/>
    <s v="Chen Taylor"/>
    <x v="2"/>
    <s v="India"/>
    <x v="3"/>
    <x v="0"/>
    <x v="1"/>
    <n v="1"/>
    <n v="83.9"/>
    <n v="15"/>
    <n v="71.31"/>
    <n v="11.12"/>
    <n v="14.04"/>
    <x v="1"/>
    <n v="83.9"/>
    <n v="0.19688683214135463"/>
    <n v="82.43"/>
  </r>
  <r>
    <x v="1984"/>
    <x v="900"/>
    <s v="Xiao Davis"/>
    <x v="1"/>
    <s v="Nigeria"/>
    <x v="2"/>
    <x v="3"/>
    <x v="26"/>
    <n v="4"/>
    <n v="30.28"/>
    <n v="0"/>
    <n v="121.12"/>
    <n v="16.89"/>
    <n v="43.67"/>
    <x v="1"/>
    <n v="121.12"/>
    <n v="0.36055151915455746"/>
    <n v="138.01"/>
  </r>
  <r>
    <x v="1985"/>
    <x v="901"/>
    <s v="Yuki Kim"/>
    <x v="1"/>
    <s v="UAE"/>
    <x v="2"/>
    <x v="0"/>
    <x v="0"/>
    <n v="1"/>
    <n v="101.37"/>
    <n v="15"/>
    <n v="86.16"/>
    <n v="13.18"/>
    <n v="17.23"/>
    <x v="2"/>
    <n v="101.37"/>
    <n v="0.19997678737233057"/>
    <n v="99.34"/>
  </r>
  <r>
    <x v="1986"/>
    <x v="901"/>
    <s v="Isabella Thomas"/>
    <x v="2"/>
    <s v="South Korea"/>
    <x v="3"/>
    <x v="3"/>
    <x v="11"/>
    <n v="5"/>
    <n v="88.14"/>
    <n v="10"/>
    <n v="396.63"/>
    <n v="15.38"/>
    <n v="160.9"/>
    <x v="2"/>
    <n v="440.7"/>
    <n v="0.40566775080049416"/>
    <n v="412.01"/>
  </r>
  <r>
    <x v="1987"/>
    <x v="902"/>
    <s v="Priya Thomas"/>
    <x v="2"/>
    <s v="Mexico"/>
    <x v="0"/>
    <x v="1"/>
    <x v="12"/>
    <n v="1"/>
    <n v="23.01"/>
    <n v="5"/>
    <n v="21.86"/>
    <n v="6.85"/>
    <n v="4.66"/>
    <x v="2"/>
    <n v="23.01"/>
    <n v="0.2131747483989021"/>
    <n v="28.71"/>
  </r>
  <r>
    <x v="1988"/>
    <x v="903"/>
    <s v="Ayumi Russo"/>
    <x v="1"/>
    <s v="Germany"/>
    <x v="1"/>
    <x v="0"/>
    <x v="35"/>
    <n v="1"/>
    <n v="48.39"/>
    <n v="15"/>
    <n v="41.13"/>
    <n v="8.9"/>
    <n v="5.62"/>
    <x v="1"/>
    <n v="48.39"/>
    <n v="0.13663992219790908"/>
    <n v="50.03"/>
  </r>
  <r>
    <x v="1989"/>
    <x v="903"/>
    <s v="Xiao Robinson"/>
    <x v="1"/>
    <s v="Brazil"/>
    <x v="4"/>
    <x v="3"/>
    <x v="13"/>
    <n v="1"/>
    <n v="77.11"/>
    <n v="5"/>
    <n v="73.25"/>
    <n v="12.16"/>
    <n v="22.54"/>
    <x v="2"/>
    <n v="77.11"/>
    <n v="0.30771331058020479"/>
    <n v="85.41"/>
  </r>
  <r>
    <x v="1990"/>
    <x v="904"/>
    <s v="Maria Leroy"/>
    <x v="1"/>
    <s v="Germany"/>
    <x v="1"/>
    <x v="3"/>
    <x v="9"/>
    <n v="7"/>
    <n v="61.68"/>
    <n v="10"/>
    <n v="388.58"/>
    <n v="24.46"/>
    <n v="148.24"/>
    <x v="3"/>
    <n v="431.76"/>
    <n v="0.38149158474445422"/>
    <n v="413.03999999999996"/>
  </r>
  <r>
    <x v="1991"/>
    <x v="904"/>
    <s v="Sophie Clark"/>
    <x v="1"/>
    <s v="Argentina"/>
    <x v="4"/>
    <x v="2"/>
    <x v="8"/>
    <n v="2"/>
    <n v="84.14"/>
    <n v="20"/>
    <n v="134.62"/>
    <n v="14.99"/>
    <n v="18.66"/>
    <x v="2"/>
    <n v="168.28"/>
    <n v="0.13861239043232804"/>
    <n v="149.61000000000001"/>
  </r>
  <r>
    <x v="1992"/>
    <x v="905"/>
    <s v="Elizabeth MÃ¼ller"/>
    <x v="2"/>
    <s v="Italy"/>
    <x v="1"/>
    <x v="2"/>
    <x v="36"/>
    <n v="5"/>
    <n v="204.17"/>
    <n v="5"/>
    <n v="969.81"/>
    <n v="18.46"/>
    <n v="338.84"/>
    <x v="2"/>
    <n v="1020.8499999999999"/>
    <n v="0.34938802445839906"/>
    <n v="988.27"/>
  </r>
  <r>
    <x v="1993"/>
    <x v="905"/>
    <s v="Hanna Leroy"/>
    <x v="1"/>
    <s v="Australia"/>
    <x v="3"/>
    <x v="1"/>
    <x v="23"/>
    <n v="1"/>
    <n v="15.08"/>
    <n v="10"/>
    <n v="13.57"/>
    <n v="11.07"/>
    <n v="-4.29"/>
    <x v="2"/>
    <n v="15.08"/>
    <n v="-0.31613854089904198"/>
    <n v="24.64"/>
  </r>
  <r>
    <x v="1994"/>
    <x v="905"/>
    <s v="Jennifer Oliveira"/>
    <x v="1"/>
    <s v="India"/>
    <x v="3"/>
    <x v="2"/>
    <x v="39"/>
    <n v="1"/>
    <n v="177.9"/>
    <n v="10"/>
    <n v="160.11000000000001"/>
    <n v="10.23"/>
    <n v="43.14"/>
    <x v="2"/>
    <n v="177.9"/>
    <n v="0.26943976016488663"/>
    <n v="170.34"/>
  </r>
  <r>
    <x v="1995"/>
    <x v="906"/>
    <s v="Linda Nilsson"/>
    <x v="1"/>
    <s v="France"/>
    <x v="1"/>
    <x v="2"/>
    <x v="8"/>
    <n v="5"/>
    <n v="104.73"/>
    <n v="0"/>
    <n v="523.65"/>
    <n v="19.100000000000001"/>
    <n v="190.36"/>
    <x v="2"/>
    <n v="523.65"/>
    <n v="0.36352525541869574"/>
    <n v="542.75"/>
  </r>
  <r>
    <x v="1996"/>
    <x v="906"/>
    <s v="Ayumi Dubois"/>
    <x v="1"/>
    <s v="France"/>
    <x v="1"/>
    <x v="3"/>
    <x v="27"/>
    <n v="11"/>
    <n v="59.27"/>
    <n v="5"/>
    <n v="619.37"/>
    <n v="20.94"/>
    <n v="272.44"/>
    <x v="2"/>
    <n v="651.97"/>
    <n v="0.43986631577247848"/>
    <n v="640.31000000000006"/>
  </r>
  <r>
    <x v="1997"/>
    <x v="906"/>
    <s v="Barbara Jones"/>
    <x v="1"/>
    <s v="Spain"/>
    <x v="1"/>
    <x v="0"/>
    <x v="3"/>
    <n v="6"/>
    <n v="31.79"/>
    <n v="15"/>
    <n v="162.13"/>
    <n v="15.19"/>
    <n v="42.03"/>
    <x v="3"/>
    <n v="190.74"/>
    <n v="0.25923641522235247"/>
    <n v="177.32"/>
  </r>
  <r>
    <x v="1998"/>
    <x v="906"/>
    <s v="Maria Suzuki"/>
    <x v="2"/>
    <s v="Spain"/>
    <x v="1"/>
    <x v="3"/>
    <x v="30"/>
    <n v="5"/>
    <n v="9.5"/>
    <n v="5"/>
    <n v="45.12"/>
    <n v="14.25"/>
    <n v="7.12"/>
    <x v="1"/>
    <n v="47.5"/>
    <n v="0.15780141843971632"/>
    <n v="59.37"/>
  </r>
  <r>
    <x v="1999"/>
    <x v="906"/>
    <s v="Susan Russo"/>
    <x v="2"/>
    <s v="South Korea"/>
    <x v="3"/>
    <x v="3"/>
    <x v="30"/>
    <n v="11"/>
    <n v="28.27"/>
    <n v="0"/>
    <n v="310.97000000000003"/>
    <n v="36.229999999999997"/>
    <n v="119.26"/>
    <x v="1"/>
    <n v="310.96999999999997"/>
    <n v="0.38350966331157343"/>
    <n v="347.20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3:B7" firstHeaderRow="1" firstDataRow="1" firstDataCol="1"/>
  <pivotFields count="20">
    <pivotField showAll="0"/>
    <pivotField numFmtId="14"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11" baseField="0" baseItem="0" numFmtId="1"/>
  </dataFields>
  <formats count="2">
    <format dxfId="17">
      <pivotArea outline="0" collapsedLevelsAreSubtotals="1" fieldPosition="0"/>
    </format>
    <format dxfId="16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2:B8" firstHeaderRow="1" firstDataRow="1" firstDataCol="1"/>
  <pivotFields count="20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sortType="descending">
      <items count="6">
        <item x="3"/>
        <item x="1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6">
    <i>
      <x v="1"/>
    </i>
    <i>
      <x v="3"/>
    </i>
    <i>
      <x/>
    </i>
    <i>
      <x v="4"/>
    </i>
    <i>
      <x v="2"/>
    </i>
    <i t="grand">
      <x/>
    </i>
  </rowItems>
  <colItems count="1">
    <i/>
  </colItems>
  <dataFields count="1">
    <dataField name="Sum of Total_Sales" fld="11" baseField="0" baseItem="0"/>
  </dataFields>
  <formats count="3">
    <format dxfId="15">
      <pivotArea collapsedLevelsAreSubtotals="1" fieldPosition="0">
        <references count="1">
          <reference field="5" count="0"/>
        </references>
      </pivotArea>
    </format>
    <format dxfId="14">
      <pivotArea grandRow="1" outline="0" collapsedLevelsAreSubtotals="1" fieldPosition="0"/>
    </format>
    <format dxfId="13">
      <pivotArea grandRow="1"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2:B7" firstHeaderRow="1" firstDataRow="1" firstDataCol="1"/>
  <pivotFields count="20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Profit" fld="13" baseField="0" baseItem="0" numFmtId="1"/>
  </dataFields>
  <formats count="2">
    <format dxfId="12">
      <pivotArea outline="0" collapsedLevelsAreSubtotals="1" fieldPosition="0"/>
    </format>
    <format dxfId="11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2:B54" firstHeaderRow="1" firstDataRow="1" firstDataCol="1"/>
  <pivotFields count="20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Row" showAll="0" sortType="ascending" defaultSubtotal="0">
      <items count="6">
        <item x="0"/>
        <item x="5"/>
        <item x="1"/>
        <item x="2"/>
        <item x="3"/>
        <item x="4"/>
      </items>
    </pivotField>
  </pivotFields>
  <rowFields count="3">
    <field x="19"/>
    <field x="18"/>
    <field x="1"/>
  </rowFields>
  <rowItems count="52"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4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Items count="1">
    <i/>
  </colItems>
  <dataFields count="1">
    <dataField name="Sum of Profit" fld="13" baseField="1" baseItem="3"/>
  </dataFields>
  <formats count="2">
    <format dxfId="10">
      <pivotArea outline="0" collapsedLevelsAreSubtotals="1" fieldPosition="0"/>
    </format>
    <format dxfId="9">
      <pivotArea outline="0" collapsedLevelsAreSubtotals="1" fieldPosition="0"/>
    </format>
  </formats>
  <chartFormats count="3"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2:B13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axis="axisRow" showAll="0" measureFilter="1" sortType="descending">
      <items count="41">
        <item x="25"/>
        <item x="2"/>
        <item x="5"/>
        <item x="13"/>
        <item x="24"/>
        <item x="14"/>
        <item x="27"/>
        <item x="20"/>
        <item x="34"/>
        <item x="15"/>
        <item x="39"/>
        <item x="21"/>
        <item x="8"/>
        <item x="38"/>
        <item x="7"/>
        <item x="33"/>
        <item x="9"/>
        <item x="1"/>
        <item x="36"/>
        <item x="32"/>
        <item x="31"/>
        <item x="10"/>
        <item x="37"/>
        <item x="22"/>
        <item x="6"/>
        <item x="26"/>
        <item x="18"/>
        <item x="30"/>
        <item x="4"/>
        <item x="23"/>
        <item x="19"/>
        <item x="29"/>
        <item x="12"/>
        <item x="11"/>
        <item x="28"/>
        <item x="3"/>
        <item x="17"/>
        <item x="0"/>
        <item x="3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7"/>
  </rowFields>
  <rowItems count="11">
    <i>
      <x v="28"/>
    </i>
    <i>
      <x v="9"/>
    </i>
    <i>
      <x v="5"/>
    </i>
    <i>
      <x v="18"/>
    </i>
    <i>
      <x v="37"/>
    </i>
    <i>
      <x v="17"/>
    </i>
    <i>
      <x v="10"/>
    </i>
    <i>
      <x v="12"/>
    </i>
    <i>
      <x v="23"/>
    </i>
    <i>
      <x v="2"/>
    </i>
    <i t="grand">
      <x/>
    </i>
  </rowItems>
  <colItems count="1">
    <i/>
  </colItems>
  <dataFields count="1">
    <dataField name="Sum of Total_Sales" fld="11" baseField="0" baseItem="0" numFmtId="1"/>
  </dataFields>
  <formats count="2">
    <format dxfId="8">
      <pivotArea outline="0" collapsedLevelsAreSubtotals="1" fieldPosition="0"/>
    </format>
    <format dxfId="7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2:B7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defaultSubtotal="0"/>
    <pivotField showAll="0" defaultSubtotal="0"/>
  </pivotFields>
  <rowFields count="1">
    <field x="14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Total_Sales" fld="11" baseField="0" baseItem="0" numFmtId="1"/>
  </dataFields>
  <formats count="2">
    <format dxfId="6">
      <pivotArea outline="0" collapsedLevelsAreSubtotals="1" fieldPosition="0"/>
    </format>
    <format dxfId="5">
      <pivotArea outline="0" collapsedLevelsAreSubtotals="1" fieldPosition="0"/>
    </format>
  </format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A3:B2004" firstHeaderRow="1" firstDataRow="1" firstDataCol="1"/>
  <pivotFields count="20">
    <pivotField axis="axisRow" showAll="0">
      <items count="2001">
        <item x="351"/>
        <item x="1538"/>
        <item x="313"/>
        <item x="713"/>
        <item x="757"/>
        <item x="826"/>
        <item x="524"/>
        <item x="306"/>
        <item x="403"/>
        <item x="670"/>
        <item x="1119"/>
        <item x="966"/>
        <item x="1924"/>
        <item x="1221"/>
        <item x="321"/>
        <item x="904"/>
        <item x="42"/>
        <item x="1033"/>
        <item x="1866"/>
        <item x="132"/>
        <item x="1154"/>
        <item x="1354"/>
        <item x="408"/>
        <item x="314"/>
        <item x="244"/>
        <item x="1321"/>
        <item x="1505"/>
        <item x="1735"/>
        <item x="1304"/>
        <item x="377"/>
        <item x="728"/>
        <item x="712"/>
        <item x="1630"/>
        <item x="855"/>
        <item x="1396"/>
        <item x="1692"/>
        <item x="1750"/>
        <item x="1176"/>
        <item x="1541"/>
        <item x="786"/>
        <item x="580"/>
        <item x="275"/>
        <item x="561"/>
        <item x="594"/>
        <item x="348"/>
        <item x="1265"/>
        <item x="1782"/>
        <item x="1244"/>
        <item x="878"/>
        <item x="1116"/>
        <item x="714"/>
        <item x="672"/>
        <item x="1762"/>
        <item x="549"/>
        <item x="1075"/>
        <item x="874"/>
        <item x="848"/>
        <item x="1045"/>
        <item x="914"/>
        <item x="1930"/>
        <item x="1220"/>
        <item x="1915"/>
        <item x="471"/>
        <item x="806"/>
        <item x="1695"/>
        <item x="1024"/>
        <item x="706"/>
        <item x="1836"/>
        <item x="243"/>
        <item x="122"/>
        <item x="162"/>
        <item x="877"/>
        <item x="1278"/>
        <item x="1327"/>
        <item x="831"/>
        <item x="1124"/>
        <item x="1980"/>
        <item x="813"/>
        <item x="1386"/>
        <item x="1488"/>
        <item x="1533"/>
        <item x="858"/>
        <item x="310"/>
        <item x="780"/>
        <item x="475"/>
        <item x="1907"/>
        <item x="1451"/>
        <item x="1195"/>
        <item x="1679"/>
        <item x="330"/>
        <item x="177"/>
        <item x="815"/>
        <item x="1259"/>
        <item x="1681"/>
        <item x="996"/>
        <item x="1965"/>
        <item x="1846"/>
        <item x="60"/>
        <item x="1837"/>
        <item x="718"/>
        <item x="1662"/>
        <item x="194"/>
        <item x="138"/>
        <item x="902"/>
        <item x="216"/>
        <item x="1129"/>
        <item x="318"/>
        <item x="1069"/>
        <item x="605"/>
        <item x="719"/>
        <item x="1770"/>
        <item x="311"/>
        <item x="95"/>
        <item x="268"/>
        <item x="1698"/>
        <item x="698"/>
        <item x="931"/>
        <item x="1723"/>
        <item x="1153"/>
        <item x="1231"/>
        <item x="971"/>
        <item x="1572"/>
        <item x="1472"/>
        <item x="111"/>
        <item x="1854"/>
        <item x="643"/>
        <item x="651"/>
        <item x="466"/>
        <item x="238"/>
        <item x="1928"/>
        <item x="1006"/>
        <item x="139"/>
        <item x="1776"/>
        <item x="1279"/>
        <item x="1527"/>
        <item x="1423"/>
        <item x="483"/>
        <item x="1013"/>
        <item x="1892"/>
        <item x="1078"/>
        <item x="1121"/>
        <item x="1971"/>
        <item x="207"/>
        <item x="965"/>
        <item x="1767"/>
        <item x="263"/>
        <item x="880"/>
        <item x="1483"/>
        <item x="656"/>
        <item x="1238"/>
        <item x="1239"/>
        <item x="691"/>
        <item x="420"/>
        <item x="790"/>
        <item x="1963"/>
        <item x="750"/>
        <item x="935"/>
        <item x="1542"/>
        <item x="1420"/>
        <item x="1281"/>
        <item x="1652"/>
        <item x="1174"/>
        <item x="1574"/>
        <item x="1743"/>
        <item x="745"/>
        <item x="1764"/>
        <item x="871"/>
        <item x="1177"/>
        <item x="894"/>
        <item x="1803"/>
        <item x="834"/>
        <item x="1502"/>
        <item x="1956"/>
        <item x="1083"/>
        <item x="1856"/>
        <item x="165"/>
        <item x="253"/>
        <item x="1282"/>
        <item x="1812"/>
        <item x="564"/>
        <item x="1587"/>
        <item x="284"/>
        <item x="618"/>
        <item x="1102"/>
        <item x="1765"/>
        <item x="1972"/>
        <item x="1489"/>
        <item x="1992"/>
        <item x="609"/>
        <item x="1931"/>
        <item x="1516"/>
        <item x="1672"/>
        <item x="1224"/>
        <item x="1578"/>
        <item x="1807"/>
        <item x="484"/>
        <item x="646"/>
        <item x="1490"/>
        <item x="624"/>
        <item x="1627"/>
        <item x="414"/>
        <item x="199"/>
        <item x="492"/>
        <item x="1808"/>
        <item x="1687"/>
        <item x="1579"/>
        <item x="163"/>
        <item x="1091"/>
        <item x="1580"/>
        <item x="476"/>
        <item x="525"/>
        <item x="289"/>
        <item x="1030"/>
        <item x="1832"/>
        <item x="1342"/>
        <item x="1862"/>
        <item x="1206"/>
        <item x="658"/>
        <item x="416"/>
        <item x="616"/>
        <item x="1738"/>
        <item x="991"/>
        <item x="1131"/>
        <item x="892"/>
        <item x="356"/>
        <item x="1705"/>
        <item x="950"/>
        <item x="365"/>
        <item x="1103"/>
        <item x="652"/>
        <item x="469"/>
        <item x="1644"/>
        <item x="100"/>
        <item x="1766"/>
        <item x="1783"/>
        <item x="841"/>
        <item x="648"/>
        <item x="1821"/>
        <item x="1262"/>
        <item x="344"/>
        <item x="1317"/>
        <item x="112"/>
        <item x="1243"/>
        <item x="1509"/>
        <item x="1066"/>
        <item x="107"/>
        <item x="1421"/>
        <item x="1059"/>
        <item x="1355"/>
        <item x="820"/>
        <item x="1864"/>
        <item x="143"/>
        <item x="1007"/>
        <item x="366"/>
        <item x="1458"/>
        <item x="69"/>
        <item x="980"/>
        <item x="1133"/>
        <item x="1331"/>
        <item x="1301"/>
        <item x="981"/>
        <item x="1114"/>
        <item x="1023"/>
        <item x="1463"/>
        <item x="708"/>
        <item x="332"/>
        <item x="1543"/>
        <item x="1976"/>
        <item x="1796"/>
        <item x="1601"/>
        <item x="12"/>
        <item x="1957"/>
        <item x="766"/>
        <item x="168"/>
        <item x="985"/>
        <item x="1950"/>
        <item x="386"/>
        <item x="962"/>
        <item x="25"/>
        <item x="1693"/>
        <item x="357"/>
        <item x="1777"/>
        <item x="326"/>
        <item x="1838"/>
        <item x="1656"/>
        <item x="1104"/>
        <item x="1742"/>
        <item x="596"/>
        <item x="1511"/>
        <item x="1778"/>
        <item x="903"/>
        <item x="740"/>
        <item x="1523"/>
        <item x="1037"/>
        <item x="802"/>
        <item x="1137"/>
        <item x="725"/>
        <item x="467"/>
        <item x="1813"/>
        <item x="1461"/>
        <item x="404"/>
        <item x="938"/>
        <item x="1911"/>
        <item x="1607"/>
        <item x="824"/>
        <item x="157"/>
        <item x="1745"/>
        <item x="1364"/>
        <item x="769"/>
        <item x="1714"/>
        <item x="1031"/>
        <item x="1139"/>
        <item x="1794"/>
        <item x="61"/>
        <item x="1056"/>
        <item x="542"/>
        <item x="1405"/>
        <item x="653"/>
        <item x="1795"/>
        <item x="421"/>
        <item x="460"/>
        <item x="62"/>
        <item x="678"/>
        <item x="1539"/>
        <item x="2"/>
        <item x="336"/>
        <item x="1945"/>
        <item x="1561"/>
        <item x="1118"/>
        <item x="180"/>
        <item x="1447"/>
        <item x="837"/>
        <item x="1925"/>
        <item x="1688"/>
        <item x="915"/>
        <item x="229"/>
        <item x="1443"/>
        <item x="735"/>
        <item x="17"/>
        <item x="1015"/>
        <item x="430"/>
        <item x="865"/>
        <item x="472"/>
        <item x="26"/>
        <item x="933"/>
        <item x="734"/>
        <item x="536"/>
        <item x="1430"/>
        <item x="271"/>
        <item x="569"/>
        <item x="1753"/>
        <item x="1954"/>
        <item x="1951"/>
        <item x="835"/>
        <item x="872"/>
        <item x="387"/>
        <item x="1615"/>
        <item x="273"/>
        <item x="905"/>
        <item x="576"/>
        <item x="859"/>
        <item x="568"/>
        <item x="372"/>
        <item x="921"/>
        <item x="581"/>
        <item x="866"/>
        <item x="388"/>
        <item x="1810"/>
        <item x="1729"/>
        <item x="1099"/>
        <item x="1514"/>
        <item x="1990"/>
        <item x="875"/>
        <item x="49"/>
        <item x="566"/>
        <item x="256"/>
        <item x="191"/>
        <item x="1978"/>
        <item x="792"/>
        <item x="488"/>
        <item x="302"/>
        <item x="540"/>
        <item x="40"/>
        <item x="57"/>
        <item x="992"/>
        <item x="1784"/>
        <item x="1424"/>
        <item x="1016"/>
        <item x="1215"/>
        <item x="1582"/>
        <item x="1171"/>
        <item x="89"/>
        <item x="1733"/>
        <item x="794"/>
        <item x="141"/>
        <item x="895"/>
        <item x="1715"/>
        <item x="493"/>
        <item x="448"/>
        <item x="1240"/>
        <item x="1245"/>
        <item x="18"/>
        <item x="1077"/>
        <item x="315"/>
        <item x="1216"/>
        <item x="1575"/>
        <item x="842"/>
        <item x="32"/>
        <item x="659"/>
        <item x="1718"/>
        <item x="219"/>
        <item x="1148"/>
        <item x="742"/>
        <item x="1921"/>
        <item x="1232"/>
        <item x="1175"/>
        <item x="518"/>
        <item x="367"/>
        <item x="1988"/>
        <item x="838"/>
        <item x="486"/>
        <item x="235"/>
        <item x="1588"/>
        <item x="333"/>
        <item x="785"/>
        <item x="1105"/>
        <item x="182"/>
        <item x="1608"/>
        <item x="537"/>
        <item x="673"/>
        <item x="1858"/>
        <item x="297"/>
        <item x="1225"/>
        <item x="178"/>
        <item x="41"/>
        <item x="1272"/>
        <item x="763"/>
        <item x="849"/>
        <item x="660"/>
        <item x="722"/>
        <item x="926"/>
        <item x="468"/>
        <item x="1187"/>
        <item x="1422"/>
        <item x="922"/>
        <item x="10"/>
        <item x="434"/>
        <item x="1051"/>
        <item x="1188"/>
        <item x="144"/>
        <item x="1737"/>
        <item x="209"/>
        <item x="1191"/>
        <item x="625"/>
        <item x="515"/>
        <item x="867"/>
        <item x="415"/>
        <item x="1748"/>
        <item x="360"/>
        <item x="832"/>
        <item x="538"/>
        <item x="200"/>
        <item x="829"/>
        <item x="795"/>
        <item x="1673"/>
        <item x="1108"/>
        <item x="3"/>
        <item x="189"/>
        <item x="1254"/>
        <item x="1558"/>
        <item x="703"/>
        <item x="1938"/>
        <item x="72"/>
        <item x="638"/>
        <item x="1034"/>
        <item x="687"/>
        <item x="1706"/>
        <item x="545"/>
        <item x="1651"/>
        <item x="293"/>
        <item x="1402"/>
        <item x="1563"/>
        <item x="298"/>
        <item x="1092"/>
        <item x="1524"/>
        <item x="1752"/>
        <item x="592"/>
        <item x="619"/>
        <item x="499"/>
        <item x="1525"/>
        <item x="1270"/>
        <item x="1567"/>
        <item x="1090"/>
        <item x="1290"/>
        <item x="639"/>
        <item x="373"/>
        <item x="1333"/>
        <item x="707"/>
        <item x="530"/>
        <item x="443"/>
        <item x="1785"/>
        <item x="1849"/>
        <item x="743"/>
        <item x="1149"/>
        <item x="1797"/>
        <item x="1378"/>
        <item x="1576"/>
        <item x="634"/>
        <item x="1379"/>
        <item x="744"/>
        <item x="324"/>
        <item x="1140"/>
        <item x="975"/>
        <item x="556"/>
        <item x="860"/>
        <item x="999"/>
        <item x="1144"/>
        <item x="1943"/>
        <item x="1414"/>
        <item x="1161"/>
        <item x="120"/>
        <item x="1638"/>
        <item x="1164"/>
        <item x="582"/>
        <item x="497"/>
        <item x="1666"/>
        <item x="70"/>
        <item x="550"/>
        <item x="746"/>
        <item x="541"/>
        <item x="770"/>
        <item x="158"/>
        <item x="1257"/>
        <item x="1583"/>
        <item x="1623"/>
        <item x="1788"/>
        <item x="771"/>
        <item x="1427"/>
        <item x="1217"/>
        <item x="1185"/>
        <item x="1454"/>
        <item x="1809"/>
        <item x="1266"/>
        <item x="1088"/>
        <item x="322"/>
        <item x="281"/>
        <item x="946"/>
        <item x="1791"/>
        <item x="704"/>
        <item x="411"/>
        <item x="176"/>
        <item x="1800"/>
        <item x="1660"/>
        <item x="473"/>
        <item x="1773"/>
        <item x="951"/>
        <item x="942"/>
        <item x="389"/>
        <item x="571"/>
        <item x="19"/>
        <item x="506"/>
        <item x="232"/>
        <item x="1070"/>
        <item x="1633"/>
        <item x="1903"/>
        <item x="1876"/>
        <item x="1258"/>
        <item x="516"/>
        <item x="276"/>
        <item x="1624"/>
        <item x="417"/>
        <item x="1946"/>
        <item x="777"/>
        <item x="478"/>
        <item x="843"/>
        <item x="449"/>
        <item x="1985"/>
        <item x="156"/>
        <item x="531"/>
        <item x="1178"/>
        <item x="982"/>
        <item x="898"/>
        <item x="1562"/>
        <item x="923"/>
        <item x="1431"/>
        <item x="1000"/>
        <item x="649"/>
        <item x="1307"/>
        <item x="27"/>
        <item x="1019"/>
        <item x="661"/>
        <item x="1987"/>
        <item x="1929"/>
        <item x="83"/>
        <item x="916"/>
        <item x="1653"/>
        <item x="1591"/>
        <item x="1680"/>
        <item x="35"/>
        <item x="461"/>
        <item x="1353"/>
        <item x="1267"/>
        <item x="1683"/>
        <item x="1372"/>
        <item x="101"/>
        <item x="504"/>
        <item x="215"/>
        <item x="1063"/>
        <item x="213"/>
        <item x="1746"/>
        <item x="1376"/>
        <item x="1573"/>
        <item x="1067"/>
        <item x="917"/>
        <item x="1464"/>
        <item x="850"/>
        <item x="1617"/>
        <item x="1534"/>
        <item x="1417"/>
        <item x="109"/>
        <item x="1207"/>
        <item x="1595"/>
        <item x="211"/>
        <item x="1287"/>
        <item x="327"/>
        <item x="1503"/>
        <item x="1717"/>
        <item x="1786"/>
        <item x="1064"/>
        <item x="1634"/>
        <item x="911"/>
        <item x="622"/>
        <item x="1233"/>
        <item x="1500"/>
        <item x="482"/>
        <item x="37"/>
        <item x="129"/>
        <item x="1226"/>
        <item x="1635"/>
        <item x="861"/>
        <item x="994"/>
        <item x="65"/>
        <item x="1771"/>
        <item x="1365"/>
        <item x="1292"/>
        <item x="96"/>
        <item x="1398"/>
        <item x="1122"/>
        <item x="1820"/>
        <item x="679"/>
        <item x="380"/>
        <item x="204"/>
        <item x="1789"/>
        <item x="1315"/>
        <item x="1349"/>
        <item x="1647"/>
        <item x="1400"/>
        <item x="626"/>
        <item x="1203"/>
        <item x="799"/>
        <item x="295"/>
        <item x="709"/>
        <item x="1155"/>
        <item x="1001"/>
        <item x="807"/>
        <item x="1293"/>
        <item x="185"/>
        <item x="1336"/>
        <item x="1255"/>
        <item x="1722"/>
        <item x="1768"/>
        <item x="692"/>
        <item x="676"/>
        <item x="285"/>
        <item x="1991"/>
        <item x="126"/>
        <item x="593"/>
        <item x="1904"/>
        <item x="1484"/>
        <item x="362"/>
        <item x="338"/>
        <item x="1908"/>
        <item x="1700"/>
        <item x="1478"/>
        <item x="1564"/>
        <item x="20"/>
        <item x="808"/>
        <item x="418"/>
        <item x="1801"/>
        <item x="1283"/>
        <item x="983"/>
        <item x="1545"/>
        <item x="1196"/>
        <item x="38"/>
        <item x="697"/>
        <item x="546"/>
        <item x="1117"/>
        <item x="1528"/>
        <item x="1339"/>
        <item x="294"/>
        <item x="1273"/>
        <item x="1343"/>
        <item x="202"/>
        <item x="1448"/>
        <item x="787"/>
        <item x="761"/>
        <item x="1192"/>
        <item x="751"/>
        <item x="677"/>
        <item x="233"/>
        <item x="39"/>
        <item x="287"/>
        <item x="445"/>
        <item x="1039"/>
        <item x="1234"/>
        <item x="1040"/>
        <item x="543"/>
        <item x="680"/>
        <item x="1822"/>
        <item x="55"/>
        <item x="881"/>
        <item x="239"/>
        <item x="1968"/>
        <item x="650"/>
        <item x="572"/>
        <item x="257"/>
        <item x="259"/>
        <item x="876"/>
        <item x="1859"/>
        <item x="1391"/>
        <item x="1863"/>
        <item x="868"/>
        <item x="1852"/>
        <item x="937"/>
        <item x="1626"/>
        <item x="22"/>
        <item x="381"/>
        <item x="405"/>
        <item x="1744"/>
        <item x="1667"/>
        <item x="1299"/>
        <item x="1288"/>
        <item x="1855"/>
        <item x="124"/>
        <item x="50"/>
        <item x="1707"/>
        <item x="296"/>
        <item x="1052"/>
        <item x="1920"/>
        <item x="500"/>
        <item x="1425"/>
        <item x="454"/>
        <item x="563"/>
        <item x="793"/>
        <item x="354"/>
        <item x="1510"/>
        <item x="557"/>
        <item x="1905"/>
        <item x="1294"/>
        <item x="1966"/>
        <item x="1308"/>
        <item x="1581"/>
        <item x="1727"/>
        <item x="1548"/>
        <item x="1208"/>
        <item x="1989"/>
        <item x="1141"/>
        <item x="800"/>
        <item x="181"/>
        <item x="1712"/>
        <item x="1759"/>
        <item x="260"/>
        <item x="1912"/>
        <item x="1445"/>
        <item x="699"/>
        <item x="1628"/>
        <item x="1599"/>
        <item x="1466"/>
        <item x="610"/>
        <item x="36"/>
        <item x="1740"/>
        <item x="1674"/>
        <item x="396"/>
        <item x="1589"/>
        <item x="1227"/>
        <item x="1042"/>
        <item x="47"/>
        <item x="288"/>
        <item x="1555"/>
        <item x="918"/>
        <item x="511"/>
        <item x="299"/>
        <item x="14"/>
        <item x="1228"/>
        <item x="567"/>
        <item x="900"/>
        <item x="1618"/>
        <item x="1754"/>
        <item x="1025"/>
        <item x="1730"/>
        <item x="559"/>
        <item x="1374"/>
        <item x="1462"/>
        <item x="864"/>
        <item x="1366"/>
        <item x="809"/>
        <item x="1329"/>
        <item x="1318"/>
        <item x="1853"/>
        <item x="1041"/>
        <item x="554"/>
        <item x="1284"/>
        <item x="810"/>
        <item x="1382"/>
        <item x="1305"/>
        <item x="248"/>
        <item x="254"/>
        <item x="1061"/>
        <item x="747"/>
        <item x="400"/>
        <item x="150"/>
        <item x="957"/>
        <item x="1995"/>
        <item x="1003"/>
        <item x="662"/>
        <item x="197"/>
        <item x="654"/>
        <item x="203"/>
        <item x="1645"/>
        <item x="1241"/>
        <item x="1902"/>
        <item x="803"/>
        <item x="1165"/>
        <item x="1649"/>
        <item x="889"/>
        <item x="1828"/>
        <item x="79"/>
        <item x="375"/>
        <item x="1897"/>
        <item x="169"/>
        <item x="764"/>
        <item x="368"/>
        <item x="87"/>
        <item x="501"/>
        <item x="240"/>
        <item x="23"/>
        <item x="9"/>
        <item x="1084"/>
        <item x="1540"/>
        <item x="1805"/>
        <item x="1568"/>
        <item x="384"/>
        <item x="208"/>
        <item x="1508"/>
        <item x="80"/>
        <item x="1515"/>
        <item x="1093"/>
        <item x="1883"/>
        <item x="1655"/>
        <item x="282"/>
        <item x="125"/>
        <item x="1779"/>
        <item x="130"/>
        <item x="1947"/>
        <item x="1222"/>
        <item x="701"/>
        <item x="1028"/>
        <item x="1017"/>
        <item x="756"/>
        <item x="1622"/>
        <item x="1166"/>
        <item x="431"/>
        <item x="1393"/>
        <item x="116"/>
        <item x="1684"/>
        <item x="278"/>
        <item x="1162"/>
        <item x="715"/>
        <item x="1134"/>
        <item x="693"/>
        <item x="479"/>
        <item x="947"/>
        <item x="765"/>
        <item x="952"/>
        <item x="361"/>
        <item x="1619"/>
        <item x="135"/>
        <item x="1958"/>
        <item x="1432"/>
        <item x="1823"/>
        <item x="463"/>
        <item x="92"/>
        <item x="767"/>
        <item x="1436"/>
        <item x="1689"/>
        <item x="1996"/>
        <item x="943"/>
        <item x="927"/>
        <item x="1319"/>
        <item x="885"/>
        <item x="1094"/>
        <item x="1913"/>
        <item x="159"/>
        <item x="331"/>
        <item x="1410"/>
        <item x="1459"/>
        <item x="102"/>
        <item x="446"/>
        <item x="1012"/>
        <item x="1038"/>
        <item x="1529"/>
        <item x="1197"/>
        <item x="1701"/>
        <item x="1646"/>
        <item x="113"/>
        <item x="78"/>
        <item x="393"/>
        <item x="1817"/>
        <item x="1043"/>
        <item x="464"/>
        <item x="1922"/>
        <item x="1961"/>
        <item x="729"/>
        <item x="1218"/>
        <item x="683"/>
        <item x="480"/>
        <item x="412"/>
        <item x="720"/>
        <item x="1080"/>
        <item x="1839"/>
        <item x="1120"/>
        <item x="574"/>
        <item x="1933"/>
        <item x="1696"/>
        <item x="736"/>
        <item x="912"/>
        <item x="241"/>
        <item x="1981"/>
        <item x="1181"/>
        <item x="1792"/>
        <item x="223"/>
        <item x="237"/>
        <item x="1969"/>
        <item x="1204"/>
        <item x="345"/>
        <item x="1565"/>
        <item x="755"/>
        <item x="1323"/>
        <item x="342"/>
        <item x="48"/>
        <item x="758"/>
        <item x="382"/>
        <item x="119"/>
        <item x="397"/>
        <item x="462"/>
        <item x="811"/>
        <item x="1935"/>
        <item x="730"/>
        <item x="1670"/>
        <item x="1798"/>
        <item x="323"/>
        <item x="681"/>
        <item x="1962"/>
        <item x="816"/>
        <item x="1755"/>
        <item x="1497"/>
        <item x="1302"/>
        <item x="30"/>
        <item x="1268"/>
        <item x="1337"/>
        <item x="1888"/>
        <item x="1802"/>
        <item x="1332"/>
        <item x="1592"/>
        <item x="1326"/>
        <item x="1450"/>
        <item x="305"/>
        <item x="579"/>
        <item x="247"/>
        <item x="358"/>
        <item x="1829"/>
        <item x="1512"/>
        <item x="960"/>
        <item x="465"/>
        <item x="1725"/>
        <item x="1757"/>
        <item x="1433"/>
        <item x="1150"/>
        <item x="906"/>
        <item x="1486"/>
        <item x="818"/>
        <item x="584"/>
        <item x="1367"/>
        <item x="1297"/>
        <item x="1657"/>
        <item x="339"/>
        <item x="494"/>
        <item x="1115"/>
        <item x="1145"/>
        <item x="152"/>
        <item x="1387"/>
        <item x="153"/>
        <item x="1491"/>
        <item x="1663"/>
        <item x="1437"/>
        <item x="123"/>
        <item x="140"/>
        <item x="195"/>
        <item x="1973"/>
        <item x="1870"/>
        <item x="66"/>
        <item x="1690"/>
        <item x="1593"/>
        <item x="1546"/>
        <item x="710"/>
        <item x="1675"/>
        <item x="1403"/>
        <item x="1156"/>
        <item x="304"/>
        <item x="657"/>
        <item x="908"/>
        <item x="1629"/>
        <item x="1085"/>
        <item x="1833"/>
        <item x="869"/>
        <item x="29"/>
        <item x="1485"/>
        <item x="1893"/>
        <item x="28"/>
        <item x="439"/>
        <item x="269"/>
        <item x="1639"/>
        <item x="700"/>
        <item x="1979"/>
        <item x="34"/>
        <item x="1324"/>
        <item x="1193"/>
        <item x="551"/>
        <item x="1247"/>
        <item x="1799"/>
        <item x="1519"/>
        <item x="1356"/>
        <item x="1263"/>
        <item x="1804"/>
        <item x="224"/>
        <item x="1774"/>
        <item x="723"/>
        <item x="264"/>
        <item x="1032"/>
        <item x="1605"/>
        <item x="1841"/>
        <item x="1824"/>
        <item x="821"/>
        <item x="1186"/>
        <item x="1818"/>
        <item x="1368"/>
        <item x="1469"/>
        <item x="1098"/>
        <item x="752"/>
        <item x="261"/>
        <item x="334"/>
        <item x="521"/>
        <item x="1691"/>
        <item x="127"/>
        <item x="81"/>
        <item x="166"/>
        <item x="1289"/>
        <item x="290"/>
        <item x="539"/>
        <item x="394"/>
        <item x="1806"/>
        <item x="1682"/>
        <item x="1097"/>
        <item x="932"/>
        <item x="1761"/>
        <item x="1556"/>
        <item x="312"/>
        <item x="1498"/>
        <item x="171"/>
        <item x="255"/>
        <item x="1826"/>
        <item x="71"/>
        <item x="1322"/>
        <item x="959"/>
        <item x="398"/>
        <item x="1763"/>
        <item x="1760"/>
        <item x="145"/>
        <item x="1479"/>
        <item x="133"/>
        <item x="505"/>
        <item x="1142"/>
        <item x="514"/>
        <item x="1058"/>
        <item x="1708"/>
        <item x="1834"/>
        <item x="1612"/>
        <item x="328"/>
        <item x="972"/>
        <item x="307"/>
        <item x="788"/>
        <item x="1909"/>
        <item x="258"/>
        <item x="886"/>
        <item x="1613"/>
        <item x="825"/>
        <item x="694"/>
        <item x="862"/>
        <item x="562"/>
        <item x="620"/>
        <item x="587"/>
        <item x="1728"/>
        <item x="1264"/>
        <item x="1664"/>
        <item x="1361"/>
        <item x="1600"/>
        <item x="606"/>
        <item x="1710"/>
        <item x="1881"/>
        <item x="1397"/>
        <item x="0"/>
        <item x="1362"/>
        <item x="1936"/>
        <item x="1089"/>
        <item x="1878"/>
        <item x="1473"/>
        <item x="1470"/>
        <item x="24"/>
        <item x="1320"/>
        <item x="1814"/>
        <item x="1917"/>
        <item x="1062"/>
        <item x="270"/>
        <item x="1609"/>
        <item x="108"/>
        <item x="1151"/>
        <item x="517"/>
        <item x="1363"/>
        <item x="726"/>
        <item x="1749"/>
        <item x="827"/>
        <item x="1002"/>
        <item x="773"/>
        <item x="893"/>
        <item x="1899"/>
        <item x="1213"/>
        <item x="668"/>
        <item x="1997"/>
        <item x="225"/>
        <item x="1676"/>
        <item x="1939"/>
        <item x="896"/>
        <item x="1020"/>
        <item x="316"/>
        <item x="265"/>
        <item x="136"/>
        <item x="1474"/>
        <item x="52"/>
        <item x="702"/>
        <item x="909"/>
        <item x="427"/>
        <item x="6"/>
        <item x="1932"/>
        <item x="928"/>
        <item x="1014"/>
        <item x="1416"/>
        <item x="340"/>
        <item x="1977"/>
        <item x="378"/>
        <item x="1198"/>
        <item x="836"/>
        <item x="1934"/>
        <item x="919"/>
        <item x="782"/>
        <item x="93"/>
        <item x="1713"/>
        <item x="578"/>
        <item x="379"/>
        <item x="778"/>
        <item x="1726"/>
        <item x="489"/>
        <item x="319"/>
        <item x="1926"/>
        <item x="115"/>
        <item x="1620"/>
        <item x="1053"/>
        <item x="663"/>
        <item x="953"/>
        <item x="984"/>
        <item x="1480"/>
        <item x="440"/>
        <item x="1850"/>
        <item x="1446"/>
        <item x="1350"/>
        <item x="1313"/>
        <item x="75"/>
        <item x="1861"/>
        <item x="870"/>
        <item x="352"/>
        <item x="1825"/>
        <item x="1842"/>
        <item x="103"/>
        <item x="1026"/>
        <item x="196"/>
        <item x="91"/>
        <item x="1530"/>
        <item x="1252"/>
        <item x="716"/>
        <item x="1167"/>
        <item x="526"/>
        <item x="1271"/>
        <item x="184"/>
        <item x="1677"/>
        <item x="1694"/>
        <item x="1860"/>
        <item x="519"/>
        <item x="106"/>
        <item x="56"/>
        <item x="1475"/>
        <item x="43"/>
        <item x="1440"/>
        <item x="1914"/>
        <item x="1236"/>
        <item x="188"/>
        <item x="988"/>
        <item x="502"/>
        <item x="222"/>
        <item x="1147"/>
        <item x="349"/>
        <item x="1830"/>
        <item x="148"/>
        <item x="1857"/>
        <item x="640"/>
        <item x="407"/>
        <item x="1577"/>
        <item x="1341"/>
        <item x="44"/>
        <item x="1435"/>
        <item x="457"/>
        <item x="1060"/>
        <item x="1702"/>
        <item x="1303"/>
        <item x="1611"/>
        <item x="1"/>
        <item x="527"/>
        <item x="1065"/>
        <item x="355"/>
        <item x="641"/>
        <item x="1418"/>
        <item x="804"/>
        <item x="1944"/>
        <item x="1214"/>
        <item x="160"/>
        <item x="1974"/>
        <item x="1964"/>
        <item x="1884"/>
        <item x="1260"/>
        <item x="279"/>
        <item x="839"/>
        <item x="118"/>
        <item x="533"/>
        <item x="623"/>
        <item x="737"/>
        <item x="1720"/>
        <item x="968"/>
        <item x="1843"/>
        <item x="1201"/>
        <item x="245"/>
        <item x="1179"/>
        <item x="67"/>
        <item x="7"/>
        <item x="512"/>
        <item x="705"/>
        <item x="1916"/>
        <item x="1406"/>
        <item x="1295"/>
        <item x="762"/>
        <item x="1495"/>
        <item x="110"/>
        <item x="754"/>
        <item x="1429"/>
        <item x="1347"/>
        <item x="1840"/>
        <item x="772"/>
        <item x="1835"/>
        <item x="1982"/>
        <item x="913"/>
        <item x="214"/>
        <item x="1716"/>
        <item x="830"/>
        <item x="1658"/>
        <item x="186"/>
        <item x="401"/>
        <item x="104"/>
        <item x="547"/>
        <item x="1223"/>
        <item x="863"/>
        <item x="217"/>
        <item x="801"/>
        <item x="548"/>
        <item x="1049"/>
        <item x="90"/>
        <item x="948"/>
        <item x="73"/>
        <item x="1668"/>
        <item x="88"/>
        <item x="283"/>
        <item x="1419"/>
        <item x="1314"/>
        <item x="1438"/>
        <item x="969"/>
        <item x="1481"/>
        <item x="1610"/>
        <item x="1086"/>
        <item x="844"/>
        <item x="607"/>
        <item x="1520"/>
        <item x="142"/>
        <item x="1205"/>
        <item x="1625"/>
        <item x="490"/>
        <item x="262"/>
        <item x="453"/>
        <item x="920"/>
        <item x="955"/>
        <item x="791"/>
        <item x="1246"/>
        <item x="422"/>
        <item x="226"/>
        <item x="15"/>
        <item x="1325"/>
        <item x="390"/>
        <item x="170"/>
        <item x="1871"/>
        <item x="1256"/>
        <item x="286"/>
        <item x="635"/>
        <item x="1274"/>
        <item x="359"/>
        <item x="954"/>
        <item x="1180"/>
        <item x="1970"/>
        <item x="1004"/>
        <item x="817"/>
        <item x="644"/>
        <item x="602"/>
        <item x="1071"/>
        <item x="1900"/>
        <item x="337"/>
        <item x="1383"/>
        <item x="1360"/>
        <item x="979"/>
        <item x="1993"/>
        <item x="1741"/>
        <item x="76"/>
        <item x="13"/>
        <item x="507"/>
        <item x="508"/>
        <item x="1345"/>
        <item x="1844"/>
        <item x="768"/>
        <item x="684"/>
        <item x="198"/>
        <item x="1338"/>
        <item x="939"/>
        <item x="1732"/>
        <item x="1918"/>
        <item x="1460"/>
        <item x="1248"/>
        <item x="1081"/>
        <item x="1235"/>
        <item x="685"/>
        <item x="851"/>
        <item x="1952"/>
        <item x="280"/>
        <item x="266"/>
        <item x="1616"/>
        <item x="97"/>
        <item x="423"/>
        <item x="320"/>
        <item x="1335"/>
        <item x="1621"/>
        <item x="1046"/>
        <item x="1291"/>
        <item x="205"/>
        <item x="1549"/>
        <item x="300"/>
        <item x="1665"/>
        <item x="1535"/>
        <item x="455"/>
        <item x="341"/>
        <item x="1602"/>
        <item x="621"/>
        <item x="227"/>
        <item x="329"/>
        <item x="495"/>
        <item x="1550"/>
        <item x="1009"/>
        <item x="1138"/>
        <item x="1697"/>
        <item x="242"/>
        <item x="1008"/>
        <item x="1351"/>
        <item x="1959"/>
        <item x="1521"/>
        <item x="544"/>
        <item x="1910"/>
        <item x="1384"/>
        <item x="1983"/>
        <item x="1471"/>
        <item x="977"/>
        <item x="1392"/>
        <item x="1889"/>
        <item x="873"/>
        <item x="967"/>
        <item x="1506"/>
        <item x="522"/>
        <item x="665"/>
        <item x="84"/>
        <item x="1731"/>
        <item x="1348"/>
        <item x="428"/>
        <item x="597"/>
        <item x="695"/>
        <item x="1640"/>
        <item x="1312"/>
        <item x="1411"/>
        <item x="796"/>
        <item x="1455"/>
        <item x="53"/>
        <item x="688"/>
        <item x="890"/>
        <item x="1109"/>
        <item x="828"/>
        <item x="228"/>
        <item x="1373"/>
        <item x="669"/>
        <item x="1476"/>
        <item x="1711"/>
        <item x="1125"/>
        <item x="432"/>
        <item x="598"/>
        <item x="1401"/>
        <item x="997"/>
        <item x="1261"/>
        <item x="1054"/>
        <item x="956"/>
        <item x="882"/>
        <item x="637"/>
        <item x="986"/>
        <item x="1209"/>
        <item x="146"/>
        <item x="498"/>
        <item x="4"/>
        <item x="1202"/>
        <item x="724"/>
        <item x="666"/>
        <item x="212"/>
        <item x="1554"/>
        <item x="528"/>
        <item x="444"/>
        <item x="910"/>
        <item x="636"/>
        <item x="308"/>
        <item x="1719"/>
        <item x="963"/>
        <item x="674"/>
        <item x="249"/>
        <item x="1517"/>
        <item x="558"/>
        <item x="1407"/>
        <item x="1394"/>
        <item x="1110"/>
        <item x="1887"/>
        <item x="1163"/>
        <item x="1300"/>
        <item x="1309"/>
        <item x="147"/>
        <item x="149"/>
        <item x="1072"/>
        <item x="383"/>
        <item x="1847"/>
        <item x="425"/>
        <item x="210"/>
        <item x="1482"/>
        <item x="1594"/>
        <item x="1434"/>
        <item x="588"/>
        <item x="822"/>
        <item x="1879"/>
        <item x="1111"/>
        <item x="1890"/>
        <item x="1477"/>
        <item x="343"/>
        <item x="1536"/>
        <item x="1375"/>
        <item x="589"/>
        <item x="978"/>
        <item x="11"/>
        <item x="1873"/>
        <item x="371"/>
        <item x="1210"/>
        <item x="58"/>
        <item x="1112"/>
        <item x="591"/>
        <item x="1249"/>
        <item x="63"/>
        <item x="993"/>
        <item x="1369"/>
        <item x="671"/>
        <item x="1412"/>
        <item x="503"/>
        <item x="230"/>
        <item x="1285"/>
        <item x="409"/>
        <item x="1685"/>
        <item x="1316"/>
        <item x="451"/>
        <item x="1998"/>
        <item x="441"/>
        <item x="1569"/>
        <item x="1130"/>
        <item x="99"/>
        <item x="1492"/>
        <item x="1703"/>
        <item x="391"/>
        <item x="1671"/>
        <item x="1571"/>
        <item x="402"/>
        <item x="363"/>
        <item x="1874"/>
        <item x="435"/>
        <item x="436"/>
        <item x="1082"/>
        <item x="267"/>
        <item x="1585"/>
        <item x="410"/>
        <item x="1551"/>
        <item x="250"/>
        <item x="1493"/>
        <item x="1793"/>
        <item x="1168"/>
        <item x="1894"/>
        <item x="447"/>
        <item x="121"/>
        <item x="852"/>
        <item x="717"/>
        <item x="845"/>
        <item x="998"/>
        <item x="534"/>
        <item x="686"/>
        <item x="179"/>
        <item x="192"/>
        <item x="1494"/>
        <item x="585"/>
        <item x="1898"/>
        <item x="395"/>
        <item x="812"/>
        <item x="987"/>
        <item x="74"/>
        <item x="485"/>
        <item x="309"/>
        <item x="1547"/>
        <item x="301"/>
        <item x="741"/>
        <item x="575"/>
        <item x="1819"/>
        <item x="907"/>
        <item x="77"/>
        <item x="1986"/>
        <item x="1570"/>
        <item x="887"/>
        <item x="1126"/>
        <item x="1654"/>
        <item x="509"/>
        <item x="555"/>
        <item x="1504"/>
        <item x="1531"/>
        <item x="647"/>
        <item x="739"/>
        <item x="805"/>
        <item x="1087"/>
        <item x="856"/>
        <item x="1428"/>
        <item x="1636"/>
        <item x="201"/>
        <item x="995"/>
        <item x="929"/>
        <item x="346"/>
        <item x="1250"/>
        <item x="1468"/>
        <item x="696"/>
        <item x="1868"/>
        <item x="759"/>
        <item x="1408"/>
        <item x="1955"/>
        <item x="611"/>
        <item x="94"/>
        <item x="731"/>
        <item x="1346"/>
        <item x="437"/>
        <item x="1641"/>
        <item x="303"/>
        <item x="1948"/>
        <item x="1869"/>
        <item x="1352"/>
        <item x="846"/>
        <item x="1880"/>
        <item x="251"/>
        <item x="161"/>
        <item x="1557"/>
        <item x="1984"/>
        <item x="1074"/>
        <item x="1456"/>
        <item x="1200"/>
        <item x="1590"/>
        <item x="1237"/>
        <item x="1212"/>
        <item x="1721"/>
        <item x="1758"/>
        <item x="1724"/>
        <item x="1047"/>
        <item x="1182"/>
        <item x="85"/>
        <item x="732"/>
        <item x="879"/>
        <item x="1199"/>
        <item x="419"/>
        <item x="1229"/>
        <item x="1678"/>
        <item x="154"/>
        <item x="114"/>
        <item x="137"/>
        <item x="814"/>
        <item x="1068"/>
        <item x="989"/>
        <item x="1452"/>
        <item x="748"/>
        <item x="1005"/>
        <item x="1661"/>
        <item x="612"/>
        <item x="364"/>
        <item x="474"/>
        <item x="1095"/>
        <item x="1584"/>
        <item x="1872"/>
        <item x="1467"/>
        <item x="1942"/>
        <item x="627"/>
        <item x="897"/>
        <item x="487"/>
        <item x="532"/>
        <item x="291"/>
        <item x="1021"/>
        <item x="45"/>
        <item x="1499"/>
        <item x="413"/>
        <item x="924"/>
        <item x="68"/>
        <item x="973"/>
        <item x="603"/>
        <item x="1603"/>
        <item x="655"/>
        <item x="173"/>
        <item x="277"/>
        <item x="1465"/>
        <item x="385"/>
        <item x="117"/>
        <item x="1736"/>
        <item x="51"/>
        <item x="749"/>
        <item x="1096"/>
        <item x="105"/>
        <item x="1895"/>
        <item x="847"/>
        <item x="753"/>
        <item x="1532"/>
        <item x="840"/>
        <item x="1865"/>
        <item x="353"/>
        <item x="406"/>
        <item x="218"/>
        <item x="64"/>
        <item x="399"/>
        <item x="429"/>
        <item x="930"/>
        <item x="590"/>
        <item x="970"/>
        <item x="1370"/>
        <item x="1011"/>
        <item x="1851"/>
        <item x="1975"/>
        <item x="1960"/>
        <item x="1377"/>
        <item x="1444"/>
        <item x="899"/>
        <item x="1055"/>
        <item x="1029"/>
        <item x="481"/>
        <item x="190"/>
        <item x="1999"/>
        <item x="8"/>
        <item x="1816"/>
        <item x="727"/>
        <item x="733"/>
        <item x="990"/>
        <item x="252"/>
        <item x="613"/>
        <item x="1286"/>
        <item x="1927"/>
        <item x="59"/>
        <item x="134"/>
        <item x="573"/>
        <item x="1172"/>
        <item x="1780"/>
        <item x="1211"/>
        <item x="426"/>
        <item x="21"/>
        <item x="1050"/>
        <item x="675"/>
        <item x="1790"/>
        <item x="1604"/>
        <item x="31"/>
        <item x="738"/>
        <item x="1586"/>
        <item x="1035"/>
        <item x="1413"/>
        <item x="552"/>
        <item x="1559"/>
        <item x="1344"/>
        <item x="187"/>
        <item x="1371"/>
        <item x="272"/>
        <item x="857"/>
        <item x="884"/>
        <item x="1596"/>
        <item x="945"/>
        <item x="944"/>
        <item x="1157"/>
        <item x="234"/>
        <item x="1891"/>
        <item x="774"/>
        <item x="1882"/>
        <item x="1380"/>
        <item x="477"/>
        <item x="5"/>
        <item x="958"/>
        <item x="1787"/>
        <item x="1146"/>
        <item x="941"/>
        <item x="1044"/>
        <item x="1848"/>
        <item x="1781"/>
        <item x="1449"/>
        <item x="1404"/>
        <item x="1526"/>
        <item x="1441"/>
        <item x="1253"/>
        <item x="940"/>
        <item x="54"/>
        <item x="565"/>
        <item x="231"/>
        <item x="491"/>
        <item x="1311"/>
        <item x="925"/>
        <item x="151"/>
        <item x="823"/>
        <item x="974"/>
        <item x="369"/>
        <item x="608"/>
        <item x="292"/>
        <item x="1513"/>
        <item x="1867"/>
        <item x="1158"/>
        <item x="1650"/>
        <item x="220"/>
        <item x="961"/>
        <item x="1275"/>
        <item x="1953"/>
        <item x="424"/>
        <item x="1100"/>
        <item x="711"/>
        <item x="1169"/>
        <item x="155"/>
        <item x="819"/>
        <item x="128"/>
        <item x="1906"/>
        <item x="221"/>
        <item x="583"/>
        <item x="1230"/>
        <item x="901"/>
        <item x="1280"/>
        <item x="586"/>
        <item x="1769"/>
        <item x="452"/>
        <item x="1399"/>
        <item x="1143"/>
        <item x="535"/>
        <item x="1106"/>
        <item x="1606"/>
        <item x="1388"/>
        <item x="783"/>
        <item x="936"/>
        <item x="1334"/>
        <item x="1923"/>
        <item x="325"/>
        <item x="1194"/>
        <item x="335"/>
        <item x="529"/>
        <item x="183"/>
        <item x="628"/>
        <item x="523"/>
        <item x="470"/>
        <item x="1994"/>
        <item x="934"/>
        <item x="964"/>
        <item x="883"/>
        <item x="1395"/>
        <item x="1522"/>
        <item x="1426"/>
        <item x="1409"/>
        <item x="1189"/>
        <item x="1073"/>
        <item x="347"/>
        <item x="614"/>
        <item x="1136"/>
        <item x="599"/>
        <item x="33"/>
        <item x="1496"/>
        <item x="664"/>
        <item x="1772"/>
        <item x="1827"/>
        <item x="577"/>
        <item x="236"/>
        <item x="760"/>
        <item x="1190"/>
        <item x="496"/>
        <item x="1709"/>
        <item x="1385"/>
        <item x="442"/>
        <item x="1501"/>
        <item x="1845"/>
        <item x="1940"/>
        <item x="1597"/>
        <item x="1415"/>
        <item x="392"/>
        <item x="629"/>
        <item x="1487"/>
        <item x="1027"/>
        <item x="976"/>
        <item x="1173"/>
        <item x="1330"/>
        <item x="1219"/>
        <item x="1686"/>
        <item x="86"/>
        <item x="1457"/>
        <item x="1010"/>
        <item x="46"/>
        <item x="317"/>
        <item x="1442"/>
        <item x="689"/>
        <item x="1439"/>
        <item x="600"/>
        <item x="1184"/>
        <item x="1642"/>
        <item x="1328"/>
        <item x="438"/>
        <item x="172"/>
        <item x="1269"/>
        <item x="1127"/>
        <item x="853"/>
        <item x="1648"/>
        <item x="1544"/>
        <item x="1183"/>
        <item x="1631"/>
        <item x="1381"/>
        <item x="891"/>
        <item x="1614"/>
        <item x="1507"/>
        <item x="1310"/>
        <item x="1159"/>
        <item x="949"/>
        <item x="1152"/>
        <item x="456"/>
        <item x="513"/>
        <item x="16"/>
        <item x="833"/>
        <item x="193"/>
        <item x="1937"/>
        <item x="458"/>
        <item x="615"/>
        <item x="1036"/>
        <item x="1357"/>
        <item x="1751"/>
        <item x="206"/>
        <item x="1919"/>
        <item x="1389"/>
        <item x="1967"/>
        <item x="1734"/>
        <item x="98"/>
        <item x="1340"/>
        <item x="1242"/>
        <item x="560"/>
        <item x="601"/>
        <item x="1739"/>
        <item x="433"/>
        <item x="1643"/>
        <item x="1298"/>
        <item x="376"/>
        <item x="595"/>
        <item x="459"/>
        <item x="174"/>
        <item x="1537"/>
        <item x="789"/>
        <item x="1877"/>
        <item x="1560"/>
        <item x="131"/>
        <item x="1018"/>
        <item x="1390"/>
        <item x="1128"/>
        <item x="175"/>
        <item x="82"/>
        <item x="1704"/>
        <item x="888"/>
        <item x="1123"/>
        <item x="1896"/>
        <item x="1941"/>
        <item x="721"/>
        <item x="370"/>
        <item x="1358"/>
        <item x="1775"/>
        <item x="274"/>
        <item x="1949"/>
        <item x="350"/>
        <item x="1453"/>
        <item x="630"/>
        <item x="1669"/>
        <item x="1113"/>
        <item x="1101"/>
        <item x="1885"/>
        <item x="781"/>
        <item x="1057"/>
        <item x="1251"/>
        <item x="604"/>
        <item x="1811"/>
        <item x="510"/>
        <item x="1135"/>
        <item x="1306"/>
        <item x="553"/>
        <item x="1296"/>
        <item x="1107"/>
        <item x="1518"/>
        <item x="617"/>
        <item x="1566"/>
        <item x="1132"/>
        <item x="776"/>
        <item x="1359"/>
        <item x="1632"/>
        <item x="1079"/>
        <item x="374"/>
        <item x="775"/>
        <item x="246"/>
        <item x="1637"/>
        <item x="632"/>
        <item x="1160"/>
        <item x="1076"/>
        <item x="645"/>
        <item x="633"/>
        <item x="797"/>
        <item x="1901"/>
        <item x="1747"/>
        <item x="1875"/>
        <item x="1276"/>
        <item x="520"/>
        <item x="1831"/>
        <item x="1048"/>
        <item x="1699"/>
        <item x="1552"/>
        <item x="784"/>
        <item x="1277"/>
        <item x="798"/>
        <item x="1022"/>
        <item x="1659"/>
        <item x="1815"/>
        <item x="1598"/>
        <item x="631"/>
        <item x="1886"/>
        <item x="167"/>
        <item x="1553"/>
        <item x="1756"/>
        <item x="450"/>
        <item x="690"/>
        <item x="682"/>
        <item x="1170"/>
        <item x="164"/>
        <item x="667"/>
        <item x="779"/>
        <item x="642"/>
        <item x="854"/>
        <item x="57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0"/>
  </rowFields>
  <rowItems count="2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 t="grand">
      <x/>
    </i>
  </rowItems>
  <colItems count="1">
    <i/>
  </colItems>
  <dataFields count="1">
    <dataField name="Sum of Profit" fld="13" baseField="0" baseItem="0" numFmtId="2"/>
  </dataFields>
  <formats count="4"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2001" totalsRowShown="0" headerRowDxfId="39" headerRowBorderDxfId="38" tableBorderDxfId="37" totalsRowBorderDxfId="36">
  <autoFilter ref="A1:R2001"/>
  <tableColumns count="18">
    <tableColumn id="1" name="Order_ID" dataDxfId="35"/>
    <tableColumn id="2" name="Order_Date" dataDxfId="34"/>
    <tableColumn id="3" name="Customer_Name" dataDxfId="33"/>
    <tableColumn id="4" name="Customer_Segment" dataDxfId="32"/>
    <tableColumn id="5" name="Country" dataDxfId="31"/>
    <tableColumn id="6" name="Region" dataDxfId="30"/>
    <tableColumn id="7" name="Product_Category" dataDxfId="29"/>
    <tableColumn id="8" name="Product_Name" dataDxfId="28"/>
    <tableColumn id="9" name="Quantity" dataDxfId="27"/>
    <tableColumn id="10" name="Unit_Price" dataDxfId="26"/>
    <tableColumn id="11" name="Discount_Percent" dataDxfId="25"/>
    <tableColumn id="12" name="Total_Sales" dataDxfId="24"/>
    <tableColumn id="13" name="Shipping_Cost" dataDxfId="23"/>
    <tableColumn id="14" name="Profit" dataDxfId="22"/>
    <tableColumn id="15" name="Payment_Method" dataDxfId="21"/>
    <tableColumn id="16" name="Sales Before Discount" dataDxfId="20">
      <calculatedColumnFormula>Table1[Quantity]*Table1[Unit_Price]</calculatedColumnFormula>
    </tableColumn>
    <tableColumn id="17" name="Profit Margin %" dataDxfId="19">
      <calculatedColumnFormula>Table1[Profit]/Table1[Total_Sales]</calculatedColumnFormula>
    </tableColumn>
    <tableColumn id="18" name="Orders Values" dataDxfId="18">
      <calculatedColumnFormula>Table1[Total_Sales]+Table1[Shipping_Cost]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:B2001" totalsRowShown="0">
  <autoFilter ref="A1:B2001"/>
  <tableColumns count="2">
    <tableColumn id="1" name="Discount_Percent" dataDxfId="4"/>
    <tableColumn id="2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"/>
  <sheetViews>
    <sheetView showGridLines="0" tabSelected="1" zoomScale="54" zoomScaleNormal="50" workbookViewId="0">
      <selection sqref="A1:AC1"/>
    </sheetView>
  </sheetViews>
  <sheetFormatPr defaultRowHeight="14.5" x14ac:dyDescent="0.35"/>
  <cols>
    <col min="1" max="1" width="11.453125" style="20" bestFit="1" customWidth="1"/>
    <col min="2" max="3" width="12.54296875" bestFit="1" customWidth="1"/>
    <col min="5" max="5" width="13.81640625" bestFit="1" customWidth="1"/>
    <col min="7" max="7" width="17.1796875" bestFit="1" customWidth="1"/>
    <col min="8" max="8" width="13.453125" bestFit="1" customWidth="1"/>
    <col min="9" max="9" width="12.36328125" customWidth="1"/>
    <col min="11" max="11" width="17.1796875" bestFit="1" customWidth="1"/>
    <col min="14" max="14" width="15.36328125" bestFit="1" customWidth="1"/>
  </cols>
  <sheetData>
    <row r="1" spans="1:29" ht="26" x14ac:dyDescent="0.35">
      <c r="A1" s="24" t="s">
        <v>3651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4" spans="1:29" ht="15.5" x14ac:dyDescent="0.35">
      <c r="B4" s="26" t="s">
        <v>3652</v>
      </c>
      <c r="C4" s="27">
        <f>SUM('Global Ecommerce Sales'!L:L)</f>
        <v>484559.33999999997</v>
      </c>
      <c r="D4" s="22"/>
      <c r="E4" s="28" t="s">
        <v>3653</v>
      </c>
      <c r="F4" s="29">
        <f>SUM('Global Ecommerce Sales'!N:N)</f>
        <v>158872.31999999995</v>
      </c>
      <c r="H4" s="30" t="s">
        <v>3654</v>
      </c>
      <c r="I4" s="31">
        <f>COUNTA('Global Ecommerce Sales'!A:A)-1</f>
        <v>2000</v>
      </c>
      <c r="J4" s="22"/>
      <c r="K4" s="32" t="s">
        <v>3655</v>
      </c>
      <c r="L4" s="33">
        <f>SUMPRODUCT(('Global Ecommerce Sales'!C2:C2001&lt;&gt;"")/COUNTIF('Global Ecommerce Sales'!C2:C2001,'Global Ecommerce Sales'!C2:C2001&amp;""))</f>
        <v>1533.9999999999975</v>
      </c>
      <c r="N4" s="34" t="s">
        <v>3656</v>
      </c>
      <c r="O4" s="35">
        <f>SUM('Global Ecommerce Sales'!I:I)</f>
        <v>7115</v>
      </c>
    </row>
    <row r="5" spans="1:29" x14ac:dyDescent="0.35">
      <c r="J5" s="21"/>
    </row>
  </sheetData>
  <mergeCells count="1">
    <mergeCell ref="A1:AC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1"/>
  <sheetViews>
    <sheetView workbookViewId="0"/>
  </sheetViews>
  <sheetFormatPr defaultRowHeight="14.5" x14ac:dyDescent="0.35"/>
  <cols>
    <col min="1" max="1" width="10.54296875" customWidth="1"/>
    <col min="2" max="2" width="12.7265625" customWidth="1"/>
    <col min="3" max="3" width="20.1796875" bestFit="1" customWidth="1"/>
    <col min="4" max="4" width="19.26953125" customWidth="1"/>
    <col min="5" max="5" width="14.1796875" bestFit="1" customWidth="1"/>
    <col min="6" max="6" width="17.81640625" bestFit="1" customWidth="1"/>
    <col min="7" max="7" width="19.6328125" bestFit="1" customWidth="1"/>
    <col min="8" max="8" width="27.90625" bestFit="1" customWidth="1"/>
    <col min="9" max="9" width="10.1796875" customWidth="1"/>
    <col min="10" max="10" width="11.453125" customWidth="1"/>
    <col min="11" max="11" width="17.6328125" customWidth="1"/>
    <col min="12" max="12" width="12.26953125" customWidth="1"/>
    <col min="13" max="13" width="14.6328125" customWidth="1"/>
    <col min="14" max="14" width="7.81640625" bestFit="1" customWidth="1"/>
    <col min="15" max="15" width="18" customWidth="1"/>
    <col min="16" max="16" width="21.26953125" bestFit="1" customWidth="1"/>
    <col min="17" max="17" width="16.1796875" bestFit="1" customWidth="1"/>
    <col min="18" max="18" width="14.81640625" bestFit="1" customWidth="1"/>
  </cols>
  <sheetData>
    <row r="1" spans="1:18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8" t="s">
        <v>3625</v>
      </c>
      <c r="Q1" s="8" t="s">
        <v>3626</v>
      </c>
      <c r="R1" s="8" t="s">
        <v>3627</v>
      </c>
    </row>
    <row r="2" spans="1:18" x14ac:dyDescent="0.35">
      <c r="A2" s="3" t="s">
        <v>15</v>
      </c>
      <c r="B2" s="2">
        <v>44928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3</v>
      </c>
      <c r="J2" s="1">
        <v>99.43</v>
      </c>
      <c r="K2" s="1">
        <v>0</v>
      </c>
      <c r="L2" s="1">
        <v>298.29000000000002</v>
      </c>
      <c r="M2" s="1">
        <v>9.31</v>
      </c>
      <c r="N2" s="1">
        <v>124.92</v>
      </c>
      <c r="O2" s="6" t="s">
        <v>22</v>
      </c>
      <c r="P2" s="8">
        <f>Table1[Quantity]*Table1[Unit_Price]</f>
        <v>298.29000000000002</v>
      </c>
      <c r="Q2" s="8">
        <f>Table1[Profit]/Table1[Total_Sales]</f>
        <v>0.41878708639243689</v>
      </c>
      <c r="R2" s="14">
        <f>Table1[Total_Sales]+Table1[Shipping_Cost]</f>
        <v>307.60000000000002</v>
      </c>
    </row>
    <row r="3" spans="1:18" x14ac:dyDescent="0.35">
      <c r="A3" s="3" t="s">
        <v>23</v>
      </c>
      <c r="B3" s="2">
        <v>44928</v>
      </c>
      <c r="C3" s="1" t="s">
        <v>24</v>
      </c>
      <c r="D3" s="1" t="s">
        <v>17</v>
      </c>
      <c r="E3" s="1" t="s">
        <v>25</v>
      </c>
      <c r="F3" s="1" t="s">
        <v>26</v>
      </c>
      <c r="G3" s="1" t="s">
        <v>20</v>
      </c>
      <c r="H3" s="1" t="s">
        <v>27</v>
      </c>
      <c r="I3" s="1">
        <v>4</v>
      </c>
      <c r="J3" s="1">
        <v>97.93</v>
      </c>
      <c r="K3" s="1">
        <v>20</v>
      </c>
      <c r="L3" s="1">
        <v>313.38</v>
      </c>
      <c r="M3" s="1">
        <v>14.31</v>
      </c>
      <c r="N3" s="1">
        <v>83.62</v>
      </c>
      <c r="O3" s="6" t="s">
        <v>22</v>
      </c>
      <c r="P3" s="8">
        <f>Table1[Quantity]*Table1[Unit_Price]</f>
        <v>391.72</v>
      </c>
      <c r="Q3" s="1">
        <f>Table1[Profit]/Table1[Total_Sales]</f>
        <v>0.26683259940008935</v>
      </c>
      <c r="R3" s="14">
        <f>Table1[Total_Sales]+Table1[Shipping_Cost]</f>
        <v>327.69</v>
      </c>
    </row>
    <row r="4" spans="1:18" x14ac:dyDescent="0.35">
      <c r="A4" s="3" t="s">
        <v>28</v>
      </c>
      <c r="B4" s="2">
        <v>44929</v>
      </c>
      <c r="C4" s="1" t="s">
        <v>29</v>
      </c>
      <c r="D4" s="1" t="s">
        <v>30</v>
      </c>
      <c r="E4" s="1" t="s">
        <v>31</v>
      </c>
      <c r="F4" s="1" t="s">
        <v>19</v>
      </c>
      <c r="G4" s="1" t="s">
        <v>32</v>
      </c>
      <c r="H4" s="1" t="s">
        <v>33</v>
      </c>
      <c r="I4" s="1">
        <v>2</v>
      </c>
      <c r="J4" s="1">
        <v>10.74</v>
      </c>
      <c r="K4" s="1">
        <v>0</v>
      </c>
      <c r="L4" s="1">
        <v>21.48</v>
      </c>
      <c r="M4" s="1">
        <v>8.1199999999999992</v>
      </c>
      <c r="N4" s="1">
        <v>3.69</v>
      </c>
      <c r="O4" s="6" t="s">
        <v>34</v>
      </c>
      <c r="P4" s="8">
        <f>Table1[Quantity]*Table1[Unit_Price]</f>
        <v>21.48</v>
      </c>
      <c r="Q4" s="1">
        <f>Table1[Profit]/Table1[Total_Sales]</f>
        <v>0.1717877094972067</v>
      </c>
      <c r="R4" s="14">
        <f>Table1[Total_Sales]+Table1[Shipping_Cost]</f>
        <v>29.6</v>
      </c>
    </row>
    <row r="5" spans="1:18" x14ac:dyDescent="0.35">
      <c r="A5" s="3" t="s">
        <v>35</v>
      </c>
      <c r="B5" s="2">
        <v>44929</v>
      </c>
      <c r="C5" s="1" t="s">
        <v>36</v>
      </c>
      <c r="D5" s="1" t="s">
        <v>17</v>
      </c>
      <c r="E5" s="1" t="s">
        <v>37</v>
      </c>
      <c r="F5" s="1" t="s">
        <v>26</v>
      </c>
      <c r="G5" s="1" t="s">
        <v>20</v>
      </c>
      <c r="H5" s="1" t="s">
        <v>38</v>
      </c>
      <c r="I5" s="1">
        <v>2</v>
      </c>
      <c r="J5" s="1">
        <v>61.86</v>
      </c>
      <c r="K5" s="1">
        <v>15</v>
      </c>
      <c r="L5" s="1">
        <v>105.16</v>
      </c>
      <c r="M5" s="1">
        <v>10.79</v>
      </c>
      <c r="N5" s="1">
        <v>26.32</v>
      </c>
      <c r="O5" s="6" t="s">
        <v>39</v>
      </c>
      <c r="P5" s="8">
        <f>Table1[Quantity]*Table1[Unit_Price]</f>
        <v>123.72</v>
      </c>
      <c r="Q5" s="1">
        <f>Table1[Profit]/Table1[Total_Sales]</f>
        <v>0.2502852795739825</v>
      </c>
      <c r="R5" s="14">
        <f>Table1[Total_Sales]+Table1[Shipping_Cost]</f>
        <v>115.94999999999999</v>
      </c>
    </row>
    <row r="6" spans="1:18" x14ac:dyDescent="0.35">
      <c r="A6" s="3" t="s">
        <v>40</v>
      </c>
      <c r="B6" s="2">
        <v>44931</v>
      </c>
      <c r="C6" s="1" t="s">
        <v>41</v>
      </c>
      <c r="D6" s="1" t="s">
        <v>30</v>
      </c>
      <c r="E6" s="1" t="s">
        <v>37</v>
      </c>
      <c r="F6" s="1" t="s">
        <v>26</v>
      </c>
      <c r="G6" s="1" t="s">
        <v>42</v>
      </c>
      <c r="H6" s="1" t="s">
        <v>43</v>
      </c>
      <c r="I6" s="1">
        <v>4</v>
      </c>
      <c r="J6" s="1">
        <v>330.67</v>
      </c>
      <c r="K6" s="1">
        <v>20</v>
      </c>
      <c r="L6" s="1">
        <v>1058.1400000000001</v>
      </c>
      <c r="M6" s="1">
        <v>11.09</v>
      </c>
      <c r="N6" s="1">
        <v>253.44</v>
      </c>
      <c r="O6" s="6" t="s">
        <v>34</v>
      </c>
      <c r="P6" s="8">
        <f>Table1[Quantity]*Table1[Unit_Price]</f>
        <v>1322.68</v>
      </c>
      <c r="Q6" s="1">
        <f>Table1[Profit]/Table1[Total_Sales]</f>
        <v>0.2395146199935736</v>
      </c>
      <c r="R6" s="14">
        <f>Table1[Total_Sales]+Table1[Shipping_Cost]</f>
        <v>1069.23</v>
      </c>
    </row>
    <row r="7" spans="1:18" x14ac:dyDescent="0.35">
      <c r="A7" s="3" t="s">
        <v>44</v>
      </c>
      <c r="B7" s="2">
        <v>44931</v>
      </c>
      <c r="C7" s="1" t="s">
        <v>45</v>
      </c>
      <c r="D7" s="1" t="s">
        <v>30</v>
      </c>
      <c r="E7" s="1" t="s">
        <v>31</v>
      </c>
      <c r="F7" s="1" t="s">
        <v>19</v>
      </c>
      <c r="G7" s="1" t="s">
        <v>42</v>
      </c>
      <c r="H7" s="1" t="s">
        <v>46</v>
      </c>
      <c r="I7" s="1">
        <v>1</v>
      </c>
      <c r="J7" s="1">
        <v>61.93</v>
      </c>
      <c r="K7" s="1">
        <v>10</v>
      </c>
      <c r="L7" s="1">
        <v>55.74</v>
      </c>
      <c r="M7" s="1">
        <v>5.88</v>
      </c>
      <c r="N7" s="1">
        <v>12.7</v>
      </c>
      <c r="O7" s="6" t="s">
        <v>39</v>
      </c>
      <c r="P7" s="8">
        <f>Table1[Quantity]*Table1[Unit_Price]</f>
        <v>61.93</v>
      </c>
      <c r="Q7" s="1">
        <f>Table1[Profit]/Table1[Total_Sales]</f>
        <v>0.22784355938284892</v>
      </c>
      <c r="R7" s="14">
        <f>Table1[Total_Sales]+Table1[Shipping_Cost]</f>
        <v>61.620000000000005</v>
      </c>
    </row>
    <row r="8" spans="1:18" x14ac:dyDescent="0.35">
      <c r="A8" s="3" t="s">
        <v>47</v>
      </c>
      <c r="B8" s="2">
        <v>44932</v>
      </c>
      <c r="C8" s="1" t="s">
        <v>48</v>
      </c>
      <c r="D8" s="1" t="s">
        <v>49</v>
      </c>
      <c r="E8" s="1" t="s">
        <v>18</v>
      </c>
      <c r="F8" s="1" t="s">
        <v>19</v>
      </c>
      <c r="G8" s="1" t="s">
        <v>32</v>
      </c>
      <c r="H8" s="1" t="s">
        <v>50</v>
      </c>
      <c r="I8" s="1">
        <v>2</v>
      </c>
      <c r="J8" s="1">
        <v>15.03</v>
      </c>
      <c r="K8" s="1">
        <v>5</v>
      </c>
      <c r="L8" s="1">
        <v>28.56</v>
      </c>
      <c r="M8" s="1">
        <v>6.59</v>
      </c>
      <c r="N8" s="1">
        <v>8.44</v>
      </c>
      <c r="O8" s="6" t="s">
        <v>39</v>
      </c>
      <c r="P8" s="8">
        <f>Table1[Quantity]*Table1[Unit_Price]</f>
        <v>30.06</v>
      </c>
      <c r="Q8" s="1">
        <f>Table1[Profit]/Table1[Total_Sales]</f>
        <v>0.29551820728291317</v>
      </c>
      <c r="R8" s="14">
        <f>Table1[Total_Sales]+Table1[Shipping_Cost]</f>
        <v>35.15</v>
      </c>
    </row>
    <row r="9" spans="1:18" x14ac:dyDescent="0.35">
      <c r="A9" s="3" t="s">
        <v>51</v>
      </c>
      <c r="B9" s="2">
        <v>44932</v>
      </c>
      <c r="C9" s="1" t="s">
        <v>52</v>
      </c>
      <c r="D9" s="1" t="s">
        <v>49</v>
      </c>
      <c r="E9" s="1" t="s">
        <v>53</v>
      </c>
      <c r="F9" s="1" t="s">
        <v>54</v>
      </c>
      <c r="G9" s="1" t="s">
        <v>20</v>
      </c>
      <c r="H9" s="1" t="s">
        <v>55</v>
      </c>
      <c r="I9" s="1">
        <v>2</v>
      </c>
      <c r="J9" s="1">
        <v>33.909999999999997</v>
      </c>
      <c r="K9" s="1">
        <v>10</v>
      </c>
      <c r="L9" s="1">
        <v>61.04</v>
      </c>
      <c r="M9" s="1">
        <v>14.38</v>
      </c>
      <c r="N9" s="1">
        <v>9.36</v>
      </c>
      <c r="O9" s="6" t="s">
        <v>56</v>
      </c>
      <c r="P9" s="8">
        <f>Table1[Quantity]*Table1[Unit_Price]</f>
        <v>67.819999999999993</v>
      </c>
      <c r="Q9" s="1">
        <f>Table1[Profit]/Table1[Total_Sales]</f>
        <v>0.15334207077326342</v>
      </c>
      <c r="R9" s="14">
        <f>Table1[Total_Sales]+Table1[Shipping_Cost]</f>
        <v>75.42</v>
      </c>
    </row>
    <row r="10" spans="1:18" x14ac:dyDescent="0.35">
      <c r="A10" s="3" t="s">
        <v>57</v>
      </c>
      <c r="B10" s="2">
        <v>44932</v>
      </c>
      <c r="C10" s="1" t="s">
        <v>58</v>
      </c>
      <c r="D10" s="1" t="s">
        <v>30</v>
      </c>
      <c r="E10" s="1" t="s">
        <v>59</v>
      </c>
      <c r="F10" s="1" t="s">
        <v>60</v>
      </c>
      <c r="G10" s="1" t="s">
        <v>42</v>
      </c>
      <c r="H10" s="1" t="s">
        <v>43</v>
      </c>
      <c r="I10" s="1">
        <v>2</v>
      </c>
      <c r="J10" s="1">
        <v>334.11</v>
      </c>
      <c r="K10" s="1">
        <v>5</v>
      </c>
      <c r="L10" s="1">
        <v>634.80999999999995</v>
      </c>
      <c r="M10" s="1">
        <v>11.92</v>
      </c>
      <c r="N10" s="1">
        <v>221.96</v>
      </c>
      <c r="O10" s="6" t="s">
        <v>56</v>
      </c>
      <c r="P10" s="8">
        <f>Table1[Quantity]*Table1[Unit_Price]</f>
        <v>668.22</v>
      </c>
      <c r="Q10" s="1">
        <f>Table1[Profit]/Table1[Total_Sales]</f>
        <v>0.34964792615113188</v>
      </c>
      <c r="R10" s="14">
        <f>Table1[Total_Sales]+Table1[Shipping_Cost]</f>
        <v>646.7299999999999</v>
      </c>
    </row>
    <row r="11" spans="1:18" x14ac:dyDescent="0.35">
      <c r="A11" s="3" t="s">
        <v>61</v>
      </c>
      <c r="B11" s="2">
        <v>44933</v>
      </c>
      <c r="C11" s="1" t="s">
        <v>62</v>
      </c>
      <c r="D11" s="1" t="s">
        <v>30</v>
      </c>
      <c r="E11" s="1" t="s">
        <v>63</v>
      </c>
      <c r="F11" s="1" t="s">
        <v>54</v>
      </c>
      <c r="G11" s="1" t="s">
        <v>42</v>
      </c>
      <c r="H11" s="1" t="s">
        <v>64</v>
      </c>
      <c r="I11" s="1">
        <v>1</v>
      </c>
      <c r="J11" s="1">
        <v>58.77</v>
      </c>
      <c r="K11" s="1">
        <v>5</v>
      </c>
      <c r="L11" s="1">
        <v>55.83</v>
      </c>
      <c r="M11" s="1">
        <v>12.03</v>
      </c>
      <c r="N11" s="1">
        <v>8.5399999999999991</v>
      </c>
      <c r="O11" s="6" t="s">
        <v>34</v>
      </c>
      <c r="P11" s="8">
        <f>Table1[Quantity]*Table1[Unit_Price]</f>
        <v>58.77</v>
      </c>
      <c r="Q11" s="1">
        <f>Table1[Profit]/Table1[Total_Sales]</f>
        <v>0.15296435608096004</v>
      </c>
      <c r="R11" s="14">
        <f>Table1[Total_Sales]+Table1[Shipping_Cost]</f>
        <v>67.86</v>
      </c>
    </row>
    <row r="12" spans="1:18" x14ac:dyDescent="0.35">
      <c r="A12" s="3" t="s">
        <v>65</v>
      </c>
      <c r="B12" s="2">
        <v>44934</v>
      </c>
      <c r="C12" s="1" t="s">
        <v>66</v>
      </c>
      <c r="D12" s="1" t="s">
        <v>17</v>
      </c>
      <c r="E12" s="1" t="s">
        <v>67</v>
      </c>
      <c r="F12" s="1" t="s">
        <v>68</v>
      </c>
      <c r="G12" s="1" t="s">
        <v>69</v>
      </c>
      <c r="H12" s="1" t="s">
        <v>70</v>
      </c>
      <c r="I12" s="1">
        <v>2</v>
      </c>
      <c r="J12" s="1">
        <v>38.909999999999997</v>
      </c>
      <c r="K12" s="1">
        <v>15</v>
      </c>
      <c r="L12" s="1">
        <v>66.150000000000006</v>
      </c>
      <c r="M12" s="1">
        <v>14.25</v>
      </c>
      <c r="N12" s="1">
        <v>12.99</v>
      </c>
      <c r="O12" s="6" t="s">
        <v>34</v>
      </c>
      <c r="P12" s="8">
        <f>Table1[Quantity]*Table1[Unit_Price]</f>
        <v>77.819999999999993</v>
      </c>
      <c r="Q12" s="1">
        <f>Table1[Profit]/Table1[Total_Sales]</f>
        <v>0.19637188208616779</v>
      </c>
      <c r="R12" s="14">
        <f>Table1[Total_Sales]+Table1[Shipping_Cost]</f>
        <v>80.400000000000006</v>
      </c>
    </row>
    <row r="13" spans="1:18" x14ac:dyDescent="0.35">
      <c r="A13" s="3" t="s">
        <v>71</v>
      </c>
      <c r="B13" s="2">
        <v>44934</v>
      </c>
      <c r="C13" s="1" t="s">
        <v>72</v>
      </c>
      <c r="D13" s="1" t="s">
        <v>17</v>
      </c>
      <c r="E13" s="1" t="s">
        <v>25</v>
      </c>
      <c r="F13" s="1" t="s">
        <v>26</v>
      </c>
      <c r="G13" s="1" t="s">
        <v>32</v>
      </c>
      <c r="H13" s="1" t="s">
        <v>73</v>
      </c>
      <c r="I13" s="1">
        <v>3</v>
      </c>
      <c r="J13" s="1">
        <v>7.8</v>
      </c>
      <c r="K13" s="1">
        <v>10</v>
      </c>
      <c r="L13" s="1">
        <v>21.06</v>
      </c>
      <c r="M13" s="1">
        <v>12.61</v>
      </c>
      <c r="N13" s="1">
        <v>-2.08</v>
      </c>
      <c r="O13" s="6" t="s">
        <v>22</v>
      </c>
      <c r="P13" s="8">
        <f>Table1[Quantity]*Table1[Unit_Price]</f>
        <v>23.4</v>
      </c>
      <c r="Q13" s="1">
        <f>Table1[Profit]/Table1[Total_Sales]</f>
        <v>-9.876543209876544E-2</v>
      </c>
      <c r="R13" s="14">
        <f>Table1[Total_Sales]+Table1[Shipping_Cost]</f>
        <v>33.67</v>
      </c>
    </row>
    <row r="14" spans="1:18" x14ac:dyDescent="0.35">
      <c r="A14" s="3" t="s">
        <v>74</v>
      </c>
      <c r="B14" s="2">
        <v>44935</v>
      </c>
      <c r="C14" s="1" t="s">
        <v>75</v>
      </c>
      <c r="D14" s="1" t="s">
        <v>17</v>
      </c>
      <c r="E14" s="1" t="s">
        <v>76</v>
      </c>
      <c r="F14" s="1" t="s">
        <v>26</v>
      </c>
      <c r="G14" s="1" t="s">
        <v>20</v>
      </c>
      <c r="H14" s="1" t="s">
        <v>38</v>
      </c>
      <c r="I14" s="1">
        <v>1</v>
      </c>
      <c r="J14" s="1">
        <v>48.73</v>
      </c>
      <c r="K14" s="1">
        <v>10</v>
      </c>
      <c r="L14" s="1">
        <v>43.86</v>
      </c>
      <c r="M14" s="1">
        <v>8.11</v>
      </c>
      <c r="N14" s="1">
        <v>8.9499999999999993</v>
      </c>
      <c r="O14" s="6" t="s">
        <v>34</v>
      </c>
      <c r="P14" s="8">
        <f>Table1[Quantity]*Table1[Unit_Price]</f>
        <v>48.73</v>
      </c>
      <c r="Q14" s="1">
        <f>Table1[Profit]/Table1[Total_Sales]</f>
        <v>0.20405836753305973</v>
      </c>
      <c r="R14" s="14">
        <f>Table1[Total_Sales]+Table1[Shipping_Cost]</f>
        <v>51.97</v>
      </c>
    </row>
    <row r="15" spans="1:18" x14ac:dyDescent="0.35">
      <c r="A15" s="3" t="s">
        <v>77</v>
      </c>
      <c r="B15" s="2">
        <v>44938</v>
      </c>
      <c r="C15" s="1" t="s">
        <v>78</v>
      </c>
      <c r="D15" s="1" t="s">
        <v>30</v>
      </c>
      <c r="E15" s="1" t="s">
        <v>67</v>
      </c>
      <c r="F15" s="1" t="s">
        <v>68</v>
      </c>
      <c r="G15" s="1" t="s">
        <v>69</v>
      </c>
      <c r="H15" s="1" t="s">
        <v>79</v>
      </c>
      <c r="I15" s="1">
        <v>1</v>
      </c>
      <c r="J15" s="1">
        <v>59.48</v>
      </c>
      <c r="K15" s="1">
        <v>0</v>
      </c>
      <c r="L15" s="1">
        <v>59.48</v>
      </c>
      <c r="M15" s="1">
        <v>11.42</v>
      </c>
      <c r="N15" s="1">
        <v>18.32</v>
      </c>
      <c r="O15" s="6" t="s">
        <v>34</v>
      </c>
      <c r="P15" s="8">
        <f>Table1[Quantity]*Table1[Unit_Price]</f>
        <v>59.48</v>
      </c>
      <c r="Q15" s="1">
        <f>Table1[Profit]/Table1[Total_Sales]</f>
        <v>0.30800268997982516</v>
      </c>
      <c r="R15" s="14">
        <f>Table1[Total_Sales]+Table1[Shipping_Cost]</f>
        <v>70.899999999999991</v>
      </c>
    </row>
    <row r="16" spans="1:18" x14ac:dyDescent="0.35">
      <c r="A16" s="3" t="s">
        <v>80</v>
      </c>
      <c r="B16" s="2">
        <v>44939</v>
      </c>
      <c r="C16" s="1" t="s">
        <v>81</v>
      </c>
      <c r="D16" s="1" t="s">
        <v>17</v>
      </c>
      <c r="E16" s="1" t="s">
        <v>37</v>
      </c>
      <c r="F16" s="1" t="s">
        <v>26</v>
      </c>
      <c r="G16" s="1" t="s">
        <v>32</v>
      </c>
      <c r="H16" s="1" t="s">
        <v>82</v>
      </c>
      <c r="I16" s="1">
        <v>1</v>
      </c>
      <c r="J16" s="1">
        <v>15.82</v>
      </c>
      <c r="K16" s="1">
        <v>0</v>
      </c>
      <c r="L16" s="1">
        <v>15.82</v>
      </c>
      <c r="M16" s="1">
        <v>9.16</v>
      </c>
      <c r="N16" s="1">
        <v>-0.46</v>
      </c>
      <c r="O16" s="6" t="s">
        <v>39</v>
      </c>
      <c r="P16" s="8">
        <f>Table1[Quantity]*Table1[Unit_Price]</f>
        <v>15.82</v>
      </c>
      <c r="Q16" s="1">
        <f>Table1[Profit]/Table1[Total_Sales]</f>
        <v>-2.9077117572692796E-2</v>
      </c>
      <c r="R16" s="14">
        <f>Table1[Total_Sales]+Table1[Shipping_Cost]</f>
        <v>24.98</v>
      </c>
    </row>
    <row r="17" spans="1:18" x14ac:dyDescent="0.35">
      <c r="A17" s="3" t="s">
        <v>83</v>
      </c>
      <c r="B17" s="2">
        <v>44939</v>
      </c>
      <c r="C17" s="1" t="s">
        <v>84</v>
      </c>
      <c r="D17" s="1" t="s">
        <v>17</v>
      </c>
      <c r="E17" s="1" t="s">
        <v>85</v>
      </c>
      <c r="F17" s="1" t="s">
        <v>60</v>
      </c>
      <c r="G17" s="1" t="s">
        <v>69</v>
      </c>
      <c r="H17" s="1" t="s">
        <v>86</v>
      </c>
      <c r="I17" s="1">
        <v>3</v>
      </c>
      <c r="J17" s="1">
        <v>51.92</v>
      </c>
      <c r="K17" s="1">
        <v>30</v>
      </c>
      <c r="L17" s="1">
        <v>109.03</v>
      </c>
      <c r="M17" s="1">
        <v>13.39</v>
      </c>
      <c r="N17" s="1">
        <v>17.760000000000002</v>
      </c>
      <c r="O17" s="6" t="s">
        <v>39</v>
      </c>
      <c r="P17" s="8">
        <f>Table1[Quantity]*Table1[Unit_Price]</f>
        <v>155.76</v>
      </c>
      <c r="Q17" s="1">
        <f>Table1[Profit]/Table1[Total_Sales]</f>
        <v>0.16289094744565716</v>
      </c>
      <c r="R17" s="14">
        <f>Table1[Total_Sales]+Table1[Shipping_Cost]</f>
        <v>122.42</v>
      </c>
    </row>
    <row r="18" spans="1:18" x14ac:dyDescent="0.35">
      <c r="A18" s="3" t="s">
        <v>87</v>
      </c>
      <c r="B18" s="2">
        <v>44939</v>
      </c>
      <c r="C18" s="1" t="s">
        <v>88</v>
      </c>
      <c r="D18" s="1" t="s">
        <v>30</v>
      </c>
      <c r="E18" s="1" t="s">
        <v>53</v>
      </c>
      <c r="F18" s="1" t="s">
        <v>54</v>
      </c>
      <c r="G18" s="1" t="s">
        <v>42</v>
      </c>
      <c r="H18" s="1" t="s">
        <v>89</v>
      </c>
      <c r="I18" s="1">
        <v>3</v>
      </c>
      <c r="J18" s="1">
        <v>358.6</v>
      </c>
      <c r="K18" s="1">
        <v>15</v>
      </c>
      <c r="L18" s="1">
        <v>914.43</v>
      </c>
      <c r="M18" s="1">
        <v>14.74</v>
      </c>
      <c r="N18" s="1">
        <v>254.21</v>
      </c>
      <c r="O18" s="6" t="s">
        <v>22</v>
      </c>
      <c r="P18" s="8">
        <f>Table1[Quantity]*Table1[Unit_Price]</f>
        <v>1075.8000000000002</v>
      </c>
      <c r="Q18" s="1">
        <f>Table1[Profit]/Table1[Total_Sales]</f>
        <v>0.27799831589077351</v>
      </c>
      <c r="R18" s="14">
        <f>Table1[Total_Sales]+Table1[Shipping_Cost]</f>
        <v>929.17</v>
      </c>
    </row>
    <row r="19" spans="1:18" x14ac:dyDescent="0.35">
      <c r="A19" s="3" t="s">
        <v>90</v>
      </c>
      <c r="B19" s="2">
        <v>44940</v>
      </c>
      <c r="C19" s="1" t="s">
        <v>91</v>
      </c>
      <c r="D19" s="1" t="s">
        <v>49</v>
      </c>
      <c r="E19" s="1" t="s">
        <v>92</v>
      </c>
      <c r="F19" s="1" t="s">
        <v>60</v>
      </c>
      <c r="G19" s="1" t="s">
        <v>42</v>
      </c>
      <c r="H19" s="1" t="s">
        <v>93</v>
      </c>
      <c r="I19" s="1">
        <v>2</v>
      </c>
      <c r="J19" s="1">
        <v>446.8</v>
      </c>
      <c r="K19" s="1">
        <v>5</v>
      </c>
      <c r="L19" s="1">
        <v>848.92</v>
      </c>
      <c r="M19" s="1">
        <v>13.59</v>
      </c>
      <c r="N19" s="1">
        <v>299.17</v>
      </c>
      <c r="O19" s="6" t="s">
        <v>22</v>
      </c>
      <c r="P19" s="8">
        <f>Table1[Quantity]*Table1[Unit_Price]</f>
        <v>893.6</v>
      </c>
      <c r="Q19" s="1">
        <f>Table1[Profit]/Table1[Total_Sales]</f>
        <v>0.35241247702963768</v>
      </c>
      <c r="R19" s="14">
        <f>Table1[Total_Sales]+Table1[Shipping_Cost]</f>
        <v>862.51</v>
      </c>
    </row>
    <row r="20" spans="1:18" x14ac:dyDescent="0.35">
      <c r="A20" s="3" t="s">
        <v>94</v>
      </c>
      <c r="B20" s="2">
        <v>44940</v>
      </c>
      <c r="C20" s="1" t="s">
        <v>95</v>
      </c>
      <c r="D20" s="1" t="s">
        <v>30</v>
      </c>
      <c r="E20" s="1" t="s">
        <v>31</v>
      </c>
      <c r="F20" s="1" t="s">
        <v>19</v>
      </c>
      <c r="G20" s="1" t="s">
        <v>42</v>
      </c>
      <c r="H20" s="1" t="s">
        <v>64</v>
      </c>
      <c r="I20" s="1">
        <v>6</v>
      </c>
      <c r="J20" s="1">
        <v>96.58</v>
      </c>
      <c r="K20" s="1">
        <v>0</v>
      </c>
      <c r="L20" s="1">
        <v>579.48</v>
      </c>
      <c r="M20" s="1">
        <v>10.220000000000001</v>
      </c>
      <c r="N20" s="1">
        <v>221.57</v>
      </c>
      <c r="O20" s="6" t="s">
        <v>34</v>
      </c>
      <c r="P20" s="8">
        <f>Table1[Quantity]*Table1[Unit_Price]</f>
        <v>579.48</v>
      </c>
      <c r="Q20" s="1">
        <f>Table1[Profit]/Table1[Total_Sales]</f>
        <v>0.38236004693863462</v>
      </c>
      <c r="R20" s="14">
        <f>Table1[Total_Sales]+Table1[Shipping_Cost]</f>
        <v>589.70000000000005</v>
      </c>
    </row>
    <row r="21" spans="1:18" x14ac:dyDescent="0.35">
      <c r="A21" s="3" t="s">
        <v>96</v>
      </c>
      <c r="B21" s="2">
        <v>44940</v>
      </c>
      <c r="C21" s="1" t="s">
        <v>97</v>
      </c>
      <c r="D21" s="1" t="s">
        <v>49</v>
      </c>
      <c r="E21" s="1" t="s">
        <v>37</v>
      </c>
      <c r="F21" s="1" t="s">
        <v>26</v>
      </c>
      <c r="G21" s="1" t="s">
        <v>69</v>
      </c>
      <c r="H21" s="1" t="s">
        <v>98</v>
      </c>
      <c r="I21" s="1">
        <v>1</v>
      </c>
      <c r="J21" s="1">
        <v>27.9</v>
      </c>
      <c r="K21" s="1">
        <v>5</v>
      </c>
      <c r="L21" s="1">
        <v>26.5</v>
      </c>
      <c r="M21" s="1">
        <v>8.93</v>
      </c>
      <c r="N21" s="1">
        <v>3.62</v>
      </c>
      <c r="O21" s="6" t="s">
        <v>39</v>
      </c>
      <c r="P21" s="8">
        <f>Table1[Quantity]*Table1[Unit_Price]</f>
        <v>27.9</v>
      </c>
      <c r="Q21" s="1">
        <f>Table1[Profit]/Table1[Total_Sales]</f>
        <v>0.13660377358490566</v>
      </c>
      <c r="R21" s="14">
        <f>Table1[Total_Sales]+Table1[Shipping_Cost]</f>
        <v>35.43</v>
      </c>
    </row>
    <row r="22" spans="1:18" x14ac:dyDescent="0.35">
      <c r="A22" s="3" t="s">
        <v>99</v>
      </c>
      <c r="B22" s="2">
        <v>44941</v>
      </c>
      <c r="C22" s="1" t="s">
        <v>100</v>
      </c>
      <c r="D22" s="1" t="s">
        <v>17</v>
      </c>
      <c r="E22" s="1" t="s">
        <v>67</v>
      </c>
      <c r="F22" s="1" t="s">
        <v>68</v>
      </c>
      <c r="G22" s="1" t="s">
        <v>32</v>
      </c>
      <c r="H22" s="1" t="s">
        <v>101</v>
      </c>
      <c r="I22" s="1">
        <v>5</v>
      </c>
      <c r="J22" s="1">
        <v>9.91</v>
      </c>
      <c r="K22" s="1">
        <v>25</v>
      </c>
      <c r="L22" s="1">
        <v>37.159999999999997</v>
      </c>
      <c r="M22" s="1">
        <v>20.73</v>
      </c>
      <c r="N22" s="1">
        <v>-5.87</v>
      </c>
      <c r="O22" s="6" t="s">
        <v>22</v>
      </c>
      <c r="P22" s="8">
        <f>Table1[Quantity]*Table1[Unit_Price]</f>
        <v>49.55</v>
      </c>
      <c r="Q22" s="1">
        <f>Table1[Profit]/Table1[Total_Sales]</f>
        <v>-0.15796555435952639</v>
      </c>
      <c r="R22" s="14">
        <f>Table1[Total_Sales]+Table1[Shipping_Cost]</f>
        <v>57.89</v>
      </c>
    </row>
    <row r="23" spans="1:18" x14ac:dyDescent="0.35">
      <c r="A23" s="3" t="s">
        <v>102</v>
      </c>
      <c r="B23" s="2">
        <v>44941</v>
      </c>
      <c r="C23" s="1" t="s">
        <v>103</v>
      </c>
      <c r="D23" s="1" t="s">
        <v>30</v>
      </c>
      <c r="E23" s="1" t="s">
        <v>67</v>
      </c>
      <c r="F23" s="1" t="s">
        <v>68</v>
      </c>
      <c r="G23" s="1" t="s">
        <v>69</v>
      </c>
      <c r="H23" s="1" t="s">
        <v>98</v>
      </c>
      <c r="I23" s="1">
        <v>2</v>
      </c>
      <c r="J23" s="1">
        <v>47</v>
      </c>
      <c r="K23" s="1">
        <v>10</v>
      </c>
      <c r="L23" s="1">
        <v>84.6</v>
      </c>
      <c r="M23" s="1">
        <v>14.83</v>
      </c>
      <c r="N23" s="1">
        <v>22.77</v>
      </c>
      <c r="O23" s="6" t="s">
        <v>34</v>
      </c>
      <c r="P23" s="8">
        <f>Table1[Quantity]*Table1[Unit_Price]</f>
        <v>94</v>
      </c>
      <c r="Q23" s="1">
        <f>Table1[Profit]/Table1[Total_Sales]</f>
        <v>0.26914893617021279</v>
      </c>
      <c r="R23" s="14">
        <f>Table1[Total_Sales]+Table1[Shipping_Cost]</f>
        <v>99.429999999999993</v>
      </c>
    </row>
    <row r="24" spans="1:18" x14ac:dyDescent="0.35">
      <c r="A24" s="3" t="s">
        <v>104</v>
      </c>
      <c r="B24" s="2">
        <v>44943</v>
      </c>
      <c r="C24" s="1" t="s">
        <v>105</v>
      </c>
      <c r="D24" s="1" t="s">
        <v>49</v>
      </c>
      <c r="E24" s="1" t="s">
        <v>18</v>
      </c>
      <c r="F24" s="1" t="s">
        <v>19</v>
      </c>
      <c r="G24" s="1" t="s">
        <v>20</v>
      </c>
      <c r="H24" s="1" t="s">
        <v>106</v>
      </c>
      <c r="I24" s="1">
        <v>2</v>
      </c>
      <c r="J24" s="1">
        <v>32.909999999999997</v>
      </c>
      <c r="K24" s="1">
        <v>0</v>
      </c>
      <c r="L24" s="1">
        <v>65.819999999999993</v>
      </c>
      <c r="M24" s="1">
        <v>7.55</v>
      </c>
      <c r="N24" s="1">
        <v>22.07</v>
      </c>
      <c r="O24" s="6" t="s">
        <v>39</v>
      </c>
      <c r="P24" s="8">
        <f>Table1[Quantity]*Table1[Unit_Price]</f>
        <v>65.819999999999993</v>
      </c>
      <c r="Q24" s="1">
        <f>Table1[Profit]/Table1[Total_Sales]</f>
        <v>0.33530841689456098</v>
      </c>
      <c r="R24" s="14">
        <f>Table1[Total_Sales]+Table1[Shipping_Cost]</f>
        <v>73.36999999999999</v>
      </c>
    </row>
    <row r="25" spans="1:18" x14ac:dyDescent="0.35">
      <c r="A25" s="3" t="s">
        <v>107</v>
      </c>
      <c r="B25" s="2">
        <v>44943</v>
      </c>
      <c r="C25" s="1" t="s">
        <v>108</v>
      </c>
      <c r="D25" s="1" t="s">
        <v>17</v>
      </c>
      <c r="E25" s="1" t="s">
        <v>109</v>
      </c>
      <c r="F25" s="1" t="s">
        <v>54</v>
      </c>
      <c r="G25" s="1" t="s">
        <v>32</v>
      </c>
      <c r="H25" s="1" t="s">
        <v>110</v>
      </c>
      <c r="I25" s="1">
        <v>2</v>
      </c>
      <c r="J25" s="1">
        <v>11.41</v>
      </c>
      <c r="K25" s="1">
        <v>5</v>
      </c>
      <c r="L25" s="1">
        <v>21.68</v>
      </c>
      <c r="M25" s="1">
        <v>15.26</v>
      </c>
      <c r="N25" s="1">
        <v>-3.85</v>
      </c>
      <c r="O25" s="6" t="s">
        <v>56</v>
      </c>
      <c r="P25" s="8">
        <f>Table1[Quantity]*Table1[Unit_Price]</f>
        <v>22.82</v>
      </c>
      <c r="Q25" s="1">
        <f>Table1[Profit]/Table1[Total_Sales]</f>
        <v>-0.17758302583025831</v>
      </c>
      <c r="R25" s="14">
        <f>Table1[Total_Sales]+Table1[Shipping_Cost]</f>
        <v>36.94</v>
      </c>
    </row>
    <row r="26" spans="1:18" x14ac:dyDescent="0.35">
      <c r="A26" s="3" t="s">
        <v>111</v>
      </c>
      <c r="B26" s="2">
        <v>44944</v>
      </c>
      <c r="C26" s="1" t="s">
        <v>112</v>
      </c>
      <c r="D26" s="1" t="s">
        <v>30</v>
      </c>
      <c r="E26" s="1" t="s">
        <v>31</v>
      </c>
      <c r="F26" s="1" t="s">
        <v>19</v>
      </c>
      <c r="G26" s="1" t="s">
        <v>42</v>
      </c>
      <c r="H26" s="1" t="s">
        <v>43</v>
      </c>
      <c r="I26" s="1">
        <v>5</v>
      </c>
      <c r="J26" s="1">
        <v>333.59</v>
      </c>
      <c r="K26" s="1">
        <v>10</v>
      </c>
      <c r="L26" s="1">
        <v>1501.15</v>
      </c>
      <c r="M26" s="1">
        <v>9.02</v>
      </c>
      <c r="N26" s="1">
        <v>491.36</v>
      </c>
      <c r="O26" s="6" t="s">
        <v>34</v>
      </c>
      <c r="P26" s="8">
        <f>Table1[Quantity]*Table1[Unit_Price]</f>
        <v>1667.9499999999998</v>
      </c>
      <c r="Q26" s="1">
        <f>Table1[Profit]/Table1[Total_Sales]</f>
        <v>0.32732238617060255</v>
      </c>
      <c r="R26" s="14">
        <f>Table1[Total_Sales]+Table1[Shipping_Cost]</f>
        <v>1510.17</v>
      </c>
    </row>
    <row r="27" spans="1:18" x14ac:dyDescent="0.35">
      <c r="A27" s="3" t="s">
        <v>113</v>
      </c>
      <c r="B27" s="2">
        <v>44946</v>
      </c>
      <c r="C27" s="1" t="s">
        <v>114</v>
      </c>
      <c r="D27" s="1" t="s">
        <v>30</v>
      </c>
      <c r="E27" s="1" t="s">
        <v>109</v>
      </c>
      <c r="F27" s="1" t="s">
        <v>54</v>
      </c>
      <c r="G27" s="1" t="s">
        <v>32</v>
      </c>
      <c r="H27" s="1" t="s">
        <v>115</v>
      </c>
      <c r="I27" s="1">
        <v>7</v>
      </c>
      <c r="J27" s="1">
        <v>10.6</v>
      </c>
      <c r="K27" s="1">
        <v>20</v>
      </c>
      <c r="L27" s="1">
        <v>59.36</v>
      </c>
      <c r="M27" s="1">
        <v>18.260000000000002</v>
      </c>
      <c r="N27" s="1">
        <v>7.71</v>
      </c>
      <c r="O27" s="6" t="s">
        <v>56</v>
      </c>
      <c r="P27" s="8">
        <f>Table1[Quantity]*Table1[Unit_Price]</f>
        <v>74.2</v>
      </c>
      <c r="Q27" s="1">
        <f>Table1[Profit]/Table1[Total_Sales]</f>
        <v>0.12988544474393532</v>
      </c>
      <c r="R27" s="14">
        <f>Table1[Total_Sales]+Table1[Shipping_Cost]</f>
        <v>77.62</v>
      </c>
    </row>
    <row r="28" spans="1:18" x14ac:dyDescent="0.35">
      <c r="A28" s="3" t="s">
        <v>116</v>
      </c>
      <c r="B28" s="2">
        <v>44946</v>
      </c>
      <c r="C28" s="1" t="s">
        <v>117</v>
      </c>
      <c r="D28" s="1" t="s">
        <v>49</v>
      </c>
      <c r="E28" s="1" t="s">
        <v>92</v>
      </c>
      <c r="F28" s="1" t="s">
        <v>60</v>
      </c>
      <c r="G28" s="1" t="s">
        <v>42</v>
      </c>
      <c r="H28" s="1" t="s">
        <v>118</v>
      </c>
      <c r="I28" s="1">
        <v>2</v>
      </c>
      <c r="J28" s="1">
        <v>67.38</v>
      </c>
      <c r="K28" s="1">
        <v>5</v>
      </c>
      <c r="L28" s="1">
        <v>128.02000000000001</v>
      </c>
      <c r="M28" s="1">
        <v>11</v>
      </c>
      <c r="N28" s="1">
        <v>36.159999999999997</v>
      </c>
      <c r="O28" s="6" t="s">
        <v>22</v>
      </c>
      <c r="P28" s="8">
        <f>Table1[Quantity]*Table1[Unit_Price]</f>
        <v>134.76</v>
      </c>
      <c r="Q28" s="1">
        <f>Table1[Profit]/Table1[Total_Sales]</f>
        <v>0.28245586627089514</v>
      </c>
      <c r="R28" s="14">
        <f>Table1[Total_Sales]+Table1[Shipping_Cost]</f>
        <v>139.02000000000001</v>
      </c>
    </row>
    <row r="29" spans="1:18" x14ac:dyDescent="0.35">
      <c r="A29" s="3" t="s">
        <v>119</v>
      </c>
      <c r="B29" s="2">
        <v>44946</v>
      </c>
      <c r="C29" s="1" t="s">
        <v>120</v>
      </c>
      <c r="D29" s="1" t="s">
        <v>30</v>
      </c>
      <c r="E29" s="1" t="s">
        <v>121</v>
      </c>
      <c r="F29" s="1" t="s">
        <v>68</v>
      </c>
      <c r="G29" s="1" t="s">
        <v>20</v>
      </c>
      <c r="H29" s="1" t="s">
        <v>122</v>
      </c>
      <c r="I29" s="1">
        <v>4</v>
      </c>
      <c r="J29" s="1">
        <v>121.25</v>
      </c>
      <c r="K29" s="1">
        <v>0</v>
      </c>
      <c r="L29" s="1">
        <v>485</v>
      </c>
      <c r="M29" s="1">
        <v>18.53</v>
      </c>
      <c r="N29" s="1">
        <v>199.72</v>
      </c>
      <c r="O29" s="6" t="s">
        <v>39</v>
      </c>
      <c r="P29" s="8">
        <f>Table1[Quantity]*Table1[Unit_Price]</f>
        <v>485</v>
      </c>
      <c r="Q29" s="1">
        <f>Table1[Profit]/Table1[Total_Sales]</f>
        <v>0.41179381443298968</v>
      </c>
      <c r="R29" s="14">
        <f>Table1[Total_Sales]+Table1[Shipping_Cost]</f>
        <v>503.53</v>
      </c>
    </row>
    <row r="30" spans="1:18" x14ac:dyDescent="0.35">
      <c r="A30" s="3" t="s">
        <v>123</v>
      </c>
      <c r="B30" s="2">
        <v>44946</v>
      </c>
      <c r="C30" s="1" t="s">
        <v>124</v>
      </c>
      <c r="D30" s="1" t="s">
        <v>49</v>
      </c>
      <c r="E30" s="1" t="s">
        <v>85</v>
      </c>
      <c r="F30" s="1" t="s">
        <v>60</v>
      </c>
      <c r="G30" s="1" t="s">
        <v>32</v>
      </c>
      <c r="H30" s="1" t="s">
        <v>101</v>
      </c>
      <c r="I30" s="1">
        <v>4</v>
      </c>
      <c r="J30" s="1">
        <v>19.920000000000002</v>
      </c>
      <c r="K30" s="1">
        <v>0</v>
      </c>
      <c r="L30" s="1">
        <v>79.680000000000007</v>
      </c>
      <c r="M30" s="1">
        <v>16.010000000000002</v>
      </c>
      <c r="N30" s="1">
        <v>27.81</v>
      </c>
      <c r="O30" s="6" t="s">
        <v>22</v>
      </c>
      <c r="P30" s="8">
        <f>Table1[Quantity]*Table1[Unit_Price]</f>
        <v>79.680000000000007</v>
      </c>
      <c r="Q30" s="1">
        <f>Table1[Profit]/Table1[Total_Sales]</f>
        <v>0.34902108433734935</v>
      </c>
      <c r="R30" s="14">
        <f>Table1[Total_Sales]+Table1[Shipping_Cost]</f>
        <v>95.690000000000012</v>
      </c>
    </row>
    <row r="31" spans="1:18" x14ac:dyDescent="0.35">
      <c r="A31" s="3" t="s">
        <v>125</v>
      </c>
      <c r="B31" s="2">
        <v>44948</v>
      </c>
      <c r="C31" s="1" t="s">
        <v>126</v>
      </c>
      <c r="D31" s="1" t="s">
        <v>30</v>
      </c>
      <c r="E31" s="1" t="s">
        <v>59</v>
      </c>
      <c r="F31" s="1" t="s">
        <v>60</v>
      </c>
      <c r="G31" s="1" t="s">
        <v>20</v>
      </c>
      <c r="H31" s="1" t="s">
        <v>106</v>
      </c>
      <c r="I31" s="1">
        <v>3</v>
      </c>
      <c r="J31" s="1">
        <v>34.979999999999997</v>
      </c>
      <c r="K31" s="1">
        <v>5</v>
      </c>
      <c r="L31" s="1">
        <v>99.69</v>
      </c>
      <c r="M31" s="1">
        <v>14.67</v>
      </c>
      <c r="N31" s="1">
        <v>27.3</v>
      </c>
      <c r="O31" s="6" t="s">
        <v>34</v>
      </c>
      <c r="P31" s="8">
        <f>Table1[Quantity]*Table1[Unit_Price]</f>
        <v>104.94</v>
      </c>
      <c r="Q31" s="1">
        <f>Table1[Profit]/Table1[Total_Sales]</f>
        <v>0.27384893168823354</v>
      </c>
      <c r="R31" s="14">
        <f>Table1[Total_Sales]+Table1[Shipping_Cost]</f>
        <v>114.36</v>
      </c>
    </row>
    <row r="32" spans="1:18" x14ac:dyDescent="0.35">
      <c r="A32" s="3" t="s">
        <v>127</v>
      </c>
      <c r="B32" s="2">
        <v>44949</v>
      </c>
      <c r="C32" s="1" t="s">
        <v>128</v>
      </c>
      <c r="D32" s="1" t="s">
        <v>30</v>
      </c>
      <c r="E32" s="1" t="s">
        <v>129</v>
      </c>
      <c r="F32" s="1" t="s">
        <v>19</v>
      </c>
      <c r="G32" s="1" t="s">
        <v>42</v>
      </c>
      <c r="H32" s="1" t="s">
        <v>118</v>
      </c>
      <c r="I32" s="1">
        <v>4</v>
      </c>
      <c r="J32" s="1">
        <v>37.18</v>
      </c>
      <c r="K32" s="1">
        <v>5</v>
      </c>
      <c r="L32" s="1">
        <v>141.28</v>
      </c>
      <c r="M32" s="1">
        <v>12.28</v>
      </c>
      <c r="N32" s="1">
        <v>39.770000000000003</v>
      </c>
      <c r="O32" s="6" t="s">
        <v>34</v>
      </c>
      <c r="P32" s="8">
        <f>Table1[Quantity]*Table1[Unit_Price]</f>
        <v>148.72</v>
      </c>
      <c r="Q32" s="1">
        <f>Table1[Profit]/Table1[Total_Sales]</f>
        <v>0.2814977349943375</v>
      </c>
      <c r="R32" s="14">
        <f>Table1[Total_Sales]+Table1[Shipping_Cost]</f>
        <v>153.56</v>
      </c>
    </row>
    <row r="33" spans="1:18" x14ac:dyDescent="0.35">
      <c r="A33" s="3" t="s">
        <v>130</v>
      </c>
      <c r="B33" s="2">
        <v>44949</v>
      </c>
      <c r="C33" s="1" t="s">
        <v>131</v>
      </c>
      <c r="D33" s="1" t="s">
        <v>30</v>
      </c>
      <c r="E33" s="1" t="s">
        <v>76</v>
      </c>
      <c r="F33" s="1" t="s">
        <v>26</v>
      </c>
      <c r="G33" s="1" t="s">
        <v>32</v>
      </c>
      <c r="H33" s="1" t="s">
        <v>132</v>
      </c>
      <c r="I33" s="1">
        <v>1</v>
      </c>
      <c r="J33" s="1">
        <v>8.5399999999999991</v>
      </c>
      <c r="K33" s="1">
        <v>15</v>
      </c>
      <c r="L33" s="1">
        <v>7.26</v>
      </c>
      <c r="M33" s="1">
        <v>7.97</v>
      </c>
      <c r="N33" s="1">
        <v>-4.55</v>
      </c>
      <c r="O33" s="6" t="s">
        <v>34</v>
      </c>
      <c r="P33" s="8">
        <f>Table1[Quantity]*Table1[Unit_Price]</f>
        <v>8.5399999999999991</v>
      </c>
      <c r="Q33" s="1">
        <f>Table1[Profit]/Table1[Total_Sales]</f>
        <v>-0.6267217630853994</v>
      </c>
      <c r="R33" s="14">
        <f>Table1[Total_Sales]+Table1[Shipping_Cost]</f>
        <v>15.23</v>
      </c>
    </row>
    <row r="34" spans="1:18" x14ac:dyDescent="0.35">
      <c r="A34" s="3" t="s">
        <v>133</v>
      </c>
      <c r="B34" s="2">
        <v>44950</v>
      </c>
      <c r="C34" s="1" t="s">
        <v>134</v>
      </c>
      <c r="D34" s="1" t="s">
        <v>30</v>
      </c>
      <c r="E34" s="1" t="s">
        <v>135</v>
      </c>
      <c r="F34" s="1" t="s">
        <v>26</v>
      </c>
      <c r="G34" s="1" t="s">
        <v>32</v>
      </c>
      <c r="H34" s="1" t="s">
        <v>73</v>
      </c>
      <c r="I34" s="1">
        <v>2</v>
      </c>
      <c r="J34" s="1">
        <v>8.5299999999999994</v>
      </c>
      <c r="K34" s="1">
        <v>5</v>
      </c>
      <c r="L34" s="1">
        <v>16.21</v>
      </c>
      <c r="M34" s="1">
        <v>9.3000000000000007</v>
      </c>
      <c r="N34" s="1">
        <v>-0.77</v>
      </c>
      <c r="O34" s="6" t="s">
        <v>34</v>
      </c>
      <c r="P34" s="8">
        <f>Table1[Quantity]*Table1[Unit_Price]</f>
        <v>17.059999999999999</v>
      </c>
      <c r="Q34" s="1">
        <f>Table1[Profit]/Table1[Total_Sales]</f>
        <v>-4.7501542257865514E-2</v>
      </c>
      <c r="R34" s="14">
        <f>Table1[Total_Sales]+Table1[Shipping_Cost]</f>
        <v>25.51</v>
      </c>
    </row>
    <row r="35" spans="1:18" x14ac:dyDescent="0.35">
      <c r="A35" s="3" t="s">
        <v>136</v>
      </c>
      <c r="B35" s="2">
        <v>44950</v>
      </c>
      <c r="C35" s="1" t="s">
        <v>137</v>
      </c>
      <c r="D35" s="1" t="s">
        <v>49</v>
      </c>
      <c r="E35" s="1" t="s">
        <v>138</v>
      </c>
      <c r="F35" s="1" t="s">
        <v>54</v>
      </c>
      <c r="G35" s="1" t="s">
        <v>69</v>
      </c>
      <c r="H35" s="1" t="s">
        <v>139</v>
      </c>
      <c r="I35" s="1">
        <v>4</v>
      </c>
      <c r="J35" s="1">
        <v>57.87</v>
      </c>
      <c r="K35" s="1">
        <v>20</v>
      </c>
      <c r="L35" s="1">
        <v>185.18</v>
      </c>
      <c r="M35" s="1">
        <v>13.88</v>
      </c>
      <c r="N35" s="1">
        <v>55.56</v>
      </c>
      <c r="O35" s="6" t="s">
        <v>39</v>
      </c>
      <c r="P35" s="8">
        <f>Table1[Quantity]*Table1[Unit_Price]</f>
        <v>231.48</v>
      </c>
      <c r="Q35" s="1">
        <f>Table1[Profit]/Table1[Total_Sales]</f>
        <v>0.30003240090722538</v>
      </c>
      <c r="R35" s="14">
        <f>Table1[Total_Sales]+Table1[Shipping_Cost]</f>
        <v>199.06</v>
      </c>
    </row>
    <row r="36" spans="1:18" x14ac:dyDescent="0.35">
      <c r="A36" s="3" t="s">
        <v>140</v>
      </c>
      <c r="B36" s="2">
        <v>44951</v>
      </c>
      <c r="C36" s="1" t="s">
        <v>141</v>
      </c>
      <c r="D36" s="1" t="s">
        <v>17</v>
      </c>
      <c r="E36" s="1" t="s">
        <v>37</v>
      </c>
      <c r="F36" s="1" t="s">
        <v>26</v>
      </c>
      <c r="G36" s="1" t="s">
        <v>32</v>
      </c>
      <c r="H36" s="1" t="s">
        <v>101</v>
      </c>
      <c r="I36" s="1">
        <v>8</v>
      </c>
      <c r="J36" s="1">
        <v>15.41</v>
      </c>
      <c r="K36" s="1">
        <v>10</v>
      </c>
      <c r="L36" s="1">
        <v>110.95</v>
      </c>
      <c r="M36" s="1">
        <v>21.9</v>
      </c>
      <c r="N36" s="1">
        <v>33.57</v>
      </c>
      <c r="O36" s="6" t="s">
        <v>39</v>
      </c>
      <c r="P36" s="8">
        <f>Table1[Quantity]*Table1[Unit_Price]</f>
        <v>123.28</v>
      </c>
      <c r="Q36" s="1">
        <f>Table1[Profit]/Table1[Total_Sales]</f>
        <v>0.30256872465074358</v>
      </c>
      <c r="R36" s="14">
        <f>Table1[Total_Sales]+Table1[Shipping_Cost]</f>
        <v>132.85</v>
      </c>
    </row>
    <row r="37" spans="1:18" x14ac:dyDescent="0.35">
      <c r="A37" s="3" t="s">
        <v>142</v>
      </c>
      <c r="B37" s="2">
        <v>44952</v>
      </c>
      <c r="C37" s="1" t="s">
        <v>143</v>
      </c>
      <c r="D37" s="1" t="s">
        <v>30</v>
      </c>
      <c r="E37" s="1" t="s">
        <v>18</v>
      </c>
      <c r="F37" s="1" t="s">
        <v>19</v>
      </c>
      <c r="G37" s="1" t="s">
        <v>20</v>
      </c>
      <c r="H37" s="1" t="s">
        <v>27</v>
      </c>
      <c r="I37" s="1">
        <v>1</v>
      </c>
      <c r="J37" s="1">
        <v>167.57</v>
      </c>
      <c r="K37" s="1">
        <v>5</v>
      </c>
      <c r="L37" s="1">
        <v>159.19</v>
      </c>
      <c r="M37" s="1">
        <v>6.21</v>
      </c>
      <c r="N37" s="1">
        <v>60.82</v>
      </c>
      <c r="O37" s="6" t="s">
        <v>39</v>
      </c>
      <c r="P37" s="8">
        <f>Table1[Quantity]*Table1[Unit_Price]</f>
        <v>167.57</v>
      </c>
      <c r="Q37" s="1">
        <f>Table1[Profit]/Table1[Total_Sales]</f>
        <v>0.38205917457126704</v>
      </c>
      <c r="R37" s="14">
        <f>Table1[Total_Sales]+Table1[Shipping_Cost]</f>
        <v>165.4</v>
      </c>
    </row>
    <row r="38" spans="1:18" x14ac:dyDescent="0.35">
      <c r="A38" s="3" t="s">
        <v>144</v>
      </c>
      <c r="B38" s="2">
        <v>44953</v>
      </c>
      <c r="C38" s="1" t="s">
        <v>145</v>
      </c>
      <c r="D38" s="1" t="s">
        <v>30</v>
      </c>
      <c r="E38" s="1" t="s">
        <v>63</v>
      </c>
      <c r="F38" s="1" t="s">
        <v>54</v>
      </c>
      <c r="G38" s="1" t="s">
        <v>42</v>
      </c>
      <c r="H38" s="1" t="s">
        <v>93</v>
      </c>
      <c r="I38" s="1">
        <v>2</v>
      </c>
      <c r="J38" s="1">
        <v>212.13</v>
      </c>
      <c r="K38" s="1">
        <v>0</v>
      </c>
      <c r="L38" s="1">
        <v>424.26</v>
      </c>
      <c r="M38" s="1">
        <v>14.72</v>
      </c>
      <c r="N38" s="1">
        <v>154.97999999999999</v>
      </c>
      <c r="O38" s="6" t="s">
        <v>22</v>
      </c>
      <c r="P38" s="8">
        <f>Table1[Quantity]*Table1[Unit_Price]</f>
        <v>424.26</v>
      </c>
      <c r="Q38" s="1">
        <f>Table1[Profit]/Table1[Total_Sales]</f>
        <v>0.36529486635553671</v>
      </c>
      <c r="R38" s="14">
        <f>Table1[Total_Sales]+Table1[Shipping_Cost]</f>
        <v>438.98</v>
      </c>
    </row>
    <row r="39" spans="1:18" x14ac:dyDescent="0.35">
      <c r="A39" s="3" t="s">
        <v>146</v>
      </c>
      <c r="B39" s="2">
        <v>44954</v>
      </c>
      <c r="C39" s="1" t="s">
        <v>147</v>
      </c>
      <c r="D39" s="1" t="s">
        <v>17</v>
      </c>
      <c r="E39" s="1" t="s">
        <v>148</v>
      </c>
      <c r="F39" s="1" t="s">
        <v>60</v>
      </c>
      <c r="G39" s="1" t="s">
        <v>32</v>
      </c>
      <c r="H39" s="1" t="s">
        <v>149</v>
      </c>
      <c r="I39" s="1">
        <v>5</v>
      </c>
      <c r="J39" s="1">
        <v>9.02</v>
      </c>
      <c r="K39" s="1">
        <v>15</v>
      </c>
      <c r="L39" s="1">
        <v>38.33</v>
      </c>
      <c r="M39" s="1">
        <v>17.7</v>
      </c>
      <c r="N39" s="1">
        <v>0.34</v>
      </c>
      <c r="O39" s="6" t="s">
        <v>34</v>
      </c>
      <c r="P39" s="8">
        <f>Table1[Quantity]*Table1[Unit_Price]</f>
        <v>45.099999999999994</v>
      </c>
      <c r="Q39" s="1">
        <f>Table1[Profit]/Table1[Total_Sales]</f>
        <v>8.870336551004436E-3</v>
      </c>
      <c r="R39" s="14">
        <f>Table1[Total_Sales]+Table1[Shipping_Cost]</f>
        <v>56.03</v>
      </c>
    </row>
    <row r="40" spans="1:18" x14ac:dyDescent="0.35">
      <c r="A40" s="3" t="s">
        <v>150</v>
      </c>
      <c r="B40" s="2">
        <v>44954</v>
      </c>
      <c r="C40" s="1" t="s">
        <v>151</v>
      </c>
      <c r="D40" s="1" t="s">
        <v>30</v>
      </c>
      <c r="E40" s="1" t="s">
        <v>31</v>
      </c>
      <c r="F40" s="1" t="s">
        <v>19</v>
      </c>
      <c r="G40" s="1" t="s">
        <v>20</v>
      </c>
      <c r="H40" s="1" t="s">
        <v>38</v>
      </c>
      <c r="I40" s="1">
        <v>3</v>
      </c>
      <c r="J40" s="1">
        <v>55.78</v>
      </c>
      <c r="K40" s="1">
        <v>0</v>
      </c>
      <c r="L40" s="1">
        <v>167.34</v>
      </c>
      <c r="M40" s="1">
        <v>9.3800000000000008</v>
      </c>
      <c r="N40" s="1">
        <v>65.92</v>
      </c>
      <c r="O40" s="6" t="s">
        <v>34</v>
      </c>
      <c r="P40" s="8">
        <f>Table1[Quantity]*Table1[Unit_Price]</f>
        <v>167.34</v>
      </c>
      <c r="Q40" s="1">
        <f>Table1[Profit]/Table1[Total_Sales]</f>
        <v>0.39392852874387474</v>
      </c>
      <c r="R40" s="14">
        <f>Table1[Total_Sales]+Table1[Shipping_Cost]</f>
        <v>176.72</v>
      </c>
    </row>
    <row r="41" spans="1:18" x14ac:dyDescent="0.35">
      <c r="A41" s="3" t="s">
        <v>152</v>
      </c>
      <c r="B41" s="2">
        <v>44954</v>
      </c>
      <c r="C41" s="1" t="s">
        <v>153</v>
      </c>
      <c r="D41" s="1" t="s">
        <v>30</v>
      </c>
      <c r="E41" s="1" t="s">
        <v>76</v>
      </c>
      <c r="F41" s="1" t="s">
        <v>26</v>
      </c>
      <c r="G41" s="1" t="s">
        <v>32</v>
      </c>
      <c r="H41" s="1" t="s">
        <v>50</v>
      </c>
      <c r="I41" s="1">
        <v>5</v>
      </c>
      <c r="J41" s="1">
        <v>10.25</v>
      </c>
      <c r="K41" s="1">
        <v>0</v>
      </c>
      <c r="L41" s="1">
        <v>51.25</v>
      </c>
      <c r="M41" s="1">
        <v>18.89</v>
      </c>
      <c r="N41" s="1">
        <v>9.3000000000000007</v>
      </c>
      <c r="O41" s="6" t="s">
        <v>39</v>
      </c>
      <c r="P41" s="8">
        <f>Table1[Quantity]*Table1[Unit_Price]</f>
        <v>51.25</v>
      </c>
      <c r="Q41" s="1">
        <f>Table1[Profit]/Table1[Total_Sales]</f>
        <v>0.18146341463414636</v>
      </c>
      <c r="R41" s="14">
        <f>Table1[Total_Sales]+Table1[Shipping_Cost]</f>
        <v>70.14</v>
      </c>
    </row>
    <row r="42" spans="1:18" x14ac:dyDescent="0.35">
      <c r="A42" s="3" t="s">
        <v>154</v>
      </c>
      <c r="B42" s="2">
        <v>44955</v>
      </c>
      <c r="C42" s="1" t="s">
        <v>155</v>
      </c>
      <c r="D42" s="1" t="s">
        <v>49</v>
      </c>
      <c r="E42" s="1" t="s">
        <v>121</v>
      </c>
      <c r="F42" s="1" t="s">
        <v>68</v>
      </c>
      <c r="G42" s="1" t="s">
        <v>69</v>
      </c>
      <c r="H42" s="1" t="s">
        <v>139</v>
      </c>
      <c r="I42" s="1">
        <v>1</v>
      </c>
      <c r="J42" s="1">
        <v>54.25</v>
      </c>
      <c r="K42" s="1">
        <v>0</v>
      </c>
      <c r="L42" s="1">
        <v>54.25</v>
      </c>
      <c r="M42" s="1">
        <v>11.58</v>
      </c>
      <c r="N42" s="1">
        <v>15.54</v>
      </c>
      <c r="O42" s="6" t="s">
        <v>34</v>
      </c>
      <c r="P42" s="8">
        <f>Table1[Quantity]*Table1[Unit_Price]</f>
        <v>54.25</v>
      </c>
      <c r="Q42" s="1">
        <f>Table1[Profit]/Table1[Total_Sales]</f>
        <v>0.28645161290322579</v>
      </c>
      <c r="R42" s="14">
        <f>Table1[Total_Sales]+Table1[Shipping_Cost]</f>
        <v>65.83</v>
      </c>
    </row>
    <row r="43" spans="1:18" x14ac:dyDescent="0.35">
      <c r="A43" s="3" t="s">
        <v>156</v>
      </c>
      <c r="B43" s="2">
        <v>44956</v>
      </c>
      <c r="C43" s="1" t="s">
        <v>157</v>
      </c>
      <c r="D43" s="1" t="s">
        <v>30</v>
      </c>
      <c r="E43" s="1" t="s">
        <v>129</v>
      </c>
      <c r="F43" s="1" t="s">
        <v>19</v>
      </c>
      <c r="G43" s="1" t="s">
        <v>32</v>
      </c>
      <c r="H43" s="1" t="s">
        <v>132</v>
      </c>
      <c r="I43" s="1">
        <v>4</v>
      </c>
      <c r="J43" s="1">
        <v>16.61</v>
      </c>
      <c r="K43" s="1">
        <v>5</v>
      </c>
      <c r="L43" s="1">
        <v>63.12</v>
      </c>
      <c r="M43" s="1">
        <v>8.4</v>
      </c>
      <c r="N43" s="1">
        <v>24.82</v>
      </c>
      <c r="O43" s="6" t="s">
        <v>56</v>
      </c>
      <c r="P43" s="8">
        <f>Table1[Quantity]*Table1[Unit_Price]</f>
        <v>66.44</v>
      </c>
      <c r="Q43" s="1">
        <f>Table1[Profit]/Table1[Total_Sales]</f>
        <v>0.39321926489226872</v>
      </c>
      <c r="R43" s="14">
        <f>Table1[Total_Sales]+Table1[Shipping_Cost]</f>
        <v>71.52</v>
      </c>
    </row>
    <row r="44" spans="1:18" x14ac:dyDescent="0.35">
      <c r="A44" s="3" t="s">
        <v>158</v>
      </c>
      <c r="B44" s="2">
        <v>44957</v>
      </c>
      <c r="C44" s="1" t="s">
        <v>159</v>
      </c>
      <c r="D44" s="1" t="s">
        <v>49</v>
      </c>
      <c r="E44" s="1" t="s">
        <v>85</v>
      </c>
      <c r="F44" s="1" t="s">
        <v>60</v>
      </c>
      <c r="G44" s="1" t="s">
        <v>69</v>
      </c>
      <c r="H44" s="1" t="s">
        <v>160</v>
      </c>
      <c r="I44" s="1">
        <v>3</v>
      </c>
      <c r="J44" s="1">
        <v>18.32</v>
      </c>
      <c r="K44" s="1">
        <v>0</v>
      </c>
      <c r="L44" s="1">
        <v>54.96</v>
      </c>
      <c r="M44" s="1">
        <v>12.91</v>
      </c>
      <c r="N44" s="1">
        <v>14.57</v>
      </c>
      <c r="O44" s="6" t="s">
        <v>34</v>
      </c>
      <c r="P44" s="8">
        <f>Table1[Quantity]*Table1[Unit_Price]</f>
        <v>54.96</v>
      </c>
      <c r="Q44" s="1">
        <f>Table1[Profit]/Table1[Total_Sales]</f>
        <v>0.2651018922852984</v>
      </c>
      <c r="R44" s="14">
        <f>Table1[Total_Sales]+Table1[Shipping_Cost]</f>
        <v>67.87</v>
      </c>
    </row>
    <row r="45" spans="1:18" x14ac:dyDescent="0.35">
      <c r="A45" s="3" t="s">
        <v>161</v>
      </c>
      <c r="B45" s="2">
        <v>44957</v>
      </c>
      <c r="C45" s="1" t="s">
        <v>162</v>
      </c>
      <c r="D45" s="1" t="s">
        <v>30</v>
      </c>
      <c r="E45" s="1" t="s">
        <v>18</v>
      </c>
      <c r="F45" s="1" t="s">
        <v>19</v>
      </c>
      <c r="G45" s="1" t="s">
        <v>69</v>
      </c>
      <c r="H45" s="1" t="s">
        <v>163</v>
      </c>
      <c r="I45" s="1">
        <v>4</v>
      </c>
      <c r="J45" s="1">
        <v>53.6</v>
      </c>
      <c r="K45" s="1">
        <v>0</v>
      </c>
      <c r="L45" s="1">
        <v>214.4</v>
      </c>
      <c r="M45" s="1">
        <v>8.52</v>
      </c>
      <c r="N45" s="1">
        <v>98.68</v>
      </c>
      <c r="O45" s="6" t="s">
        <v>39</v>
      </c>
      <c r="P45" s="8">
        <f>Table1[Quantity]*Table1[Unit_Price]</f>
        <v>214.4</v>
      </c>
      <c r="Q45" s="1">
        <f>Table1[Profit]/Table1[Total_Sales]</f>
        <v>0.46026119402985077</v>
      </c>
      <c r="R45" s="14">
        <f>Table1[Total_Sales]+Table1[Shipping_Cost]</f>
        <v>222.92000000000002</v>
      </c>
    </row>
    <row r="46" spans="1:18" x14ac:dyDescent="0.35">
      <c r="A46" s="3" t="s">
        <v>164</v>
      </c>
      <c r="B46" s="2">
        <v>44957</v>
      </c>
      <c r="C46" s="1" t="s">
        <v>165</v>
      </c>
      <c r="D46" s="1" t="s">
        <v>49</v>
      </c>
      <c r="E46" s="1" t="s">
        <v>166</v>
      </c>
      <c r="F46" s="1" t="s">
        <v>60</v>
      </c>
      <c r="G46" s="1" t="s">
        <v>42</v>
      </c>
      <c r="H46" s="1" t="s">
        <v>89</v>
      </c>
      <c r="I46" s="1">
        <v>4</v>
      </c>
      <c r="J46" s="1">
        <v>429.23</v>
      </c>
      <c r="K46" s="1">
        <v>5</v>
      </c>
      <c r="L46" s="1">
        <v>1631.07</v>
      </c>
      <c r="M46" s="1">
        <v>12.2</v>
      </c>
      <c r="N46" s="1">
        <v>588.72</v>
      </c>
      <c r="O46" s="6" t="s">
        <v>34</v>
      </c>
      <c r="P46" s="8">
        <f>Table1[Quantity]*Table1[Unit_Price]</f>
        <v>1716.92</v>
      </c>
      <c r="Q46" s="1">
        <f>Table1[Profit]/Table1[Total_Sales]</f>
        <v>0.36094097739520686</v>
      </c>
      <c r="R46" s="14">
        <f>Table1[Total_Sales]+Table1[Shipping_Cost]</f>
        <v>1643.27</v>
      </c>
    </row>
    <row r="47" spans="1:18" x14ac:dyDescent="0.35">
      <c r="A47" s="3" t="s">
        <v>167</v>
      </c>
      <c r="B47" s="2">
        <v>44957</v>
      </c>
      <c r="C47" s="1" t="s">
        <v>168</v>
      </c>
      <c r="D47" s="1" t="s">
        <v>17</v>
      </c>
      <c r="E47" s="1" t="s">
        <v>169</v>
      </c>
      <c r="F47" s="1" t="s">
        <v>68</v>
      </c>
      <c r="G47" s="1" t="s">
        <v>20</v>
      </c>
      <c r="H47" s="1" t="s">
        <v>170</v>
      </c>
      <c r="I47" s="1">
        <v>2</v>
      </c>
      <c r="J47" s="1">
        <v>28.99</v>
      </c>
      <c r="K47" s="1">
        <v>10</v>
      </c>
      <c r="L47" s="1">
        <v>52.18</v>
      </c>
      <c r="M47" s="1">
        <v>12.7</v>
      </c>
      <c r="N47" s="1">
        <v>7.59</v>
      </c>
      <c r="O47" s="6" t="s">
        <v>34</v>
      </c>
      <c r="P47" s="8">
        <f>Table1[Quantity]*Table1[Unit_Price]</f>
        <v>57.98</v>
      </c>
      <c r="Q47" s="1">
        <f>Table1[Profit]/Table1[Total_Sales]</f>
        <v>0.14545802989651208</v>
      </c>
      <c r="R47" s="14">
        <f>Table1[Total_Sales]+Table1[Shipping_Cost]</f>
        <v>64.88</v>
      </c>
    </row>
    <row r="48" spans="1:18" x14ac:dyDescent="0.35">
      <c r="A48" s="3" t="s">
        <v>171</v>
      </c>
      <c r="B48" s="2">
        <v>44957</v>
      </c>
      <c r="C48" s="1" t="s">
        <v>172</v>
      </c>
      <c r="D48" s="1" t="s">
        <v>17</v>
      </c>
      <c r="E48" s="1" t="s">
        <v>53</v>
      </c>
      <c r="F48" s="1" t="s">
        <v>54</v>
      </c>
      <c r="G48" s="1" t="s">
        <v>32</v>
      </c>
      <c r="H48" s="1" t="s">
        <v>33</v>
      </c>
      <c r="I48" s="1">
        <v>3</v>
      </c>
      <c r="J48" s="1">
        <v>8.65</v>
      </c>
      <c r="K48" s="1">
        <v>5</v>
      </c>
      <c r="L48" s="1">
        <v>24.65</v>
      </c>
      <c r="M48" s="1">
        <v>17.04</v>
      </c>
      <c r="N48" s="1">
        <v>-4.07</v>
      </c>
      <c r="O48" s="6" t="s">
        <v>34</v>
      </c>
      <c r="P48" s="8">
        <f>Table1[Quantity]*Table1[Unit_Price]</f>
        <v>25.950000000000003</v>
      </c>
      <c r="Q48" s="1">
        <f>Table1[Profit]/Table1[Total_Sales]</f>
        <v>-0.16511156186612577</v>
      </c>
      <c r="R48" s="14">
        <f>Table1[Total_Sales]+Table1[Shipping_Cost]</f>
        <v>41.69</v>
      </c>
    </row>
    <row r="49" spans="1:18" x14ac:dyDescent="0.35">
      <c r="A49" s="3" t="s">
        <v>173</v>
      </c>
      <c r="B49" s="2">
        <v>44958</v>
      </c>
      <c r="C49" s="1" t="s">
        <v>174</v>
      </c>
      <c r="D49" s="1" t="s">
        <v>30</v>
      </c>
      <c r="E49" s="1" t="s">
        <v>129</v>
      </c>
      <c r="F49" s="1" t="s">
        <v>19</v>
      </c>
      <c r="G49" s="1" t="s">
        <v>20</v>
      </c>
      <c r="H49" s="1" t="s">
        <v>175</v>
      </c>
      <c r="I49" s="1">
        <v>3</v>
      </c>
      <c r="J49" s="1">
        <v>19.940000000000001</v>
      </c>
      <c r="K49" s="1">
        <v>0</v>
      </c>
      <c r="L49" s="1">
        <v>59.82</v>
      </c>
      <c r="M49" s="1">
        <v>8.61</v>
      </c>
      <c r="N49" s="1">
        <v>18.309999999999999</v>
      </c>
      <c r="O49" s="6" t="s">
        <v>56</v>
      </c>
      <c r="P49" s="8">
        <f>Table1[Quantity]*Table1[Unit_Price]</f>
        <v>59.820000000000007</v>
      </c>
      <c r="Q49" s="1">
        <f>Table1[Profit]/Table1[Total_Sales]</f>
        <v>0.3060849214309595</v>
      </c>
      <c r="R49" s="14">
        <f>Table1[Total_Sales]+Table1[Shipping_Cost]</f>
        <v>68.430000000000007</v>
      </c>
    </row>
    <row r="50" spans="1:18" x14ac:dyDescent="0.35">
      <c r="A50" s="3" t="s">
        <v>176</v>
      </c>
      <c r="B50" s="2">
        <v>44959</v>
      </c>
      <c r="C50" s="1" t="s">
        <v>177</v>
      </c>
      <c r="D50" s="1" t="s">
        <v>17</v>
      </c>
      <c r="E50" s="1" t="s">
        <v>37</v>
      </c>
      <c r="F50" s="1" t="s">
        <v>26</v>
      </c>
      <c r="G50" s="1" t="s">
        <v>20</v>
      </c>
      <c r="H50" s="1" t="s">
        <v>38</v>
      </c>
      <c r="I50" s="1">
        <v>6</v>
      </c>
      <c r="J50" s="1">
        <v>32.72</v>
      </c>
      <c r="K50" s="1">
        <v>5</v>
      </c>
      <c r="L50" s="1">
        <v>186.5</v>
      </c>
      <c r="M50" s="1">
        <v>10.11</v>
      </c>
      <c r="N50" s="1">
        <v>68.41</v>
      </c>
      <c r="O50" s="6" t="s">
        <v>39</v>
      </c>
      <c r="P50" s="8">
        <f>Table1[Quantity]*Table1[Unit_Price]</f>
        <v>196.32</v>
      </c>
      <c r="Q50" s="1">
        <f>Table1[Profit]/Table1[Total_Sales]</f>
        <v>0.36680965147453082</v>
      </c>
      <c r="R50" s="14">
        <f>Table1[Total_Sales]+Table1[Shipping_Cost]</f>
        <v>196.61</v>
      </c>
    </row>
    <row r="51" spans="1:18" x14ac:dyDescent="0.35">
      <c r="A51" s="3" t="s">
        <v>178</v>
      </c>
      <c r="B51" s="2">
        <v>44960</v>
      </c>
      <c r="C51" s="1" t="s">
        <v>179</v>
      </c>
      <c r="D51" s="1" t="s">
        <v>17</v>
      </c>
      <c r="E51" s="1" t="s">
        <v>67</v>
      </c>
      <c r="F51" s="1" t="s">
        <v>68</v>
      </c>
      <c r="G51" s="1" t="s">
        <v>69</v>
      </c>
      <c r="H51" s="1" t="s">
        <v>139</v>
      </c>
      <c r="I51" s="1">
        <v>12</v>
      </c>
      <c r="J51" s="1">
        <v>25.43</v>
      </c>
      <c r="K51" s="1">
        <v>5</v>
      </c>
      <c r="L51" s="1">
        <v>289.89999999999998</v>
      </c>
      <c r="M51" s="1">
        <v>23.56</v>
      </c>
      <c r="N51" s="1">
        <v>113.76</v>
      </c>
      <c r="O51" s="6" t="s">
        <v>56</v>
      </c>
      <c r="P51" s="8">
        <f>Table1[Quantity]*Table1[Unit_Price]</f>
        <v>305.15999999999997</v>
      </c>
      <c r="Q51" s="1">
        <f>Table1[Profit]/Table1[Total_Sales]</f>
        <v>0.39241117626767857</v>
      </c>
      <c r="R51" s="14">
        <f>Table1[Total_Sales]+Table1[Shipping_Cost]</f>
        <v>313.45999999999998</v>
      </c>
    </row>
    <row r="52" spans="1:18" x14ac:dyDescent="0.35">
      <c r="A52" s="3" t="s">
        <v>180</v>
      </c>
      <c r="B52" s="2">
        <v>44960</v>
      </c>
      <c r="C52" s="1" t="s">
        <v>181</v>
      </c>
      <c r="D52" s="1" t="s">
        <v>17</v>
      </c>
      <c r="E52" s="1" t="s">
        <v>129</v>
      </c>
      <c r="F52" s="1" t="s">
        <v>19</v>
      </c>
      <c r="G52" s="1" t="s">
        <v>42</v>
      </c>
      <c r="H52" s="1" t="s">
        <v>43</v>
      </c>
      <c r="I52" s="1">
        <v>4</v>
      </c>
      <c r="J52" s="1">
        <v>274.83</v>
      </c>
      <c r="K52" s="1">
        <v>10</v>
      </c>
      <c r="L52" s="1">
        <v>989.39</v>
      </c>
      <c r="M52" s="1">
        <v>10.28</v>
      </c>
      <c r="N52" s="1">
        <v>319.52</v>
      </c>
      <c r="O52" s="6" t="s">
        <v>34</v>
      </c>
      <c r="P52" s="8">
        <f>Table1[Quantity]*Table1[Unit_Price]</f>
        <v>1099.32</v>
      </c>
      <c r="Q52" s="1">
        <f>Table1[Profit]/Table1[Total_Sales]</f>
        <v>0.32294646196141052</v>
      </c>
      <c r="R52" s="14">
        <f>Table1[Total_Sales]+Table1[Shipping_Cost]</f>
        <v>999.67</v>
      </c>
    </row>
    <row r="53" spans="1:18" x14ac:dyDescent="0.35">
      <c r="A53" s="3" t="s">
        <v>182</v>
      </c>
      <c r="B53" s="2">
        <v>44960</v>
      </c>
      <c r="C53" s="1" t="s">
        <v>183</v>
      </c>
      <c r="D53" s="1" t="s">
        <v>17</v>
      </c>
      <c r="E53" s="1" t="s">
        <v>148</v>
      </c>
      <c r="F53" s="1" t="s">
        <v>60</v>
      </c>
      <c r="G53" s="1" t="s">
        <v>42</v>
      </c>
      <c r="H53" s="1" t="s">
        <v>118</v>
      </c>
      <c r="I53" s="1">
        <v>1</v>
      </c>
      <c r="J53" s="1">
        <v>60.16</v>
      </c>
      <c r="K53" s="1">
        <v>15</v>
      </c>
      <c r="L53" s="1">
        <v>51.14</v>
      </c>
      <c r="M53" s="1">
        <v>10.85</v>
      </c>
      <c r="N53" s="1">
        <v>4.1900000000000004</v>
      </c>
      <c r="O53" s="6" t="s">
        <v>56</v>
      </c>
      <c r="P53" s="8">
        <f>Table1[Quantity]*Table1[Unit_Price]</f>
        <v>60.16</v>
      </c>
      <c r="Q53" s="1">
        <f>Table1[Profit]/Table1[Total_Sales]</f>
        <v>8.1931951505670716E-2</v>
      </c>
      <c r="R53" s="14">
        <f>Table1[Total_Sales]+Table1[Shipping_Cost]</f>
        <v>61.99</v>
      </c>
    </row>
    <row r="54" spans="1:18" x14ac:dyDescent="0.35">
      <c r="A54" s="3" t="s">
        <v>184</v>
      </c>
      <c r="B54" s="2">
        <v>44961</v>
      </c>
      <c r="C54" s="1" t="s">
        <v>185</v>
      </c>
      <c r="D54" s="1" t="s">
        <v>49</v>
      </c>
      <c r="E54" s="1" t="s">
        <v>85</v>
      </c>
      <c r="F54" s="1" t="s">
        <v>60</v>
      </c>
      <c r="G54" s="1" t="s">
        <v>32</v>
      </c>
      <c r="H54" s="1" t="s">
        <v>115</v>
      </c>
      <c r="I54" s="1">
        <v>10</v>
      </c>
      <c r="J54" s="1">
        <v>8.3699999999999992</v>
      </c>
      <c r="K54" s="1">
        <v>15</v>
      </c>
      <c r="L54" s="1">
        <v>71.14</v>
      </c>
      <c r="M54" s="1">
        <v>24.19</v>
      </c>
      <c r="N54" s="1">
        <v>9.2899999999999991</v>
      </c>
      <c r="O54" s="6" t="s">
        <v>22</v>
      </c>
      <c r="P54" s="8">
        <f>Table1[Quantity]*Table1[Unit_Price]</f>
        <v>83.699999999999989</v>
      </c>
      <c r="Q54" s="1">
        <f>Table1[Profit]/Table1[Total_Sales]</f>
        <v>0.13058757379814448</v>
      </c>
      <c r="R54" s="14">
        <f>Table1[Total_Sales]+Table1[Shipping_Cost]</f>
        <v>95.33</v>
      </c>
    </row>
    <row r="55" spans="1:18" x14ac:dyDescent="0.35">
      <c r="A55" s="3" t="s">
        <v>186</v>
      </c>
      <c r="B55" s="2">
        <v>44961</v>
      </c>
      <c r="C55" s="1" t="s">
        <v>187</v>
      </c>
      <c r="D55" s="1" t="s">
        <v>49</v>
      </c>
      <c r="E55" s="1" t="s">
        <v>67</v>
      </c>
      <c r="F55" s="1" t="s">
        <v>68</v>
      </c>
      <c r="G55" s="1" t="s">
        <v>32</v>
      </c>
      <c r="H55" s="1" t="s">
        <v>73</v>
      </c>
      <c r="I55" s="1">
        <v>1</v>
      </c>
      <c r="J55" s="1">
        <v>4.78</v>
      </c>
      <c r="K55" s="1">
        <v>10</v>
      </c>
      <c r="L55" s="1">
        <v>4.3</v>
      </c>
      <c r="M55" s="1">
        <v>11.84</v>
      </c>
      <c r="N55" s="1">
        <v>-9.69</v>
      </c>
      <c r="O55" s="6" t="s">
        <v>56</v>
      </c>
      <c r="P55" s="8">
        <f>Table1[Quantity]*Table1[Unit_Price]</f>
        <v>4.78</v>
      </c>
      <c r="Q55" s="1">
        <f>Table1[Profit]/Table1[Total_Sales]</f>
        <v>-2.2534883720930234</v>
      </c>
      <c r="R55" s="14">
        <f>Table1[Total_Sales]+Table1[Shipping_Cost]</f>
        <v>16.14</v>
      </c>
    </row>
    <row r="56" spans="1:18" x14ac:dyDescent="0.35">
      <c r="A56" s="3" t="s">
        <v>188</v>
      </c>
      <c r="B56" s="2">
        <v>44961</v>
      </c>
      <c r="C56" s="1" t="s">
        <v>189</v>
      </c>
      <c r="D56" s="1" t="s">
        <v>17</v>
      </c>
      <c r="E56" s="1" t="s">
        <v>121</v>
      </c>
      <c r="F56" s="1" t="s">
        <v>68</v>
      </c>
      <c r="G56" s="1" t="s">
        <v>20</v>
      </c>
      <c r="H56" s="1" t="s">
        <v>38</v>
      </c>
      <c r="I56" s="1">
        <v>7</v>
      </c>
      <c r="J56" s="1">
        <v>79.23</v>
      </c>
      <c r="K56" s="1">
        <v>15</v>
      </c>
      <c r="L56" s="1">
        <v>471.42</v>
      </c>
      <c r="M56" s="1">
        <v>19.84</v>
      </c>
      <c r="N56" s="1">
        <v>146.54</v>
      </c>
      <c r="O56" s="6" t="s">
        <v>22</v>
      </c>
      <c r="P56" s="8">
        <f>Table1[Quantity]*Table1[Unit_Price]</f>
        <v>554.61</v>
      </c>
      <c r="Q56" s="1">
        <f>Table1[Profit]/Table1[Total_Sales]</f>
        <v>0.3108480760256247</v>
      </c>
      <c r="R56" s="14">
        <f>Table1[Total_Sales]+Table1[Shipping_Cost]</f>
        <v>491.26</v>
      </c>
    </row>
    <row r="57" spans="1:18" x14ac:dyDescent="0.35">
      <c r="A57" s="3" t="s">
        <v>190</v>
      </c>
      <c r="B57" s="2">
        <v>44962</v>
      </c>
      <c r="C57" s="1" t="s">
        <v>191</v>
      </c>
      <c r="D57" s="1" t="s">
        <v>30</v>
      </c>
      <c r="E57" s="1" t="s">
        <v>135</v>
      </c>
      <c r="F57" s="1" t="s">
        <v>26</v>
      </c>
      <c r="G57" s="1" t="s">
        <v>42</v>
      </c>
      <c r="H57" s="1" t="s">
        <v>46</v>
      </c>
      <c r="I57" s="1">
        <v>1</v>
      </c>
      <c r="J57" s="1">
        <v>188.93</v>
      </c>
      <c r="K57" s="1">
        <v>5</v>
      </c>
      <c r="L57" s="1">
        <v>179.48</v>
      </c>
      <c r="M57" s="1">
        <v>9.1999999999999993</v>
      </c>
      <c r="N57" s="1">
        <v>56.92</v>
      </c>
      <c r="O57" s="6" t="s">
        <v>22</v>
      </c>
      <c r="P57" s="8">
        <f>Table1[Quantity]*Table1[Unit_Price]</f>
        <v>188.93</v>
      </c>
      <c r="Q57" s="1">
        <f>Table1[Profit]/Table1[Total_Sales]</f>
        <v>0.31713839982170716</v>
      </c>
      <c r="R57" s="14">
        <f>Table1[Total_Sales]+Table1[Shipping_Cost]</f>
        <v>188.67999999999998</v>
      </c>
    </row>
    <row r="58" spans="1:18" x14ac:dyDescent="0.35">
      <c r="A58" s="3" t="s">
        <v>192</v>
      </c>
      <c r="B58" s="2">
        <v>44962</v>
      </c>
      <c r="C58" s="1" t="s">
        <v>193</v>
      </c>
      <c r="D58" s="1" t="s">
        <v>30</v>
      </c>
      <c r="E58" s="1" t="s">
        <v>169</v>
      </c>
      <c r="F58" s="1" t="s">
        <v>68</v>
      </c>
      <c r="G58" s="1" t="s">
        <v>69</v>
      </c>
      <c r="H58" s="1" t="s">
        <v>86</v>
      </c>
      <c r="I58" s="1">
        <v>10</v>
      </c>
      <c r="J58" s="1">
        <v>138.69999999999999</v>
      </c>
      <c r="K58" s="1">
        <v>15</v>
      </c>
      <c r="L58" s="1">
        <v>1178.95</v>
      </c>
      <c r="M58" s="1">
        <v>17.36</v>
      </c>
      <c r="N58" s="1">
        <v>468.09</v>
      </c>
      <c r="O58" s="6" t="s">
        <v>34</v>
      </c>
      <c r="P58" s="8">
        <f>Table1[Quantity]*Table1[Unit_Price]</f>
        <v>1387</v>
      </c>
      <c r="Q58" s="1">
        <f>Table1[Profit]/Table1[Total_Sales]</f>
        <v>0.39703973875058313</v>
      </c>
      <c r="R58" s="14">
        <f>Table1[Total_Sales]+Table1[Shipping_Cost]</f>
        <v>1196.31</v>
      </c>
    </row>
    <row r="59" spans="1:18" x14ac:dyDescent="0.35">
      <c r="A59" s="3" t="s">
        <v>194</v>
      </c>
      <c r="B59" s="2">
        <v>44964</v>
      </c>
      <c r="C59" s="1" t="s">
        <v>195</v>
      </c>
      <c r="D59" s="1" t="s">
        <v>30</v>
      </c>
      <c r="E59" s="1" t="s">
        <v>59</v>
      </c>
      <c r="F59" s="1" t="s">
        <v>60</v>
      </c>
      <c r="G59" s="1" t="s">
        <v>69</v>
      </c>
      <c r="H59" s="1" t="s">
        <v>196</v>
      </c>
      <c r="I59" s="1">
        <v>1</v>
      </c>
      <c r="J59" s="1">
        <v>8.9600000000000009</v>
      </c>
      <c r="K59" s="1">
        <v>0</v>
      </c>
      <c r="L59" s="1">
        <v>8.9600000000000009</v>
      </c>
      <c r="M59" s="1">
        <v>11.08</v>
      </c>
      <c r="N59" s="1">
        <v>-6.6</v>
      </c>
      <c r="O59" s="6" t="s">
        <v>39</v>
      </c>
      <c r="P59" s="8">
        <f>Table1[Quantity]*Table1[Unit_Price]</f>
        <v>8.9600000000000009</v>
      </c>
      <c r="Q59" s="1">
        <f>Table1[Profit]/Table1[Total_Sales]</f>
        <v>-0.73660714285714279</v>
      </c>
      <c r="R59" s="14">
        <f>Table1[Total_Sales]+Table1[Shipping_Cost]</f>
        <v>20.04</v>
      </c>
    </row>
    <row r="60" spans="1:18" x14ac:dyDescent="0.35">
      <c r="A60" s="3" t="s">
        <v>197</v>
      </c>
      <c r="B60" s="2">
        <v>44964</v>
      </c>
      <c r="C60" s="1" t="s">
        <v>198</v>
      </c>
      <c r="D60" s="1" t="s">
        <v>30</v>
      </c>
      <c r="E60" s="1" t="s">
        <v>85</v>
      </c>
      <c r="F60" s="1" t="s">
        <v>60</v>
      </c>
      <c r="G60" s="1" t="s">
        <v>20</v>
      </c>
      <c r="H60" s="1" t="s">
        <v>199</v>
      </c>
      <c r="I60" s="1">
        <v>2</v>
      </c>
      <c r="J60" s="1">
        <v>173.37</v>
      </c>
      <c r="K60" s="1">
        <v>0</v>
      </c>
      <c r="L60" s="1">
        <v>346.74</v>
      </c>
      <c r="M60" s="1">
        <v>10.89</v>
      </c>
      <c r="N60" s="1">
        <v>145.13999999999999</v>
      </c>
      <c r="O60" s="6" t="s">
        <v>39</v>
      </c>
      <c r="P60" s="8">
        <f>Table1[Quantity]*Table1[Unit_Price]</f>
        <v>346.74</v>
      </c>
      <c r="Q60" s="1">
        <f>Table1[Profit]/Table1[Total_Sales]</f>
        <v>0.41858453019553549</v>
      </c>
      <c r="R60" s="14">
        <f>Table1[Total_Sales]+Table1[Shipping_Cost]</f>
        <v>357.63</v>
      </c>
    </row>
    <row r="61" spans="1:18" x14ac:dyDescent="0.35">
      <c r="A61" s="3" t="s">
        <v>200</v>
      </c>
      <c r="B61" s="2">
        <v>44964</v>
      </c>
      <c r="C61" s="1" t="s">
        <v>201</v>
      </c>
      <c r="D61" s="1" t="s">
        <v>49</v>
      </c>
      <c r="E61" s="1" t="s">
        <v>129</v>
      </c>
      <c r="F61" s="1" t="s">
        <v>19</v>
      </c>
      <c r="G61" s="1" t="s">
        <v>20</v>
      </c>
      <c r="H61" s="1" t="s">
        <v>199</v>
      </c>
      <c r="I61" s="1">
        <v>1</v>
      </c>
      <c r="J61" s="1">
        <v>63.94</v>
      </c>
      <c r="K61" s="1">
        <v>10</v>
      </c>
      <c r="L61" s="1">
        <v>57.55</v>
      </c>
      <c r="M61" s="1">
        <v>6.86</v>
      </c>
      <c r="N61" s="1">
        <v>15.52</v>
      </c>
      <c r="O61" s="6" t="s">
        <v>39</v>
      </c>
      <c r="P61" s="8">
        <f>Table1[Quantity]*Table1[Unit_Price]</f>
        <v>63.94</v>
      </c>
      <c r="Q61" s="1">
        <f>Table1[Profit]/Table1[Total_Sales]</f>
        <v>0.2696785403996525</v>
      </c>
      <c r="R61" s="14">
        <f>Table1[Total_Sales]+Table1[Shipping_Cost]</f>
        <v>64.41</v>
      </c>
    </row>
    <row r="62" spans="1:18" x14ac:dyDescent="0.35">
      <c r="A62" s="3" t="s">
        <v>202</v>
      </c>
      <c r="B62" s="2">
        <v>44965</v>
      </c>
      <c r="C62" s="1" t="s">
        <v>203</v>
      </c>
      <c r="D62" s="1" t="s">
        <v>30</v>
      </c>
      <c r="E62" s="1" t="s">
        <v>92</v>
      </c>
      <c r="F62" s="1" t="s">
        <v>60</v>
      </c>
      <c r="G62" s="1" t="s">
        <v>20</v>
      </c>
      <c r="H62" s="1" t="s">
        <v>38</v>
      </c>
      <c r="I62" s="1">
        <v>3</v>
      </c>
      <c r="J62" s="1">
        <v>64.55</v>
      </c>
      <c r="K62" s="1">
        <v>10</v>
      </c>
      <c r="L62" s="1">
        <v>174.28</v>
      </c>
      <c r="M62" s="1">
        <v>13.01</v>
      </c>
      <c r="N62" s="1">
        <v>54.76</v>
      </c>
      <c r="O62" s="6" t="s">
        <v>34</v>
      </c>
      <c r="P62" s="8">
        <f>Table1[Quantity]*Table1[Unit_Price]</f>
        <v>193.64999999999998</v>
      </c>
      <c r="Q62" s="1">
        <f>Table1[Profit]/Table1[Total_Sales]</f>
        <v>0.3142070231810879</v>
      </c>
      <c r="R62" s="14">
        <f>Table1[Total_Sales]+Table1[Shipping_Cost]</f>
        <v>187.29</v>
      </c>
    </row>
    <row r="63" spans="1:18" x14ac:dyDescent="0.35">
      <c r="A63" s="3" t="s">
        <v>204</v>
      </c>
      <c r="B63" s="2">
        <v>44965</v>
      </c>
      <c r="C63" s="1" t="s">
        <v>205</v>
      </c>
      <c r="D63" s="1" t="s">
        <v>17</v>
      </c>
      <c r="E63" s="1" t="s">
        <v>85</v>
      </c>
      <c r="F63" s="1" t="s">
        <v>60</v>
      </c>
      <c r="G63" s="1" t="s">
        <v>32</v>
      </c>
      <c r="H63" s="1" t="s">
        <v>132</v>
      </c>
      <c r="I63" s="1">
        <v>5</v>
      </c>
      <c r="J63" s="1">
        <v>14.53</v>
      </c>
      <c r="K63" s="1">
        <v>5</v>
      </c>
      <c r="L63" s="1">
        <v>69.02</v>
      </c>
      <c r="M63" s="1">
        <v>11.87</v>
      </c>
      <c r="N63" s="1">
        <v>24.46</v>
      </c>
      <c r="O63" s="6" t="s">
        <v>34</v>
      </c>
      <c r="P63" s="8">
        <f>Table1[Quantity]*Table1[Unit_Price]</f>
        <v>72.649999999999991</v>
      </c>
      <c r="Q63" s="1">
        <f>Table1[Profit]/Table1[Total_Sales]</f>
        <v>0.35439003187481893</v>
      </c>
      <c r="R63" s="14">
        <f>Table1[Total_Sales]+Table1[Shipping_Cost]</f>
        <v>80.89</v>
      </c>
    </row>
    <row r="64" spans="1:18" x14ac:dyDescent="0.35">
      <c r="A64" s="3" t="s">
        <v>206</v>
      </c>
      <c r="B64" s="2">
        <v>44965</v>
      </c>
      <c r="C64" s="1" t="s">
        <v>207</v>
      </c>
      <c r="D64" s="1" t="s">
        <v>49</v>
      </c>
      <c r="E64" s="1" t="s">
        <v>148</v>
      </c>
      <c r="F64" s="1" t="s">
        <v>60</v>
      </c>
      <c r="G64" s="1" t="s">
        <v>32</v>
      </c>
      <c r="H64" s="1" t="s">
        <v>73</v>
      </c>
      <c r="I64" s="1">
        <v>1</v>
      </c>
      <c r="J64" s="1">
        <v>9.6300000000000008</v>
      </c>
      <c r="K64" s="1">
        <v>10</v>
      </c>
      <c r="L64" s="1">
        <v>8.67</v>
      </c>
      <c r="M64" s="1">
        <v>10.44</v>
      </c>
      <c r="N64" s="1">
        <v>-6.1</v>
      </c>
      <c r="O64" s="6" t="s">
        <v>39</v>
      </c>
      <c r="P64" s="8">
        <f>Table1[Quantity]*Table1[Unit_Price]</f>
        <v>9.6300000000000008</v>
      </c>
      <c r="Q64" s="1">
        <f>Table1[Profit]/Table1[Total_Sales]</f>
        <v>-0.70357554786620524</v>
      </c>
      <c r="R64" s="14">
        <f>Table1[Total_Sales]+Table1[Shipping_Cost]</f>
        <v>19.11</v>
      </c>
    </row>
    <row r="65" spans="1:18" x14ac:dyDescent="0.35">
      <c r="A65" s="3" t="s">
        <v>208</v>
      </c>
      <c r="B65" s="2">
        <v>44966</v>
      </c>
      <c r="C65" s="1" t="s">
        <v>209</v>
      </c>
      <c r="D65" s="1" t="s">
        <v>30</v>
      </c>
      <c r="E65" s="1" t="s">
        <v>129</v>
      </c>
      <c r="F65" s="1" t="s">
        <v>19</v>
      </c>
      <c r="G65" s="1" t="s">
        <v>42</v>
      </c>
      <c r="H65" s="1" t="s">
        <v>46</v>
      </c>
      <c r="I65" s="1">
        <v>4</v>
      </c>
      <c r="J65" s="1">
        <v>118.02</v>
      </c>
      <c r="K65" s="1">
        <v>0</v>
      </c>
      <c r="L65" s="1">
        <v>472.08</v>
      </c>
      <c r="M65" s="1">
        <v>7.9</v>
      </c>
      <c r="N65" s="1">
        <v>180.93</v>
      </c>
      <c r="O65" s="6" t="s">
        <v>56</v>
      </c>
      <c r="P65" s="8">
        <f>Table1[Quantity]*Table1[Unit_Price]</f>
        <v>472.08</v>
      </c>
      <c r="Q65" s="1">
        <f>Table1[Profit]/Table1[Total_Sales]</f>
        <v>0.38326131164209459</v>
      </c>
      <c r="R65" s="14">
        <f>Table1[Total_Sales]+Table1[Shipping_Cost]</f>
        <v>479.97999999999996</v>
      </c>
    </row>
    <row r="66" spans="1:18" x14ac:dyDescent="0.35">
      <c r="A66" s="3" t="s">
        <v>210</v>
      </c>
      <c r="B66" s="2">
        <v>44966</v>
      </c>
      <c r="C66" s="1" t="s">
        <v>211</v>
      </c>
      <c r="D66" s="1" t="s">
        <v>30</v>
      </c>
      <c r="E66" s="1" t="s">
        <v>76</v>
      </c>
      <c r="F66" s="1" t="s">
        <v>26</v>
      </c>
      <c r="G66" s="1" t="s">
        <v>42</v>
      </c>
      <c r="H66" s="1" t="s">
        <v>64</v>
      </c>
      <c r="I66" s="1">
        <v>9</v>
      </c>
      <c r="J66" s="1">
        <v>126.93</v>
      </c>
      <c r="K66" s="1">
        <v>0</v>
      </c>
      <c r="L66" s="1">
        <v>1142.3699999999999</v>
      </c>
      <c r="M66" s="1">
        <v>23.14</v>
      </c>
      <c r="N66" s="1">
        <v>433.81</v>
      </c>
      <c r="O66" s="6" t="s">
        <v>39</v>
      </c>
      <c r="P66" s="8">
        <f>Table1[Quantity]*Table1[Unit_Price]</f>
        <v>1142.3700000000001</v>
      </c>
      <c r="Q66" s="1">
        <f>Table1[Profit]/Table1[Total_Sales]</f>
        <v>0.37974561656906258</v>
      </c>
      <c r="R66" s="14">
        <f>Table1[Total_Sales]+Table1[Shipping_Cost]</f>
        <v>1165.51</v>
      </c>
    </row>
    <row r="67" spans="1:18" x14ac:dyDescent="0.35">
      <c r="A67" s="3" t="s">
        <v>212</v>
      </c>
      <c r="B67" s="2">
        <v>44967</v>
      </c>
      <c r="C67" s="1" t="s">
        <v>213</v>
      </c>
      <c r="D67" s="1" t="s">
        <v>30</v>
      </c>
      <c r="E67" s="1" t="s">
        <v>121</v>
      </c>
      <c r="F67" s="1" t="s">
        <v>68</v>
      </c>
      <c r="G67" s="1" t="s">
        <v>42</v>
      </c>
      <c r="H67" s="1" t="s">
        <v>43</v>
      </c>
      <c r="I67" s="1">
        <v>8</v>
      </c>
      <c r="J67" s="1">
        <v>289.70999999999998</v>
      </c>
      <c r="K67" s="1">
        <v>10</v>
      </c>
      <c r="L67" s="1">
        <v>2085.91</v>
      </c>
      <c r="M67" s="1">
        <v>16.440000000000001</v>
      </c>
      <c r="N67" s="1">
        <v>678.86</v>
      </c>
      <c r="O67" s="6" t="s">
        <v>56</v>
      </c>
      <c r="P67" s="8">
        <f>Table1[Quantity]*Table1[Unit_Price]</f>
        <v>2317.6799999999998</v>
      </c>
      <c r="Q67" s="1">
        <f>Table1[Profit]/Table1[Total_Sales]</f>
        <v>0.32545028308987445</v>
      </c>
      <c r="R67" s="14">
        <f>Table1[Total_Sales]+Table1[Shipping_Cost]</f>
        <v>2102.35</v>
      </c>
    </row>
    <row r="68" spans="1:18" x14ac:dyDescent="0.35">
      <c r="A68" s="3" t="s">
        <v>214</v>
      </c>
      <c r="B68" s="2">
        <v>44967</v>
      </c>
      <c r="C68" s="1" t="s">
        <v>215</v>
      </c>
      <c r="D68" s="1" t="s">
        <v>17</v>
      </c>
      <c r="E68" s="1" t="s">
        <v>85</v>
      </c>
      <c r="F68" s="1" t="s">
        <v>60</v>
      </c>
      <c r="G68" s="1" t="s">
        <v>69</v>
      </c>
      <c r="H68" s="1" t="s">
        <v>79</v>
      </c>
      <c r="I68" s="1">
        <v>2</v>
      </c>
      <c r="J68" s="1">
        <v>81.58</v>
      </c>
      <c r="K68" s="1">
        <v>15</v>
      </c>
      <c r="L68" s="1">
        <v>138.69</v>
      </c>
      <c r="M68" s="1">
        <v>11.8</v>
      </c>
      <c r="N68" s="1">
        <v>45.31</v>
      </c>
      <c r="O68" s="6" t="s">
        <v>56</v>
      </c>
      <c r="P68" s="8">
        <f>Table1[Quantity]*Table1[Unit_Price]</f>
        <v>163.16</v>
      </c>
      <c r="Q68" s="1">
        <f>Table1[Profit]/Table1[Total_Sales]</f>
        <v>0.32669983416252074</v>
      </c>
      <c r="R68" s="14">
        <f>Table1[Total_Sales]+Table1[Shipping_Cost]</f>
        <v>150.49</v>
      </c>
    </row>
    <row r="69" spans="1:18" x14ac:dyDescent="0.35">
      <c r="A69" s="3" t="s">
        <v>216</v>
      </c>
      <c r="B69" s="2">
        <v>44967</v>
      </c>
      <c r="C69" s="1" t="s">
        <v>217</v>
      </c>
      <c r="D69" s="1" t="s">
        <v>30</v>
      </c>
      <c r="E69" s="1" t="s">
        <v>135</v>
      </c>
      <c r="F69" s="1" t="s">
        <v>26</v>
      </c>
      <c r="G69" s="1" t="s">
        <v>20</v>
      </c>
      <c r="H69" s="1" t="s">
        <v>122</v>
      </c>
      <c r="I69" s="1">
        <v>9</v>
      </c>
      <c r="J69" s="1">
        <v>111.98</v>
      </c>
      <c r="K69" s="1">
        <v>5</v>
      </c>
      <c r="L69" s="1">
        <v>957.43</v>
      </c>
      <c r="M69" s="1">
        <v>24.38</v>
      </c>
      <c r="N69" s="1">
        <v>378.75</v>
      </c>
      <c r="O69" s="6" t="s">
        <v>34</v>
      </c>
      <c r="P69" s="8">
        <f>Table1[Quantity]*Table1[Unit_Price]</f>
        <v>1007.82</v>
      </c>
      <c r="Q69" s="1">
        <f>Table1[Profit]/Table1[Total_Sales]</f>
        <v>0.39559027814043851</v>
      </c>
      <c r="R69" s="14">
        <f>Table1[Total_Sales]+Table1[Shipping_Cost]</f>
        <v>981.81</v>
      </c>
    </row>
    <row r="70" spans="1:18" x14ac:dyDescent="0.35">
      <c r="A70" s="3" t="s">
        <v>218</v>
      </c>
      <c r="B70" s="2">
        <v>44967</v>
      </c>
      <c r="C70" s="1" t="s">
        <v>219</v>
      </c>
      <c r="D70" s="1" t="s">
        <v>30</v>
      </c>
      <c r="E70" s="1" t="s">
        <v>37</v>
      </c>
      <c r="F70" s="1" t="s">
        <v>26</v>
      </c>
      <c r="G70" s="1" t="s">
        <v>69</v>
      </c>
      <c r="H70" s="1" t="s">
        <v>70</v>
      </c>
      <c r="I70" s="1">
        <v>3</v>
      </c>
      <c r="J70" s="1">
        <v>45.99</v>
      </c>
      <c r="K70" s="1">
        <v>0</v>
      </c>
      <c r="L70" s="1">
        <v>137.97</v>
      </c>
      <c r="M70" s="1">
        <v>12.68</v>
      </c>
      <c r="N70" s="1">
        <v>56.3</v>
      </c>
      <c r="O70" s="6" t="s">
        <v>34</v>
      </c>
      <c r="P70" s="8">
        <f>Table1[Quantity]*Table1[Unit_Price]</f>
        <v>137.97</v>
      </c>
      <c r="Q70" s="1">
        <f>Table1[Profit]/Table1[Total_Sales]</f>
        <v>0.40805972312821626</v>
      </c>
      <c r="R70" s="14">
        <f>Table1[Total_Sales]+Table1[Shipping_Cost]</f>
        <v>150.65</v>
      </c>
    </row>
    <row r="71" spans="1:18" x14ac:dyDescent="0.35">
      <c r="A71" s="3" t="s">
        <v>220</v>
      </c>
      <c r="B71" s="2">
        <v>44968</v>
      </c>
      <c r="C71" s="1" t="s">
        <v>221</v>
      </c>
      <c r="D71" s="1" t="s">
        <v>30</v>
      </c>
      <c r="E71" s="1" t="s">
        <v>129</v>
      </c>
      <c r="F71" s="1" t="s">
        <v>19</v>
      </c>
      <c r="G71" s="1" t="s">
        <v>32</v>
      </c>
      <c r="H71" s="1" t="s">
        <v>73</v>
      </c>
      <c r="I71" s="1">
        <v>3</v>
      </c>
      <c r="J71" s="1">
        <v>4.96</v>
      </c>
      <c r="K71" s="1">
        <v>10</v>
      </c>
      <c r="L71" s="1">
        <v>13.39</v>
      </c>
      <c r="M71" s="1">
        <v>7.09</v>
      </c>
      <c r="N71" s="1">
        <v>-0.4</v>
      </c>
      <c r="O71" s="6" t="s">
        <v>22</v>
      </c>
      <c r="P71" s="8">
        <f>Table1[Quantity]*Table1[Unit_Price]</f>
        <v>14.879999999999999</v>
      </c>
      <c r="Q71" s="1">
        <f>Table1[Profit]/Table1[Total_Sales]</f>
        <v>-2.9873039581777446E-2</v>
      </c>
      <c r="R71" s="14">
        <f>Table1[Total_Sales]+Table1[Shipping_Cost]</f>
        <v>20.48</v>
      </c>
    </row>
    <row r="72" spans="1:18" x14ac:dyDescent="0.35">
      <c r="A72" s="3" t="s">
        <v>222</v>
      </c>
      <c r="B72" s="2">
        <v>44969</v>
      </c>
      <c r="C72" s="1" t="s">
        <v>223</v>
      </c>
      <c r="D72" s="1" t="s">
        <v>30</v>
      </c>
      <c r="E72" s="1" t="s">
        <v>63</v>
      </c>
      <c r="F72" s="1" t="s">
        <v>54</v>
      </c>
      <c r="G72" s="1" t="s">
        <v>69</v>
      </c>
      <c r="H72" s="1" t="s">
        <v>79</v>
      </c>
      <c r="I72" s="1">
        <v>8</v>
      </c>
      <c r="J72" s="1">
        <v>80.13</v>
      </c>
      <c r="K72" s="1">
        <v>25</v>
      </c>
      <c r="L72" s="1">
        <v>480.78</v>
      </c>
      <c r="M72" s="1">
        <v>18.170000000000002</v>
      </c>
      <c r="N72" s="1">
        <v>142.09</v>
      </c>
      <c r="O72" s="6" t="s">
        <v>56</v>
      </c>
      <c r="P72" s="8">
        <f>Table1[Quantity]*Table1[Unit_Price]</f>
        <v>641.04</v>
      </c>
      <c r="Q72" s="1">
        <f>Table1[Profit]/Table1[Total_Sales]</f>
        <v>0.29554057989101046</v>
      </c>
      <c r="R72" s="14">
        <f>Table1[Total_Sales]+Table1[Shipping_Cost]</f>
        <v>498.95</v>
      </c>
    </row>
    <row r="73" spans="1:18" x14ac:dyDescent="0.35">
      <c r="A73" s="3" t="s">
        <v>224</v>
      </c>
      <c r="B73" s="2">
        <v>44969</v>
      </c>
      <c r="C73" s="1" t="s">
        <v>225</v>
      </c>
      <c r="D73" s="1" t="s">
        <v>30</v>
      </c>
      <c r="E73" s="1" t="s">
        <v>92</v>
      </c>
      <c r="F73" s="1" t="s">
        <v>60</v>
      </c>
      <c r="G73" s="1" t="s">
        <v>69</v>
      </c>
      <c r="H73" s="1" t="s">
        <v>98</v>
      </c>
      <c r="I73" s="1">
        <v>1</v>
      </c>
      <c r="J73" s="1">
        <v>43.57</v>
      </c>
      <c r="K73" s="1">
        <v>5</v>
      </c>
      <c r="L73" s="1">
        <v>41.39</v>
      </c>
      <c r="M73" s="1">
        <v>10.06</v>
      </c>
      <c r="N73" s="1">
        <v>9.5399999999999991</v>
      </c>
      <c r="O73" s="6" t="s">
        <v>39</v>
      </c>
      <c r="P73" s="8">
        <f>Table1[Quantity]*Table1[Unit_Price]</f>
        <v>43.57</v>
      </c>
      <c r="Q73" s="1">
        <f>Table1[Profit]/Table1[Total_Sales]</f>
        <v>0.23049045663203671</v>
      </c>
      <c r="R73" s="14">
        <f>Table1[Total_Sales]+Table1[Shipping_Cost]</f>
        <v>51.45</v>
      </c>
    </row>
    <row r="74" spans="1:18" x14ac:dyDescent="0.35">
      <c r="A74" s="3" t="s">
        <v>226</v>
      </c>
      <c r="B74" s="2">
        <v>44972</v>
      </c>
      <c r="C74" s="1" t="s">
        <v>227</v>
      </c>
      <c r="D74" s="1" t="s">
        <v>17</v>
      </c>
      <c r="E74" s="1" t="s">
        <v>18</v>
      </c>
      <c r="F74" s="1" t="s">
        <v>19</v>
      </c>
      <c r="G74" s="1" t="s">
        <v>20</v>
      </c>
      <c r="H74" s="1" t="s">
        <v>199</v>
      </c>
      <c r="I74" s="1">
        <v>2</v>
      </c>
      <c r="J74" s="1">
        <v>143.15</v>
      </c>
      <c r="K74" s="1">
        <v>5</v>
      </c>
      <c r="L74" s="1">
        <v>271.99</v>
      </c>
      <c r="M74" s="1">
        <v>8.58</v>
      </c>
      <c r="N74" s="1">
        <v>105.94</v>
      </c>
      <c r="O74" s="6" t="s">
        <v>34</v>
      </c>
      <c r="P74" s="8">
        <f>Table1[Quantity]*Table1[Unit_Price]</f>
        <v>286.3</v>
      </c>
      <c r="Q74" s="1">
        <f>Table1[Profit]/Table1[Total_Sales]</f>
        <v>0.38949961395639543</v>
      </c>
      <c r="R74" s="14">
        <f>Table1[Total_Sales]+Table1[Shipping_Cost]</f>
        <v>280.57</v>
      </c>
    </row>
    <row r="75" spans="1:18" x14ac:dyDescent="0.35">
      <c r="A75" s="3" t="s">
        <v>228</v>
      </c>
      <c r="B75" s="2">
        <v>44972</v>
      </c>
      <c r="C75" s="1" t="s">
        <v>229</v>
      </c>
      <c r="D75" s="1" t="s">
        <v>49</v>
      </c>
      <c r="E75" s="1" t="s">
        <v>129</v>
      </c>
      <c r="F75" s="1" t="s">
        <v>19</v>
      </c>
      <c r="G75" s="1" t="s">
        <v>42</v>
      </c>
      <c r="H75" s="1" t="s">
        <v>64</v>
      </c>
      <c r="I75" s="1">
        <v>8</v>
      </c>
      <c r="J75" s="1">
        <v>126.81</v>
      </c>
      <c r="K75" s="1">
        <v>10</v>
      </c>
      <c r="L75" s="1">
        <v>913.03</v>
      </c>
      <c r="M75" s="1">
        <v>22.05</v>
      </c>
      <c r="N75" s="1">
        <v>282.29000000000002</v>
      </c>
      <c r="O75" s="6" t="s">
        <v>22</v>
      </c>
      <c r="P75" s="8">
        <f>Table1[Quantity]*Table1[Unit_Price]</f>
        <v>1014.48</v>
      </c>
      <c r="Q75" s="1">
        <f>Table1[Profit]/Table1[Total_Sales]</f>
        <v>0.30917932598052639</v>
      </c>
      <c r="R75" s="14">
        <f>Table1[Total_Sales]+Table1[Shipping_Cost]</f>
        <v>935.07999999999993</v>
      </c>
    </row>
    <row r="76" spans="1:18" x14ac:dyDescent="0.35">
      <c r="A76" s="3" t="s">
        <v>230</v>
      </c>
      <c r="B76" s="2">
        <v>44973</v>
      </c>
      <c r="C76" s="1" t="s">
        <v>231</v>
      </c>
      <c r="D76" s="1" t="s">
        <v>49</v>
      </c>
      <c r="E76" s="1" t="s">
        <v>53</v>
      </c>
      <c r="F76" s="1" t="s">
        <v>54</v>
      </c>
      <c r="G76" s="1" t="s">
        <v>20</v>
      </c>
      <c r="H76" s="1" t="s">
        <v>38</v>
      </c>
      <c r="I76" s="1">
        <v>1</v>
      </c>
      <c r="J76" s="1">
        <v>48.95</v>
      </c>
      <c r="K76" s="1">
        <v>0</v>
      </c>
      <c r="L76" s="1">
        <v>48.95</v>
      </c>
      <c r="M76" s="1">
        <v>12.32</v>
      </c>
      <c r="N76" s="1">
        <v>9.7100000000000009</v>
      </c>
      <c r="O76" s="6" t="s">
        <v>39</v>
      </c>
      <c r="P76" s="8">
        <f>Table1[Quantity]*Table1[Unit_Price]</f>
        <v>48.95</v>
      </c>
      <c r="Q76" s="1">
        <f>Table1[Profit]/Table1[Total_Sales]</f>
        <v>0.19836567926455567</v>
      </c>
      <c r="R76" s="14">
        <f>Table1[Total_Sales]+Table1[Shipping_Cost]</f>
        <v>61.27</v>
      </c>
    </row>
    <row r="77" spans="1:18" x14ac:dyDescent="0.35">
      <c r="A77" s="3" t="s">
        <v>232</v>
      </c>
      <c r="B77" s="2">
        <v>44974</v>
      </c>
      <c r="C77" s="1" t="s">
        <v>233</v>
      </c>
      <c r="D77" s="1" t="s">
        <v>17</v>
      </c>
      <c r="E77" s="1" t="s">
        <v>18</v>
      </c>
      <c r="F77" s="1" t="s">
        <v>19</v>
      </c>
      <c r="G77" s="1" t="s">
        <v>42</v>
      </c>
      <c r="H77" s="1" t="s">
        <v>234</v>
      </c>
      <c r="I77" s="1">
        <v>2</v>
      </c>
      <c r="J77" s="1">
        <v>47.62</v>
      </c>
      <c r="K77" s="1">
        <v>5</v>
      </c>
      <c r="L77" s="1">
        <v>90.48</v>
      </c>
      <c r="M77" s="1">
        <v>8.3000000000000007</v>
      </c>
      <c r="N77" s="1">
        <v>25.04</v>
      </c>
      <c r="O77" s="6" t="s">
        <v>56</v>
      </c>
      <c r="P77" s="8">
        <f>Table1[Quantity]*Table1[Unit_Price]</f>
        <v>95.24</v>
      </c>
      <c r="Q77" s="1">
        <f>Table1[Profit]/Table1[Total_Sales]</f>
        <v>0.2767462422634836</v>
      </c>
      <c r="R77" s="14">
        <f>Table1[Total_Sales]+Table1[Shipping_Cost]</f>
        <v>98.78</v>
      </c>
    </row>
    <row r="78" spans="1:18" x14ac:dyDescent="0.35">
      <c r="A78" s="3" t="s">
        <v>235</v>
      </c>
      <c r="B78" s="2">
        <v>44974</v>
      </c>
      <c r="C78" s="1" t="s">
        <v>236</v>
      </c>
      <c r="D78" s="1" t="s">
        <v>49</v>
      </c>
      <c r="E78" s="1" t="s">
        <v>92</v>
      </c>
      <c r="F78" s="1" t="s">
        <v>60</v>
      </c>
      <c r="G78" s="1" t="s">
        <v>20</v>
      </c>
      <c r="H78" s="1" t="s">
        <v>21</v>
      </c>
      <c r="I78" s="1">
        <v>1</v>
      </c>
      <c r="J78" s="1">
        <v>238.37</v>
      </c>
      <c r="K78" s="1">
        <v>15</v>
      </c>
      <c r="L78" s="1">
        <v>202.61</v>
      </c>
      <c r="M78" s="1">
        <v>11.03</v>
      </c>
      <c r="N78" s="1">
        <v>60.48</v>
      </c>
      <c r="O78" s="6" t="s">
        <v>34</v>
      </c>
      <c r="P78" s="8">
        <f>Table1[Quantity]*Table1[Unit_Price]</f>
        <v>238.37</v>
      </c>
      <c r="Q78" s="1">
        <f>Table1[Profit]/Table1[Total_Sales]</f>
        <v>0.29850451606534717</v>
      </c>
      <c r="R78" s="14">
        <f>Table1[Total_Sales]+Table1[Shipping_Cost]</f>
        <v>213.64000000000001</v>
      </c>
    </row>
    <row r="79" spans="1:18" x14ac:dyDescent="0.35">
      <c r="A79" s="3" t="s">
        <v>237</v>
      </c>
      <c r="B79" s="2">
        <v>44974</v>
      </c>
      <c r="C79" s="1" t="s">
        <v>238</v>
      </c>
      <c r="D79" s="1" t="s">
        <v>30</v>
      </c>
      <c r="E79" s="1" t="s">
        <v>76</v>
      </c>
      <c r="F79" s="1" t="s">
        <v>26</v>
      </c>
      <c r="G79" s="1" t="s">
        <v>69</v>
      </c>
      <c r="H79" s="1" t="s">
        <v>163</v>
      </c>
      <c r="I79" s="1">
        <v>5</v>
      </c>
      <c r="J79" s="1">
        <v>39.22</v>
      </c>
      <c r="K79" s="1">
        <v>10</v>
      </c>
      <c r="L79" s="1">
        <v>176.49</v>
      </c>
      <c r="M79" s="1">
        <v>17.7</v>
      </c>
      <c r="N79" s="1">
        <v>60.74</v>
      </c>
      <c r="O79" s="6" t="s">
        <v>34</v>
      </c>
      <c r="P79" s="8">
        <f>Table1[Quantity]*Table1[Unit_Price]</f>
        <v>196.1</v>
      </c>
      <c r="Q79" s="1">
        <f>Table1[Profit]/Table1[Total_Sales]</f>
        <v>0.34415547623094794</v>
      </c>
      <c r="R79" s="14">
        <f>Table1[Total_Sales]+Table1[Shipping_Cost]</f>
        <v>194.19</v>
      </c>
    </row>
    <row r="80" spans="1:18" x14ac:dyDescent="0.35">
      <c r="A80" s="3" t="s">
        <v>239</v>
      </c>
      <c r="B80" s="2">
        <v>44975</v>
      </c>
      <c r="C80" s="1" t="s">
        <v>240</v>
      </c>
      <c r="D80" s="1" t="s">
        <v>17</v>
      </c>
      <c r="E80" s="1" t="s">
        <v>148</v>
      </c>
      <c r="F80" s="1" t="s">
        <v>60</v>
      </c>
      <c r="G80" s="1" t="s">
        <v>69</v>
      </c>
      <c r="H80" s="1" t="s">
        <v>86</v>
      </c>
      <c r="I80" s="1">
        <v>2</v>
      </c>
      <c r="J80" s="1">
        <v>72.23</v>
      </c>
      <c r="K80" s="1">
        <v>20</v>
      </c>
      <c r="L80" s="1">
        <v>115.57</v>
      </c>
      <c r="M80" s="1">
        <v>13.08</v>
      </c>
      <c r="N80" s="1">
        <v>30.26</v>
      </c>
      <c r="O80" s="6" t="s">
        <v>34</v>
      </c>
      <c r="P80" s="8">
        <f>Table1[Quantity]*Table1[Unit_Price]</f>
        <v>144.46</v>
      </c>
      <c r="Q80" s="1">
        <f>Table1[Profit]/Table1[Total_Sales]</f>
        <v>0.26183265553344298</v>
      </c>
      <c r="R80" s="14">
        <f>Table1[Total_Sales]+Table1[Shipping_Cost]</f>
        <v>128.65</v>
      </c>
    </row>
    <row r="81" spans="1:18" x14ac:dyDescent="0.35">
      <c r="A81" s="3" t="s">
        <v>241</v>
      </c>
      <c r="B81" s="2">
        <v>44976</v>
      </c>
      <c r="C81" s="1" t="s">
        <v>242</v>
      </c>
      <c r="D81" s="1" t="s">
        <v>30</v>
      </c>
      <c r="E81" s="1" t="s">
        <v>53</v>
      </c>
      <c r="F81" s="1" t="s">
        <v>54</v>
      </c>
      <c r="G81" s="1" t="s">
        <v>69</v>
      </c>
      <c r="H81" s="1" t="s">
        <v>243</v>
      </c>
      <c r="I81" s="1">
        <v>3</v>
      </c>
      <c r="J81" s="1">
        <v>35.6</v>
      </c>
      <c r="K81" s="1">
        <v>5</v>
      </c>
      <c r="L81" s="1">
        <v>101.46</v>
      </c>
      <c r="M81" s="1">
        <v>15.03</v>
      </c>
      <c r="N81" s="1">
        <v>33.03</v>
      </c>
      <c r="O81" s="6" t="s">
        <v>34</v>
      </c>
      <c r="P81" s="8">
        <f>Table1[Quantity]*Table1[Unit_Price]</f>
        <v>106.80000000000001</v>
      </c>
      <c r="Q81" s="1">
        <f>Table1[Profit]/Table1[Total_Sales]</f>
        <v>0.3255470136014193</v>
      </c>
      <c r="R81" s="14">
        <f>Table1[Total_Sales]+Table1[Shipping_Cost]</f>
        <v>116.49</v>
      </c>
    </row>
    <row r="82" spans="1:18" x14ac:dyDescent="0.35">
      <c r="A82" s="3" t="s">
        <v>244</v>
      </c>
      <c r="B82" s="2">
        <v>44976</v>
      </c>
      <c r="C82" s="1" t="s">
        <v>245</v>
      </c>
      <c r="D82" s="1" t="s">
        <v>30</v>
      </c>
      <c r="E82" s="1" t="s">
        <v>129</v>
      </c>
      <c r="F82" s="1" t="s">
        <v>19</v>
      </c>
      <c r="G82" s="1" t="s">
        <v>32</v>
      </c>
      <c r="H82" s="1" t="s">
        <v>110</v>
      </c>
      <c r="I82" s="1">
        <v>5</v>
      </c>
      <c r="J82" s="1">
        <v>4.37</v>
      </c>
      <c r="K82" s="1">
        <v>15</v>
      </c>
      <c r="L82" s="1">
        <v>18.57</v>
      </c>
      <c r="M82" s="1">
        <v>11.28</v>
      </c>
      <c r="N82" s="1">
        <v>-2.54</v>
      </c>
      <c r="O82" s="6" t="s">
        <v>39</v>
      </c>
      <c r="P82" s="8">
        <f>Table1[Quantity]*Table1[Unit_Price]</f>
        <v>21.85</v>
      </c>
      <c r="Q82" s="1">
        <f>Table1[Profit]/Table1[Total_Sales]</f>
        <v>-0.13677975228863759</v>
      </c>
      <c r="R82" s="14">
        <f>Table1[Total_Sales]+Table1[Shipping_Cost]</f>
        <v>29.85</v>
      </c>
    </row>
    <row r="83" spans="1:18" x14ac:dyDescent="0.35">
      <c r="A83" s="3" t="s">
        <v>246</v>
      </c>
      <c r="B83" s="2">
        <v>44976</v>
      </c>
      <c r="C83" s="1" t="s">
        <v>247</v>
      </c>
      <c r="D83" s="1" t="s">
        <v>30</v>
      </c>
      <c r="E83" s="1" t="s">
        <v>248</v>
      </c>
      <c r="F83" s="1" t="s">
        <v>26</v>
      </c>
      <c r="G83" s="1" t="s">
        <v>69</v>
      </c>
      <c r="H83" s="1" t="s">
        <v>160</v>
      </c>
      <c r="I83" s="1">
        <v>2</v>
      </c>
      <c r="J83" s="1">
        <v>20.92</v>
      </c>
      <c r="K83" s="1">
        <v>0</v>
      </c>
      <c r="L83" s="1">
        <v>41.84</v>
      </c>
      <c r="M83" s="1">
        <v>10.6</v>
      </c>
      <c r="N83" s="1">
        <v>10.32</v>
      </c>
      <c r="O83" s="6" t="s">
        <v>22</v>
      </c>
      <c r="P83" s="8">
        <f>Table1[Quantity]*Table1[Unit_Price]</f>
        <v>41.84</v>
      </c>
      <c r="Q83" s="1">
        <f>Table1[Profit]/Table1[Total_Sales]</f>
        <v>0.24665391969407263</v>
      </c>
      <c r="R83" s="14">
        <f>Table1[Total_Sales]+Table1[Shipping_Cost]</f>
        <v>52.440000000000005</v>
      </c>
    </row>
    <row r="84" spans="1:18" x14ac:dyDescent="0.35">
      <c r="A84" s="3" t="s">
        <v>249</v>
      </c>
      <c r="B84" s="2">
        <v>44977</v>
      </c>
      <c r="C84" s="1" t="s">
        <v>250</v>
      </c>
      <c r="D84" s="1" t="s">
        <v>30</v>
      </c>
      <c r="E84" s="1" t="s">
        <v>31</v>
      </c>
      <c r="F84" s="1" t="s">
        <v>19</v>
      </c>
      <c r="G84" s="1" t="s">
        <v>69</v>
      </c>
      <c r="H84" s="1" t="s">
        <v>243</v>
      </c>
      <c r="I84" s="1">
        <v>4</v>
      </c>
      <c r="J84" s="1">
        <v>54.4</v>
      </c>
      <c r="K84" s="1">
        <v>5</v>
      </c>
      <c r="L84" s="1">
        <v>206.72</v>
      </c>
      <c r="M84" s="1">
        <v>7.53</v>
      </c>
      <c r="N84" s="1">
        <v>90.39</v>
      </c>
      <c r="O84" s="6" t="s">
        <v>22</v>
      </c>
      <c r="P84" s="8">
        <f>Table1[Quantity]*Table1[Unit_Price]</f>
        <v>217.6</v>
      </c>
      <c r="Q84" s="1">
        <f>Table1[Profit]/Table1[Total_Sales]</f>
        <v>0.4372581269349845</v>
      </c>
      <c r="R84" s="14">
        <f>Table1[Total_Sales]+Table1[Shipping_Cost]</f>
        <v>214.25</v>
      </c>
    </row>
    <row r="85" spans="1:18" x14ac:dyDescent="0.35">
      <c r="A85" s="3" t="s">
        <v>251</v>
      </c>
      <c r="B85" s="2">
        <v>44978</v>
      </c>
      <c r="C85" s="1" t="s">
        <v>252</v>
      </c>
      <c r="D85" s="1" t="s">
        <v>30</v>
      </c>
      <c r="E85" s="1" t="s">
        <v>18</v>
      </c>
      <c r="F85" s="1" t="s">
        <v>19</v>
      </c>
      <c r="G85" s="1" t="s">
        <v>20</v>
      </c>
      <c r="H85" s="1" t="s">
        <v>106</v>
      </c>
      <c r="I85" s="1">
        <v>8</v>
      </c>
      <c r="J85" s="1">
        <v>72.89</v>
      </c>
      <c r="K85" s="1">
        <v>0</v>
      </c>
      <c r="L85" s="1">
        <v>583.12</v>
      </c>
      <c r="M85" s="1">
        <v>14.27</v>
      </c>
      <c r="N85" s="1">
        <v>248.13</v>
      </c>
      <c r="O85" s="6" t="s">
        <v>34</v>
      </c>
      <c r="P85" s="8">
        <f>Table1[Quantity]*Table1[Unit_Price]</f>
        <v>583.12</v>
      </c>
      <c r="Q85" s="1">
        <f>Table1[Profit]/Table1[Total_Sales]</f>
        <v>0.42552133351625737</v>
      </c>
      <c r="R85" s="14">
        <f>Table1[Total_Sales]+Table1[Shipping_Cost]</f>
        <v>597.39</v>
      </c>
    </row>
    <row r="86" spans="1:18" x14ac:dyDescent="0.35">
      <c r="A86" s="3" t="s">
        <v>253</v>
      </c>
      <c r="B86" s="2">
        <v>44978</v>
      </c>
      <c r="C86" s="1" t="s">
        <v>254</v>
      </c>
      <c r="D86" s="1" t="s">
        <v>30</v>
      </c>
      <c r="E86" s="1" t="s">
        <v>59</v>
      </c>
      <c r="F86" s="1" t="s">
        <v>60</v>
      </c>
      <c r="G86" s="1" t="s">
        <v>42</v>
      </c>
      <c r="H86" s="1" t="s">
        <v>255</v>
      </c>
      <c r="I86" s="1">
        <v>6</v>
      </c>
      <c r="J86" s="1">
        <v>54.39</v>
      </c>
      <c r="K86" s="1">
        <v>0</v>
      </c>
      <c r="L86" s="1">
        <v>326.33999999999997</v>
      </c>
      <c r="M86" s="1">
        <v>17.34</v>
      </c>
      <c r="N86" s="1">
        <v>113.2</v>
      </c>
      <c r="O86" s="6" t="s">
        <v>39</v>
      </c>
      <c r="P86" s="8">
        <f>Table1[Quantity]*Table1[Unit_Price]</f>
        <v>326.34000000000003</v>
      </c>
      <c r="Q86" s="1">
        <f>Table1[Profit]/Table1[Total_Sales]</f>
        <v>0.34687748973463262</v>
      </c>
      <c r="R86" s="14">
        <f>Table1[Total_Sales]+Table1[Shipping_Cost]</f>
        <v>343.67999999999995</v>
      </c>
    </row>
    <row r="87" spans="1:18" x14ac:dyDescent="0.35">
      <c r="A87" s="3" t="s">
        <v>256</v>
      </c>
      <c r="B87" s="2">
        <v>44978</v>
      </c>
      <c r="C87" s="1" t="s">
        <v>257</v>
      </c>
      <c r="D87" s="1" t="s">
        <v>30</v>
      </c>
      <c r="E87" s="1" t="s">
        <v>129</v>
      </c>
      <c r="F87" s="1" t="s">
        <v>19</v>
      </c>
      <c r="G87" s="1" t="s">
        <v>42</v>
      </c>
      <c r="H87" s="1" t="s">
        <v>93</v>
      </c>
      <c r="I87" s="1">
        <v>6</v>
      </c>
      <c r="J87" s="1">
        <v>472.56</v>
      </c>
      <c r="K87" s="1">
        <v>0</v>
      </c>
      <c r="L87" s="1">
        <v>2835.36</v>
      </c>
      <c r="M87" s="1">
        <v>19.09</v>
      </c>
      <c r="N87" s="1">
        <v>1115.05</v>
      </c>
      <c r="O87" s="6" t="s">
        <v>39</v>
      </c>
      <c r="P87" s="8">
        <f>Table1[Quantity]*Table1[Unit_Price]</f>
        <v>2835.36</v>
      </c>
      <c r="Q87" s="1">
        <f>Table1[Profit]/Table1[Total_Sales]</f>
        <v>0.39326575814005976</v>
      </c>
      <c r="R87" s="14">
        <f>Table1[Total_Sales]+Table1[Shipping_Cost]</f>
        <v>2854.4500000000003</v>
      </c>
    </row>
    <row r="88" spans="1:18" x14ac:dyDescent="0.35">
      <c r="A88" s="3" t="s">
        <v>258</v>
      </c>
      <c r="B88" s="2">
        <v>44978</v>
      </c>
      <c r="C88" s="1" t="s">
        <v>259</v>
      </c>
      <c r="D88" s="1" t="s">
        <v>30</v>
      </c>
      <c r="E88" s="1" t="s">
        <v>92</v>
      </c>
      <c r="F88" s="1" t="s">
        <v>60</v>
      </c>
      <c r="G88" s="1" t="s">
        <v>20</v>
      </c>
      <c r="H88" s="1" t="s">
        <v>199</v>
      </c>
      <c r="I88" s="1">
        <v>1</v>
      </c>
      <c r="J88" s="1">
        <v>133.63</v>
      </c>
      <c r="K88" s="1">
        <v>0</v>
      </c>
      <c r="L88" s="1">
        <v>133.63</v>
      </c>
      <c r="M88" s="1">
        <v>9.94</v>
      </c>
      <c r="N88" s="1">
        <v>50.19</v>
      </c>
      <c r="O88" s="6" t="s">
        <v>39</v>
      </c>
      <c r="P88" s="8">
        <f>Table1[Quantity]*Table1[Unit_Price]</f>
        <v>133.63</v>
      </c>
      <c r="Q88" s="1">
        <f>Table1[Profit]/Table1[Total_Sales]</f>
        <v>0.37558931377684651</v>
      </c>
      <c r="R88" s="14">
        <f>Table1[Total_Sales]+Table1[Shipping_Cost]</f>
        <v>143.57</v>
      </c>
    </row>
    <row r="89" spans="1:18" x14ac:dyDescent="0.35">
      <c r="A89" s="3" t="s">
        <v>260</v>
      </c>
      <c r="B89" s="2">
        <v>44979</v>
      </c>
      <c r="C89" s="1" t="s">
        <v>261</v>
      </c>
      <c r="D89" s="1" t="s">
        <v>17</v>
      </c>
      <c r="E89" s="1" t="s">
        <v>129</v>
      </c>
      <c r="F89" s="1" t="s">
        <v>19</v>
      </c>
      <c r="G89" s="1" t="s">
        <v>20</v>
      </c>
      <c r="H89" s="1" t="s">
        <v>175</v>
      </c>
      <c r="I89" s="1">
        <v>2</v>
      </c>
      <c r="J89" s="1">
        <v>32.06</v>
      </c>
      <c r="K89" s="1">
        <v>0</v>
      </c>
      <c r="L89" s="1">
        <v>64.12</v>
      </c>
      <c r="M89" s="1">
        <v>7.82</v>
      </c>
      <c r="N89" s="1">
        <v>21.03</v>
      </c>
      <c r="O89" s="6" t="s">
        <v>22</v>
      </c>
      <c r="P89" s="8">
        <f>Table1[Quantity]*Table1[Unit_Price]</f>
        <v>64.12</v>
      </c>
      <c r="Q89" s="1">
        <f>Table1[Profit]/Table1[Total_Sales]</f>
        <v>0.32797878976918277</v>
      </c>
      <c r="R89" s="14">
        <f>Table1[Total_Sales]+Table1[Shipping_Cost]</f>
        <v>71.94</v>
      </c>
    </row>
    <row r="90" spans="1:18" x14ac:dyDescent="0.35">
      <c r="A90" s="3" t="s">
        <v>262</v>
      </c>
      <c r="B90" s="2">
        <v>44979</v>
      </c>
      <c r="C90" s="1" t="s">
        <v>263</v>
      </c>
      <c r="D90" s="1" t="s">
        <v>49</v>
      </c>
      <c r="E90" s="1" t="s">
        <v>76</v>
      </c>
      <c r="F90" s="1" t="s">
        <v>26</v>
      </c>
      <c r="G90" s="1" t="s">
        <v>20</v>
      </c>
      <c r="H90" s="1" t="s">
        <v>264</v>
      </c>
      <c r="I90" s="1">
        <v>4</v>
      </c>
      <c r="J90" s="1">
        <v>36.01</v>
      </c>
      <c r="K90" s="1">
        <v>15</v>
      </c>
      <c r="L90" s="1">
        <v>122.43</v>
      </c>
      <c r="M90" s="1">
        <v>10.44</v>
      </c>
      <c r="N90" s="1">
        <v>32.770000000000003</v>
      </c>
      <c r="O90" s="6" t="s">
        <v>34</v>
      </c>
      <c r="P90" s="8">
        <f>Table1[Quantity]*Table1[Unit_Price]</f>
        <v>144.04</v>
      </c>
      <c r="Q90" s="1">
        <f>Table1[Profit]/Table1[Total_Sales]</f>
        <v>0.26766315445560729</v>
      </c>
      <c r="R90" s="14">
        <f>Table1[Total_Sales]+Table1[Shipping_Cost]</f>
        <v>132.87</v>
      </c>
    </row>
    <row r="91" spans="1:18" x14ac:dyDescent="0.35">
      <c r="A91" s="3" t="s">
        <v>265</v>
      </c>
      <c r="B91" s="2">
        <v>44980</v>
      </c>
      <c r="C91" s="1" t="s">
        <v>266</v>
      </c>
      <c r="D91" s="1" t="s">
        <v>17</v>
      </c>
      <c r="E91" s="1" t="s">
        <v>18</v>
      </c>
      <c r="F91" s="1" t="s">
        <v>19</v>
      </c>
      <c r="G91" s="1" t="s">
        <v>32</v>
      </c>
      <c r="H91" s="1" t="s">
        <v>73</v>
      </c>
      <c r="I91" s="1">
        <v>4</v>
      </c>
      <c r="J91" s="1">
        <v>7.24</v>
      </c>
      <c r="K91" s="1">
        <v>10</v>
      </c>
      <c r="L91" s="1">
        <v>26.06</v>
      </c>
      <c r="M91" s="1">
        <v>8.85</v>
      </c>
      <c r="N91" s="1">
        <v>4.18</v>
      </c>
      <c r="O91" s="6" t="s">
        <v>34</v>
      </c>
      <c r="P91" s="8">
        <f>Table1[Quantity]*Table1[Unit_Price]</f>
        <v>28.96</v>
      </c>
      <c r="Q91" s="1">
        <f>Table1[Profit]/Table1[Total_Sales]</f>
        <v>0.16039907904834996</v>
      </c>
      <c r="R91" s="14">
        <f>Table1[Total_Sales]+Table1[Shipping_Cost]</f>
        <v>34.909999999999997</v>
      </c>
    </row>
    <row r="92" spans="1:18" x14ac:dyDescent="0.35">
      <c r="A92" s="3" t="s">
        <v>267</v>
      </c>
      <c r="B92" s="2">
        <v>44980</v>
      </c>
      <c r="C92" s="1" t="s">
        <v>45</v>
      </c>
      <c r="D92" s="1" t="s">
        <v>49</v>
      </c>
      <c r="E92" s="1" t="s">
        <v>169</v>
      </c>
      <c r="F92" s="1" t="s">
        <v>68</v>
      </c>
      <c r="G92" s="1" t="s">
        <v>20</v>
      </c>
      <c r="H92" s="1" t="s">
        <v>264</v>
      </c>
      <c r="I92" s="1">
        <v>3</v>
      </c>
      <c r="J92" s="1">
        <v>60.99</v>
      </c>
      <c r="K92" s="1">
        <v>0</v>
      </c>
      <c r="L92" s="1">
        <v>182.97</v>
      </c>
      <c r="M92" s="1">
        <v>12.03</v>
      </c>
      <c r="N92" s="1">
        <v>70.31</v>
      </c>
      <c r="O92" s="6" t="s">
        <v>34</v>
      </c>
      <c r="P92" s="8">
        <f>Table1[Quantity]*Table1[Unit_Price]</f>
        <v>182.97</v>
      </c>
      <c r="Q92" s="1">
        <f>Table1[Profit]/Table1[Total_Sales]</f>
        <v>0.38427064546100453</v>
      </c>
      <c r="R92" s="14">
        <f>Table1[Total_Sales]+Table1[Shipping_Cost]</f>
        <v>195</v>
      </c>
    </row>
    <row r="93" spans="1:18" x14ac:dyDescent="0.35">
      <c r="A93" s="3" t="s">
        <v>268</v>
      </c>
      <c r="B93" s="2">
        <v>44981</v>
      </c>
      <c r="C93" s="1" t="s">
        <v>269</v>
      </c>
      <c r="D93" s="1" t="s">
        <v>30</v>
      </c>
      <c r="E93" s="1" t="s">
        <v>248</v>
      </c>
      <c r="F93" s="1" t="s">
        <v>26</v>
      </c>
      <c r="G93" s="1" t="s">
        <v>32</v>
      </c>
      <c r="H93" s="1" t="s">
        <v>33</v>
      </c>
      <c r="I93" s="1">
        <v>6</v>
      </c>
      <c r="J93" s="1">
        <v>7.14</v>
      </c>
      <c r="K93" s="1">
        <v>0</v>
      </c>
      <c r="L93" s="1">
        <v>42.84</v>
      </c>
      <c r="M93" s="1">
        <v>12.59</v>
      </c>
      <c r="N93" s="1">
        <v>10.97</v>
      </c>
      <c r="O93" s="6" t="s">
        <v>39</v>
      </c>
      <c r="P93" s="8">
        <f>Table1[Quantity]*Table1[Unit_Price]</f>
        <v>42.839999999999996</v>
      </c>
      <c r="Q93" s="1">
        <f>Table1[Profit]/Table1[Total_Sales]</f>
        <v>0.2560690943043884</v>
      </c>
      <c r="R93" s="14">
        <f>Table1[Total_Sales]+Table1[Shipping_Cost]</f>
        <v>55.430000000000007</v>
      </c>
    </row>
    <row r="94" spans="1:18" x14ac:dyDescent="0.35">
      <c r="A94" s="3" t="s">
        <v>270</v>
      </c>
      <c r="B94" s="2">
        <v>44982</v>
      </c>
      <c r="C94" s="1" t="s">
        <v>271</v>
      </c>
      <c r="D94" s="1" t="s">
        <v>30</v>
      </c>
      <c r="E94" s="1" t="s">
        <v>25</v>
      </c>
      <c r="F94" s="1" t="s">
        <v>26</v>
      </c>
      <c r="G94" s="1" t="s">
        <v>32</v>
      </c>
      <c r="H94" s="1" t="s">
        <v>110</v>
      </c>
      <c r="I94" s="1">
        <v>2</v>
      </c>
      <c r="J94" s="1">
        <v>8.06</v>
      </c>
      <c r="K94" s="1">
        <v>15</v>
      </c>
      <c r="L94" s="1">
        <v>13.7</v>
      </c>
      <c r="M94" s="1">
        <v>10.44</v>
      </c>
      <c r="N94" s="1">
        <v>-3.99</v>
      </c>
      <c r="O94" s="6" t="s">
        <v>56</v>
      </c>
      <c r="P94" s="8">
        <f>Table1[Quantity]*Table1[Unit_Price]</f>
        <v>16.12</v>
      </c>
      <c r="Q94" s="1">
        <f>Table1[Profit]/Table1[Total_Sales]</f>
        <v>-0.29124087591240877</v>
      </c>
      <c r="R94" s="14">
        <f>Table1[Total_Sales]+Table1[Shipping_Cost]</f>
        <v>24.14</v>
      </c>
    </row>
    <row r="95" spans="1:18" x14ac:dyDescent="0.35">
      <c r="A95" s="3" t="s">
        <v>272</v>
      </c>
      <c r="B95" s="2">
        <v>44982</v>
      </c>
      <c r="C95" s="1" t="s">
        <v>273</v>
      </c>
      <c r="D95" s="1" t="s">
        <v>17</v>
      </c>
      <c r="E95" s="1" t="s">
        <v>59</v>
      </c>
      <c r="F95" s="1" t="s">
        <v>60</v>
      </c>
      <c r="G95" s="1" t="s">
        <v>69</v>
      </c>
      <c r="H95" s="1" t="s">
        <v>79</v>
      </c>
      <c r="I95" s="1">
        <v>2</v>
      </c>
      <c r="J95" s="1">
        <v>31.71</v>
      </c>
      <c r="K95" s="1">
        <v>5</v>
      </c>
      <c r="L95" s="1">
        <v>60.25</v>
      </c>
      <c r="M95" s="1">
        <v>10.63</v>
      </c>
      <c r="N95" s="1">
        <v>17.91</v>
      </c>
      <c r="O95" s="6" t="s">
        <v>56</v>
      </c>
      <c r="P95" s="8">
        <f>Table1[Quantity]*Table1[Unit_Price]</f>
        <v>63.42</v>
      </c>
      <c r="Q95" s="1">
        <f>Table1[Profit]/Table1[Total_Sales]</f>
        <v>0.29726141078838175</v>
      </c>
      <c r="R95" s="14">
        <f>Table1[Total_Sales]+Table1[Shipping_Cost]</f>
        <v>70.88</v>
      </c>
    </row>
    <row r="96" spans="1:18" x14ac:dyDescent="0.35">
      <c r="A96" s="3" t="s">
        <v>274</v>
      </c>
      <c r="B96" s="2">
        <v>44983</v>
      </c>
      <c r="C96" s="1" t="s">
        <v>275</v>
      </c>
      <c r="D96" s="1" t="s">
        <v>30</v>
      </c>
      <c r="E96" s="1" t="s">
        <v>37</v>
      </c>
      <c r="F96" s="1" t="s">
        <v>26</v>
      </c>
      <c r="G96" s="1" t="s">
        <v>42</v>
      </c>
      <c r="H96" s="1" t="s">
        <v>64</v>
      </c>
      <c r="I96" s="1">
        <v>6</v>
      </c>
      <c r="J96" s="1">
        <v>82.3</v>
      </c>
      <c r="K96" s="1">
        <v>0</v>
      </c>
      <c r="L96" s="1">
        <v>493.8</v>
      </c>
      <c r="M96" s="1">
        <v>12.43</v>
      </c>
      <c r="N96" s="1">
        <v>185.09</v>
      </c>
      <c r="O96" s="6" t="s">
        <v>39</v>
      </c>
      <c r="P96" s="8">
        <f>Table1[Quantity]*Table1[Unit_Price]</f>
        <v>493.79999999999995</v>
      </c>
      <c r="Q96" s="1">
        <f>Table1[Profit]/Table1[Total_Sales]</f>
        <v>0.37482786553260428</v>
      </c>
      <c r="R96" s="14">
        <f>Table1[Total_Sales]+Table1[Shipping_Cost]</f>
        <v>506.23</v>
      </c>
    </row>
    <row r="97" spans="1:18" x14ac:dyDescent="0.35">
      <c r="A97" s="3" t="s">
        <v>276</v>
      </c>
      <c r="B97" s="2">
        <v>44984</v>
      </c>
      <c r="C97" s="1" t="s">
        <v>277</v>
      </c>
      <c r="D97" s="1" t="s">
        <v>30</v>
      </c>
      <c r="E97" s="1" t="s">
        <v>18</v>
      </c>
      <c r="F97" s="1" t="s">
        <v>19</v>
      </c>
      <c r="G97" s="1" t="s">
        <v>20</v>
      </c>
      <c r="H97" s="1" t="s">
        <v>38</v>
      </c>
      <c r="I97" s="1">
        <v>1</v>
      </c>
      <c r="J97" s="1">
        <v>77.48</v>
      </c>
      <c r="K97" s="1">
        <v>0</v>
      </c>
      <c r="L97" s="1">
        <v>77.48</v>
      </c>
      <c r="M97" s="1">
        <v>7.16</v>
      </c>
      <c r="N97" s="1">
        <v>27.71</v>
      </c>
      <c r="O97" s="6" t="s">
        <v>39</v>
      </c>
      <c r="P97" s="8">
        <f>Table1[Quantity]*Table1[Unit_Price]</f>
        <v>77.48</v>
      </c>
      <c r="Q97" s="1">
        <f>Table1[Profit]/Table1[Total_Sales]</f>
        <v>0.35764068146618483</v>
      </c>
      <c r="R97" s="14">
        <f>Table1[Total_Sales]+Table1[Shipping_Cost]</f>
        <v>84.64</v>
      </c>
    </row>
    <row r="98" spans="1:18" x14ac:dyDescent="0.35">
      <c r="A98" s="3" t="s">
        <v>278</v>
      </c>
      <c r="B98" s="2">
        <v>44984</v>
      </c>
      <c r="C98" s="1" t="s">
        <v>279</v>
      </c>
      <c r="D98" s="1" t="s">
        <v>30</v>
      </c>
      <c r="E98" s="1" t="s">
        <v>121</v>
      </c>
      <c r="F98" s="1" t="s">
        <v>68</v>
      </c>
      <c r="G98" s="1" t="s">
        <v>32</v>
      </c>
      <c r="H98" s="1" t="s">
        <v>73</v>
      </c>
      <c r="I98" s="1">
        <v>9</v>
      </c>
      <c r="J98" s="1">
        <v>7.24</v>
      </c>
      <c r="K98" s="1">
        <v>0</v>
      </c>
      <c r="L98" s="1">
        <v>65.16</v>
      </c>
      <c r="M98" s="1">
        <v>18.95</v>
      </c>
      <c r="N98" s="1">
        <v>16.89</v>
      </c>
      <c r="O98" s="6" t="s">
        <v>39</v>
      </c>
      <c r="P98" s="8">
        <f>Table1[Quantity]*Table1[Unit_Price]</f>
        <v>65.16</v>
      </c>
      <c r="Q98" s="1">
        <f>Table1[Profit]/Table1[Total_Sales]</f>
        <v>0.2592081031307551</v>
      </c>
      <c r="R98" s="14">
        <f>Table1[Total_Sales]+Table1[Shipping_Cost]</f>
        <v>84.11</v>
      </c>
    </row>
    <row r="99" spans="1:18" x14ac:dyDescent="0.35">
      <c r="A99" s="3" t="s">
        <v>280</v>
      </c>
      <c r="B99" s="2">
        <v>44984</v>
      </c>
      <c r="C99" s="1" t="s">
        <v>281</v>
      </c>
      <c r="D99" s="1" t="s">
        <v>17</v>
      </c>
      <c r="E99" s="1" t="s">
        <v>166</v>
      </c>
      <c r="F99" s="1" t="s">
        <v>60</v>
      </c>
      <c r="G99" s="1" t="s">
        <v>32</v>
      </c>
      <c r="H99" s="1" t="s">
        <v>149</v>
      </c>
      <c r="I99" s="1">
        <v>12</v>
      </c>
      <c r="J99" s="1">
        <v>5.63</v>
      </c>
      <c r="K99" s="1">
        <v>5</v>
      </c>
      <c r="L99" s="1">
        <v>64.180000000000007</v>
      </c>
      <c r="M99" s="1">
        <v>31.26</v>
      </c>
      <c r="N99" s="1">
        <v>2.52</v>
      </c>
      <c r="O99" s="6" t="s">
        <v>34</v>
      </c>
      <c r="P99" s="8">
        <f>Table1[Quantity]*Table1[Unit_Price]</f>
        <v>67.56</v>
      </c>
      <c r="Q99" s="1">
        <f>Table1[Profit]/Table1[Total_Sales]</f>
        <v>3.9264568401371137E-2</v>
      </c>
      <c r="R99" s="14">
        <f>Table1[Total_Sales]+Table1[Shipping_Cost]</f>
        <v>95.440000000000012</v>
      </c>
    </row>
    <row r="100" spans="1:18" x14ac:dyDescent="0.35">
      <c r="A100" s="3" t="s">
        <v>282</v>
      </c>
      <c r="B100" s="2">
        <v>44984</v>
      </c>
      <c r="C100" s="1" t="s">
        <v>283</v>
      </c>
      <c r="D100" s="1" t="s">
        <v>30</v>
      </c>
      <c r="E100" s="1" t="s">
        <v>129</v>
      </c>
      <c r="F100" s="1" t="s">
        <v>19</v>
      </c>
      <c r="G100" s="1" t="s">
        <v>69</v>
      </c>
      <c r="H100" s="1" t="s">
        <v>160</v>
      </c>
      <c r="I100" s="1">
        <v>2</v>
      </c>
      <c r="J100" s="1">
        <v>26.25</v>
      </c>
      <c r="K100" s="1">
        <v>10</v>
      </c>
      <c r="L100" s="1">
        <v>47.25</v>
      </c>
      <c r="M100" s="1">
        <v>6.27</v>
      </c>
      <c r="N100" s="1">
        <v>14.73</v>
      </c>
      <c r="O100" s="6" t="s">
        <v>34</v>
      </c>
      <c r="P100" s="8">
        <f>Table1[Quantity]*Table1[Unit_Price]</f>
        <v>52.5</v>
      </c>
      <c r="Q100" s="1">
        <f>Table1[Profit]/Table1[Total_Sales]</f>
        <v>0.31174603174603177</v>
      </c>
      <c r="R100" s="14">
        <f>Table1[Total_Sales]+Table1[Shipping_Cost]</f>
        <v>53.519999999999996</v>
      </c>
    </row>
    <row r="101" spans="1:18" x14ac:dyDescent="0.35">
      <c r="A101" s="3" t="s">
        <v>284</v>
      </c>
      <c r="B101" s="2">
        <v>44986</v>
      </c>
      <c r="C101" s="1" t="s">
        <v>285</v>
      </c>
      <c r="D101" s="1" t="s">
        <v>30</v>
      </c>
      <c r="E101" s="1" t="s">
        <v>148</v>
      </c>
      <c r="F101" s="1" t="s">
        <v>60</v>
      </c>
      <c r="G101" s="1" t="s">
        <v>20</v>
      </c>
      <c r="H101" s="1" t="s">
        <v>199</v>
      </c>
      <c r="I101" s="1">
        <v>2</v>
      </c>
      <c r="J101" s="1">
        <v>135.29</v>
      </c>
      <c r="K101" s="1">
        <v>0</v>
      </c>
      <c r="L101" s="1">
        <v>270.58</v>
      </c>
      <c r="M101" s="1">
        <v>10.07</v>
      </c>
      <c r="N101" s="1">
        <v>111.69</v>
      </c>
      <c r="O101" s="6" t="s">
        <v>22</v>
      </c>
      <c r="P101" s="8">
        <f>Table1[Quantity]*Table1[Unit_Price]</f>
        <v>270.58</v>
      </c>
      <c r="Q101" s="1">
        <f>Table1[Profit]/Table1[Total_Sales]</f>
        <v>0.41277995417251834</v>
      </c>
      <c r="R101" s="14">
        <f>Table1[Total_Sales]+Table1[Shipping_Cost]</f>
        <v>280.64999999999998</v>
      </c>
    </row>
    <row r="102" spans="1:18" x14ac:dyDescent="0.35">
      <c r="A102" s="3" t="s">
        <v>286</v>
      </c>
      <c r="B102" s="2">
        <v>44987</v>
      </c>
      <c r="C102" s="1" t="s">
        <v>287</v>
      </c>
      <c r="D102" s="1" t="s">
        <v>30</v>
      </c>
      <c r="E102" s="1" t="s">
        <v>92</v>
      </c>
      <c r="F102" s="1" t="s">
        <v>60</v>
      </c>
      <c r="G102" s="1" t="s">
        <v>42</v>
      </c>
      <c r="H102" s="1" t="s">
        <v>255</v>
      </c>
      <c r="I102" s="1">
        <v>1</v>
      </c>
      <c r="J102" s="1">
        <v>24.66</v>
      </c>
      <c r="K102" s="1">
        <v>0</v>
      </c>
      <c r="L102" s="1">
        <v>24.66</v>
      </c>
      <c r="M102" s="1">
        <v>11.27</v>
      </c>
      <c r="N102" s="1">
        <v>-1.41</v>
      </c>
      <c r="O102" s="6" t="s">
        <v>34</v>
      </c>
      <c r="P102" s="8">
        <f>Table1[Quantity]*Table1[Unit_Price]</f>
        <v>24.66</v>
      </c>
      <c r="Q102" s="1">
        <f>Table1[Profit]/Table1[Total_Sales]</f>
        <v>-5.7177615571776155E-2</v>
      </c>
      <c r="R102" s="14">
        <f>Table1[Total_Sales]+Table1[Shipping_Cost]</f>
        <v>35.93</v>
      </c>
    </row>
    <row r="103" spans="1:18" x14ac:dyDescent="0.35">
      <c r="A103" s="3" t="s">
        <v>288</v>
      </c>
      <c r="B103" s="2">
        <v>44987</v>
      </c>
      <c r="C103" s="1" t="s">
        <v>289</v>
      </c>
      <c r="D103" s="1" t="s">
        <v>17</v>
      </c>
      <c r="E103" s="1" t="s">
        <v>85</v>
      </c>
      <c r="F103" s="1" t="s">
        <v>60</v>
      </c>
      <c r="G103" s="1" t="s">
        <v>20</v>
      </c>
      <c r="H103" s="1" t="s">
        <v>27</v>
      </c>
      <c r="I103" s="1">
        <v>4</v>
      </c>
      <c r="J103" s="1">
        <v>165.1</v>
      </c>
      <c r="K103" s="1">
        <v>5</v>
      </c>
      <c r="L103" s="1">
        <v>627.38</v>
      </c>
      <c r="M103" s="1">
        <v>15.44</v>
      </c>
      <c r="N103" s="1">
        <v>248.72</v>
      </c>
      <c r="O103" s="6" t="s">
        <v>34</v>
      </c>
      <c r="P103" s="8">
        <f>Table1[Quantity]*Table1[Unit_Price]</f>
        <v>660.4</v>
      </c>
      <c r="Q103" s="1">
        <f>Table1[Profit]/Table1[Total_Sales]</f>
        <v>0.39644234754056551</v>
      </c>
      <c r="R103" s="14">
        <f>Table1[Total_Sales]+Table1[Shipping_Cost]</f>
        <v>642.82000000000005</v>
      </c>
    </row>
    <row r="104" spans="1:18" x14ac:dyDescent="0.35">
      <c r="A104" s="3" t="s">
        <v>290</v>
      </c>
      <c r="B104" s="2">
        <v>44987</v>
      </c>
      <c r="C104" s="1" t="s">
        <v>291</v>
      </c>
      <c r="D104" s="1" t="s">
        <v>30</v>
      </c>
      <c r="E104" s="1" t="s">
        <v>37</v>
      </c>
      <c r="F104" s="1" t="s">
        <v>26</v>
      </c>
      <c r="G104" s="1" t="s">
        <v>32</v>
      </c>
      <c r="H104" s="1" t="s">
        <v>132</v>
      </c>
      <c r="I104" s="1">
        <v>2</v>
      </c>
      <c r="J104" s="1">
        <v>11.57</v>
      </c>
      <c r="K104" s="1">
        <v>25</v>
      </c>
      <c r="L104" s="1">
        <v>17.36</v>
      </c>
      <c r="M104" s="1">
        <v>8.09</v>
      </c>
      <c r="N104" s="1">
        <v>-1.1399999999999999</v>
      </c>
      <c r="O104" s="6" t="s">
        <v>22</v>
      </c>
      <c r="P104" s="8">
        <f>Table1[Quantity]*Table1[Unit_Price]</f>
        <v>23.14</v>
      </c>
      <c r="Q104" s="1">
        <f>Table1[Profit]/Table1[Total_Sales]</f>
        <v>-6.5668202764976952E-2</v>
      </c>
      <c r="R104" s="14">
        <f>Table1[Total_Sales]+Table1[Shipping_Cost]</f>
        <v>25.45</v>
      </c>
    </row>
    <row r="105" spans="1:18" x14ac:dyDescent="0.35">
      <c r="A105" s="3" t="s">
        <v>292</v>
      </c>
      <c r="B105" s="2">
        <v>44987</v>
      </c>
      <c r="C105" s="1" t="s">
        <v>293</v>
      </c>
      <c r="D105" s="1" t="s">
        <v>49</v>
      </c>
      <c r="E105" s="1" t="s">
        <v>18</v>
      </c>
      <c r="F105" s="1" t="s">
        <v>19</v>
      </c>
      <c r="G105" s="1" t="s">
        <v>42</v>
      </c>
      <c r="H105" s="1" t="s">
        <v>294</v>
      </c>
      <c r="I105" s="1">
        <v>1</v>
      </c>
      <c r="J105" s="1">
        <v>113.52</v>
      </c>
      <c r="K105" s="1">
        <v>10</v>
      </c>
      <c r="L105" s="1">
        <v>102.17</v>
      </c>
      <c r="M105" s="1">
        <v>7.35</v>
      </c>
      <c r="N105" s="1">
        <v>26.71</v>
      </c>
      <c r="O105" s="6" t="s">
        <v>34</v>
      </c>
      <c r="P105" s="8">
        <f>Table1[Quantity]*Table1[Unit_Price]</f>
        <v>113.52</v>
      </c>
      <c r="Q105" s="1">
        <f>Table1[Profit]/Table1[Total_Sales]</f>
        <v>0.2614270333757463</v>
      </c>
      <c r="R105" s="14">
        <f>Table1[Total_Sales]+Table1[Shipping_Cost]</f>
        <v>109.52</v>
      </c>
    </row>
    <row r="106" spans="1:18" x14ac:dyDescent="0.35">
      <c r="A106" s="3" t="s">
        <v>295</v>
      </c>
      <c r="B106" s="2">
        <v>44987</v>
      </c>
      <c r="C106" s="1" t="s">
        <v>296</v>
      </c>
      <c r="D106" s="1" t="s">
        <v>17</v>
      </c>
      <c r="E106" s="1" t="s">
        <v>92</v>
      </c>
      <c r="F106" s="1" t="s">
        <v>60</v>
      </c>
      <c r="G106" s="1" t="s">
        <v>32</v>
      </c>
      <c r="H106" s="1" t="s">
        <v>101</v>
      </c>
      <c r="I106" s="1">
        <v>4</v>
      </c>
      <c r="J106" s="1">
        <v>9.18</v>
      </c>
      <c r="K106" s="1">
        <v>20</v>
      </c>
      <c r="L106" s="1">
        <v>29.38</v>
      </c>
      <c r="M106" s="1">
        <v>12.6</v>
      </c>
      <c r="N106" s="1">
        <v>0.26</v>
      </c>
      <c r="O106" s="6" t="s">
        <v>39</v>
      </c>
      <c r="P106" s="8">
        <f>Table1[Quantity]*Table1[Unit_Price]</f>
        <v>36.72</v>
      </c>
      <c r="Q106" s="1">
        <f>Table1[Profit]/Table1[Total_Sales]</f>
        <v>8.8495575221238937E-3</v>
      </c>
      <c r="R106" s="14">
        <f>Table1[Total_Sales]+Table1[Shipping_Cost]</f>
        <v>41.98</v>
      </c>
    </row>
    <row r="107" spans="1:18" x14ac:dyDescent="0.35">
      <c r="A107" s="3" t="s">
        <v>297</v>
      </c>
      <c r="B107" s="2">
        <v>44987</v>
      </c>
      <c r="C107" s="1" t="s">
        <v>298</v>
      </c>
      <c r="D107" s="1" t="s">
        <v>49</v>
      </c>
      <c r="E107" s="1" t="s">
        <v>92</v>
      </c>
      <c r="F107" s="1" t="s">
        <v>60</v>
      </c>
      <c r="G107" s="1" t="s">
        <v>20</v>
      </c>
      <c r="H107" s="1" t="s">
        <v>21</v>
      </c>
      <c r="I107" s="1">
        <v>2</v>
      </c>
      <c r="J107" s="1">
        <v>201.32</v>
      </c>
      <c r="K107" s="1">
        <v>0</v>
      </c>
      <c r="L107" s="1">
        <v>402.64</v>
      </c>
      <c r="M107" s="1">
        <v>13.72</v>
      </c>
      <c r="N107" s="1">
        <v>167.47</v>
      </c>
      <c r="O107" s="6" t="s">
        <v>39</v>
      </c>
      <c r="P107" s="8">
        <f>Table1[Quantity]*Table1[Unit_Price]</f>
        <v>402.64</v>
      </c>
      <c r="Q107" s="1">
        <f>Table1[Profit]/Table1[Total_Sales]</f>
        <v>0.41592986290482814</v>
      </c>
      <c r="R107" s="14">
        <f>Table1[Total_Sales]+Table1[Shipping_Cost]</f>
        <v>416.36</v>
      </c>
    </row>
    <row r="108" spans="1:18" x14ac:dyDescent="0.35">
      <c r="A108" s="3" t="s">
        <v>299</v>
      </c>
      <c r="B108" s="2">
        <v>44989</v>
      </c>
      <c r="C108" s="1" t="s">
        <v>300</v>
      </c>
      <c r="D108" s="1" t="s">
        <v>30</v>
      </c>
      <c r="E108" s="1" t="s">
        <v>129</v>
      </c>
      <c r="F108" s="1" t="s">
        <v>19</v>
      </c>
      <c r="G108" s="1" t="s">
        <v>20</v>
      </c>
      <c r="H108" s="1" t="s">
        <v>27</v>
      </c>
      <c r="I108" s="1">
        <v>9</v>
      </c>
      <c r="J108" s="1">
        <v>90.24</v>
      </c>
      <c r="K108" s="1">
        <v>10</v>
      </c>
      <c r="L108" s="1">
        <v>730.94</v>
      </c>
      <c r="M108" s="1">
        <v>18.86</v>
      </c>
      <c r="N108" s="1">
        <v>265.39</v>
      </c>
      <c r="O108" s="6" t="s">
        <v>34</v>
      </c>
      <c r="P108" s="8">
        <f>Table1[Quantity]*Table1[Unit_Price]</f>
        <v>812.16</v>
      </c>
      <c r="Q108" s="1">
        <f>Table1[Profit]/Table1[Total_Sales]</f>
        <v>0.3630804169972911</v>
      </c>
      <c r="R108" s="14">
        <f>Table1[Total_Sales]+Table1[Shipping_Cost]</f>
        <v>749.80000000000007</v>
      </c>
    </row>
    <row r="109" spans="1:18" x14ac:dyDescent="0.35">
      <c r="A109" s="3" t="s">
        <v>301</v>
      </c>
      <c r="B109" s="2">
        <v>44990</v>
      </c>
      <c r="C109" s="1" t="s">
        <v>302</v>
      </c>
      <c r="D109" s="1" t="s">
        <v>17</v>
      </c>
      <c r="E109" s="1" t="s">
        <v>92</v>
      </c>
      <c r="F109" s="1" t="s">
        <v>60</v>
      </c>
      <c r="G109" s="1" t="s">
        <v>32</v>
      </c>
      <c r="H109" s="1" t="s">
        <v>132</v>
      </c>
      <c r="I109" s="1">
        <v>1</v>
      </c>
      <c r="J109" s="1">
        <v>18.57</v>
      </c>
      <c r="K109" s="1">
        <v>0</v>
      </c>
      <c r="L109" s="1">
        <v>18.57</v>
      </c>
      <c r="M109" s="1">
        <v>9.91</v>
      </c>
      <c r="N109" s="1">
        <v>0.3</v>
      </c>
      <c r="O109" s="6" t="s">
        <v>34</v>
      </c>
      <c r="P109" s="8">
        <f>Table1[Quantity]*Table1[Unit_Price]</f>
        <v>18.57</v>
      </c>
      <c r="Q109" s="1">
        <f>Table1[Profit]/Table1[Total_Sales]</f>
        <v>1.6155088852988692E-2</v>
      </c>
      <c r="R109" s="14">
        <f>Table1[Total_Sales]+Table1[Shipping_Cost]</f>
        <v>28.48</v>
      </c>
    </row>
    <row r="110" spans="1:18" x14ac:dyDescent="0.35">
      <c r="A110" s="3" t="s">
        <v>303</v>
      </c>
      <c r="B110" s="2">
        <v>44991</v>
      </c>
      <c r="C110" s="1" t="s">
        <v>304</v>
      </c>
      <c r="D110" s="1" t="s">
        <v>30</v>
      </c>
      <c r="E110" s="1" t="s">
        <v>76</v>
      </c>
      <c r="F110" s="1" t="s">
        <v>26</v>
      </c>
      <c r="G110" s="1" t="s">
        <v>69</v>
      </c>
      <c r="H110" s="1" t="s">
        <v>305</v>
      </c>
      <c r="I110" s="1">
        <v>3</v>
      </c>
      <c r="J110" s="1">
        <v>29.57</v>
      </c>
      <c r="K110" s="1">
        <v>10</v>
      </c>
      <c r="L110" s="1">
        <v>79.84</v>
      </c>
      <c r="M110" s="1">
        <v>10.88</v>
      </c>
      <c r="N110" s="1">
        <v>24.6</v>
      </c>
      <c r="O110" s="6" t="s">
        <v>56</v>
      </c>
      <c r="P110" s="8">
        <f>Table1[Quantity]*Table1[Unit_Price]</f>
        <v>88.710000000000008</v>
      </c>
      <c r="Q110" s="1">
        <f>Table1[Profit]/Table1[Total_Sales]</f>
        <v>0.30811623246492986</v>
      </c>
      <c r="R110" s="14">
        <f>Table1[Total_Sales]+Table1[Shipping_Cost]</f>
        <v>90.72</v>
      </c>
    </row>
    <row r="111" spans="1:18" x14ac:dyDescent="0.35">
      <c r="A111" s="3" t="s">
        <v>306</v>
      </c>
      <c r="B111" s="2">
        <v>44992</v>
      </c>
      <c r="C111" s="1" t="s">
        <v>307</v>
      </c>
      <c r="D111" s="1" t="s">
        <v>30</v>
      </c>
      <c r="E111" s="1" t="s">
        <v>59</v>
      </c>
      <c r="F111" s="1" t="s">
        <v>60</v>
      </c>
      <c r="G111" s="1" t="s">
        <v>32</v>
      </c>
      <c r="H111" s="1" t="s">
        <v>50</v>
      </c>
      <c r="I111" s="1">
        <v>1</v>
      </c>
      <c r="J111" s="1">
        <v>11.17</v>
      </c>
      <c r="K111" s="1">
        <v>20</v>
      </c>
      <c r="L111" s="1">
        <v>8.94</v>
      </c>
      <c r="M111" s="1">
        <v>10.07</v>
      </c>
      <c r="N111" s="1">
        <v>-6.16</v>
      </c>
      <c r="O111" s="6" t="s">
        <v>34</v>
      </c>
      <c r="P111" s="8">
        <f>Table1[Quantity]*Table1[Unit_Price]</f>
        <v>11.17</v>
      </c>
      <c r="Q111" s="1">
        <f>Table1[Profit]/Table1[Total_Sales]</f>
        <v>-0.68903803131991059</v>
      </c>
      <c r="R111" s="14">
        <f>Table1[Total_Sales]+Table1[Shipping_Cost]</f>
        <v>19.009999999999998</v>
      </c>
    </row>
    <row r="112" spans="1:18" x14ac:dyDescent="0.35">
      <c r="A112" s="3" t="s">
        <v>308</v>
      </c>
      <c r="B112" s="2">
        <v>44992</v>
      </c>
      <c r="C112" s="1" t="s">
        <v>309</v>
      </c>
      <c r="D112" s="1" t="s">
        <v>30</v>
      </c>
      <c r="E112" s="1" t="s">
        <v>18</v>
      </c>
      <c r="F112" s="1" t="s">
        <v>19</v>
      </c>
      <c r="G112" s="1" t="s">
        <v>32</v>
      </c>
      <c r="H112" s="1" t="s">
        <v>82</v>
      </c>
      <c r="I112" s="1">
        <v>8</v>
      </c>
      <c r="J112" s="1">
        <v>20.92</v>
      </c>
      <c r="K112" s="1">
        <v>0</v>
      </c>
      <c r="L112" s="1">
        <v>167.36</v>
      </c>
      <c r="M112" s="1">
        <v>18.97</v>
      </c>
      <c r="N112" s="1">
        <v>73.08</v>
      </c>
      <c r="O112" s="6" t="s">
        <v>56</v>
      </c>
      <c r="P112" s="8">
        <f>Table1[Quantity]*Table1[Unit_Price]</f>
        <v>167.36</v>
      </c>
      <c r="Q112" s="1">
        <f>Table1[Profit]/Table1[Total_Sales]</f>
        <v>0.43666347992351812</v>
      </c>
      <c r="R112" s="14">
        <f>Table1[Total_Sales]+Table1[Shipping_Cost]</f>
        <v>186.33</v>
      </c>
    </row>
    <row r="113" spans="1:18" x14ac:dyDescent="0.35">
      <c r="A113" s="3" t="s">
        <v>310</v>
      </c>
      <c r="B113" s="2">
        <v>44993</v>
      </c>
      <c r="C113" s="1" t="s">
        <v>311</v>
      </c>
      <c r="D113" s="1" t="s">
        <v>17</v>
      </c>
      <c r="E113" s="1" t="s">
        <v>37</v>
      </c>
      <c r="F113" s="1" t="s">
        <v>26</v>
      </c>
      <c r="G113" s="1" t="s">
        <v>32</v>
      </c>
      <c r="H113" s="1" t="s">
        <v>101</v>
      </c>
      <c r="I113" s="1">
        <v>5</v>
      </c>
      <c r="J113" s="1">
        <v>11.95</v>
      </c>
      <c r="K113" s="1">
        <v>10</v>
      </c>
      <c r="L113" s="1">
        <v>53.77</v>
      </c>
      <c r="M113" s="1">
        <v>14.79</v>
      </c>
      <c r="N113" s="1">
        <v>12.09</v>
      </c>
      <c r="O113" s="6" t="s">
        <v>34</v>
      </c>
      <c r="P113" s="8">
        <f>Table1[Quantity]*Table1[Unit_Price]</f>
        <v>59.75</v>
      </c>
      <c r="Q113" s="1">
        <f>Table1[Profit]/Table1[Total_Sales]</f>
        <v>0.2248465687186163</v>
      </c>
      <c r="R113" s="14">
        <f>Table1[Total_Sales]+Table1[Shipping_Cost]</f>
        <v>68.56</v>
      </c>
    </row>
    <row r="114" spans="1:18" x14ac:dyDescent="0.35">
      <c r="A114" s="3" t="s">
        <v>312</v>
      </c>
      <c r="B114" s="2">
        <v>44993</v>
      </c>
      <c r="C114" s="1" t="s">
        <v>313</v>
      </c>
      <c r="D114" s="1" t="s">
        <v>49</v>
      </c>
      <c r="E114" s="1" t="s">
        <v>25</v>
      </c>
      <c r="F114" s="1" t="s">
        <v>26</v>
      </c>
      <c r="G114" s="1" t="s">
        <v>42</v>
      </c>
      <c r="H114" s="1" t="s">
        <v>64</v>
      </c>
      <c r="I114" s="1">
        <v>3</v>
      </c>
      <c r="J114" s="1">
        <v>59.88</v>
      </c>
      <c r="K114" s="1">
        <v>20</v>
      </c>
      <c r="L114" s="1">
        <v>143.71</v>
      </c>
      <c r="M114" s="1">
        <v>9.34</v>
      </c>
      <c r="N114" s="1">
        <v>26.59</v>
      </c>
      <c r="O114" s="6" t="s">
        <v>56</v>
      </c>
      <c r="P114" s="8">
        <f>Table1[Quantity]*Table1[Unit_Price]</f>
        <v>179.64000000000001</v>
      </c>
      <c r="Q114" s="1">
        <f>Table1[Profit]/Table1[Total_Sales]</f>
        <v>0.18502539837172083</v>
      </c>
      <c r="R114" s="14">
        <f>Table1[Total_Sales]+Table1[Shipping_Cost]</f>
        <v>153.05000000000001</v>
      </c>
    </row>
    <row r="115" spans="1:18" x14ac:dyDescent="0.35">
      <c r="A115" s="3" t="s">
        <v>314</v>
      </c>
      <c r="B115" s="2">
        <v>44993</v>
      </c>
      <c r="C115" s="1" t="s">
        <v>315</v>
      </c>
      <c r="D115" s="1" t="s">
        <v>30</v>
      </c>
      <c r="E115" s="1" t="s">
        <v>169</v>
      </c>
      <c r="F115" s="1" t="s">
        <v>68</v>
      </c>
      <c r="G115" s="1" t="s">
        <v>42</v>
      </c>
      <c r="H115" s="1" t="s">
        <v>118</v>
      </c>
      <c r="I115" s="1">
        <v>6</v>
      </c>
      <c r="J115" s="1">
        <v>99.69</v>
      </c>
      <c r="K115" s="1">
        <v>0</v>
      </c>
      <c r="L115" s="1">
        <v>598.14</v>
      </c>
      <c r="M115" s="1">
        <v>18.010000000000002</v>
      </c>
      <c r="N115" s="1">
        <v>221.25</v>
      </c>
      <c r="O115" s="6" t="s">
        <v>34</v>
      </c>
      <c r="P115" s="8">
        <f>Table1[Quantity]*Table1[Unit_Price]</f>
        <v>598.14</v>
      </c>
      <c r="Q115" s="1">
        <f>Table1[Profit]/Table1[Total_Sales]</f>
        <v>0.369896679707092</v>
      </c>
      <c r="R115" s="14">
        <f>Table1[Total_Sales]+Table1[Shipping_Cost]</f>
        <v>616.15</v>
      </c>
    </row>
    <row r="116" spans="1:18" x14ac:dyDescent="0.35">
      <c r="A116" s="3" t="s">
        <v>316</v>
      </c>
      <c r="B116" s="2">
        <v>44993</v>
      </c>
      <c r="C116" s="1" t="s">
        <v>317</v>
      </c>
      <c r="D116" s="1" t="s">
        <v>17</v>
      </c>
      <c r="E116" s="1" t="s">
        <v>169</v>
      </c>
      <c r="F116" s="1" t="s">
        <v>68</v>
      </c>
      <c r="G116" s="1" t="s">
        <v>42</v>
      </c>
      <c r="H116" s="1" t="s">
        <v>93</v>
      </c>
      <c r="I116" s="1">
        <v>1</v>
      </c>
      <c r="J116" s="1">
        <v>354.67</v>
      </c>
      <c r="K116" s="1">
        <v>5</v>
      </c>
      <c r="L116" s="1">
        <v>336.94</v>
      </c>
      <c r="M116" s="1">
        <v>12.41</v>
      </c>
      <c r="N116" s="1">
        <v>111.73</v>
      </c>
      <c r="O116" s="6" t="s">
        <v>34</v>
      </c>
      <c r="P116" s="8">
        <f>Table1[Quantity]*Table1[Unit_Price]</f>
        <v>354.67</v>
      </c>
      <c r="Q116" s="1">
        <f>Table1[Profit]/Table1[Total_Sales]</f>
        <v>0.3316020656496706</v>
      </c>
      <c r="R116" s="14">
        <f>Table1[Total_Sales]+Table1[Shipping_Cost]</f>
        <v>349.35</v>
      </c>
    </row>
    <row r="117" spans="1:18" x14ac:dyDescent="0.35">
      <c r="A117" s="3" t="s">
        <v>318</v>
      </c>
      <c r="B117" s="2">
        <v>44994</v>
      </c>
      <c r="C117" s="1" t="s">
        <v>319</v>
      </c>
      <c r="D117" s="1" t="s">
        <v>30</v>
      </c>
      <c r="E117" s="1" t="s">
        <v>109</v>
      </c>
      <c r="F117" s="1" t="s">
        <v>54</v>
      </c>
      <c r="G117" s="1" t="s">
        <v>32</v>
      </c>
      <c r="H117" s="1" t="s">
        <v>50</v>
      </c>
      <c r="I117" s="1">
        <v>4</v>
      </c>
      <c r="J117" s="1">
        <v>22.67</v>
      </c>
      <c r="K117" s="1">
        <v>0</v>
      </c>
      <c r="L117" s="1">
        <v>90.68</v>
      </c>
      <c r="M117" s="1">
        <v>14.32</v>
      </c>
      <c r="N117" s="1">
        <v>35.549999999999997</v>
      </c>
      <c r="O117" s="6" t="s">
        <v>56</v>
      </c>
      <c r="P117" s="8">
        <f>Table1[Quantity]*Table1[Unit_Price]</f>
        <v>90.68</v>
      </c>
      <c r="Q117" s="1">
        <f>Table1[Profit]/Table1[Total_Sales]</f>
        <v>0.39203793559770617</v>
      </c>
      <c r="R117" s="14">
        <f>Table1[Total_Sales]+Table1[Shipping_Cost]</f>
        <v>105</v>
      </c>
    </row>
    <row r="118" spans="1:18" x14ac:dyDescent="0.35">
      <c r="A118" s="3" t="s">
        <v>320</v>
      </c>
      <c r="B118" s="2">
        <v>44995</v>
      </c>
      <c r="C118" s="1" t="s">
        <v>321</v>
      </c>
      <c r="D118" s="1" t="s">
        <v>17</v>
      </c>
      <c r="E118" s="1" t="s">
        <v>129</v>
      </c>
      <c r="F118" s="1" t="s">
        <v>19</v>
      </c>
      <c r="G118" s="1" t="s">
        <v>32</v>
      </c>
      <c r="H118" s="1" t="s">
        <v>33</v>
      </c>
      <c r="I118" s="1">
        <v>4</v>
      </c>
      <c r="J118" s="1">
        <v>5.48</v>
      </c>
      <c r="K118" s="1">
        <v>5</v>
      </c>
      <c r="L118" s="1">
        <v>20.82</v>
      </c>
      <c r="M118" s="1">
        <v>12</v>
      </c>
      <c r="N118" s="1">
        <v>-1.04</v>
      </c>
      <c r="O118" s="6" t="s">
        <v>22</v>
      </c>
      <c r="P118" s="8">
        <f>Table1[Quantity]*Table1[Unit_Price]</f>
        <v>21.92</v>
      </c>
      <c r="Q118" s="1">
        <f>Table1[Profit]/Table1[Total_Sales]</f>
        <v>-4.9951969260326613E-2</v>
      </c>
      <c r="R118" s="14">
        <f>Table1[Total_Sales]+Table1[Shipping_Cost]</f>
        <v>32.82</v>
      </c>
    </row>
    <row r="119" spans="1:18" x14ac:dyDescent="0.35">
      <c r="A119" s="3" t="s">
        <v>322</v>
      </c>
      <c r="B119" s="2">
        <v>44995</v>
      </c>
      <c r="C119" s="1" t="s">
        <v>323</v>
      </c>
      <c r="D119" s="1" t="s">
        <v>49</v>
      </c>
      <c r="E119" s="1" t="s">
        <v>37</v>
      </c>
      <c r="F119" s="1" t="s">
        <v>26</v>
      </c>
      <c r="G119" s="1" t="s">
        <v>20</v>
      </c>
      <c r="H119" s="1" t="s">
        <v>27</v>
      </c>
      <c r="I119" s="1">
        <v>8</v>
      </c>
      <c r="J119" s="1">
        <v>107.75</v>
      </c>
      <c r="K119" s="1">
        <v>10</v>
      </c>
      <c r="L119" s="1">
        <v>775.8</v>
      </c>
      <c r="M119" s="1">
        <v>14.93</v>
      </c>
      <c r="N119" s="1">
        <v>286.77</v>
      </c>
      <c r="O119" s="6" t="s">
        <v>34</v>
      </c>
      <c r="P119" s="8">
        <f>Table1[Quantity]*Table1[Unit_Price]</f>
        <v>862</v>
      </c>
      <c r="Q119" s="1">
        <f>Table1[Profit]/Table1[Total_Sales]</f>
        <v>0.36964423820572312</v>
      </c>
      <c r="R119" s="14">
        <f>Table1[Total_Sales]+Table1[Shipping_Cost]</f>
        <v>790.7299999999999</v>
      </c>
    </row>
    <row r="120" spans="1:18" x14ac:dyDescent="0.35">
      <c r="A120" s="3" t="s">
        <v>324</v>
      </c>
      <c r="B120" s="2">
        <v>44996</v>
      </c>
      <c r="C120" s="1" t="s">
        <v>325</v>
      </c>
      <c r="D120" s="1" t="s">
        <v>30</v>
      </c>
      <c r="E120" s="1" t="s">
        <v>37</v>
      </c>
      <c r="F120" s="1" t="s">
        <v>26</v>
      </c>
      <c r="G120" s="1" t="s">
        <v>32</v>
      </c>
      <c r="H120" s="1" t="s">
        <v>33</v>
      </c>
      <c r="I120" s="1">
        <v>1</v>
      </c>
      <c r="J120" s="1">
        <v>11.11</v>
      </c>
      <c r="K120" s="1">
        <v>0</v>
      </c>
      <c r="L120" s="1">
        <v>11.11</v>
      </c>
      <c r="M120" s="1">
        <v>8.11</v>
      </c>
      <c r="N120" s="1">
        <v>-2</v>
      </c>
      <c r="O120" s="6" t="s">
        <v>22</v>
      </c>
      <c r="P120" s="8">
        <f>Table1[Quantity]*Table1[Unit_Price]</f>
        <v>11.11</v>
      </c>
      <c r="Q120" s="1">
        <f>Table1[Profit]/Table1[Total_Sales]</f>
        <v>-0.18001800180018002</v>
      </c>
      <c r="R120" s="14">
        <f>Table1[Total_Sales]+Table1[Shipping_Cost]</f>
        <v>19.22</v>
      </c>
    </row>
    <row r="121" spans="1:18" x14ac:dyDescent="0.35">
      <c r="A121" s="3" t="s">
        <v>326</v>
      </c>
      <c r="B121" s="2">
        <v>44997</v>
      </c>
      <c r="C121" s="1" t="s">
        <v>327</v>
      </c>
      <c r="D121" s="1" t="s">
        <v>17</v>
      </c>
      <c r="E121" s="1" t="s">
        <v>37</v>
      </c>
      <c r="F121" s="1" t="s">
        <v>26</v>
      </c>
      <c r="G121" s="1" t="s">
        <v>20</v>
      </c>
      <c r="H121" s="1" t="s">
        <v>106</v>
      </c>
      <c r="I121" s="1">
        <v>2</v>
      </c>
      <c r="J121" s="1">
        <v>27.32</v>
      </c>
      <c r="K121" s="1">
        <v>10</v>
      </c>
      <c r="L121" s="1">
        <v>49.18</v>
      </c>
      <c r="M121" s="1">
        <v>10.1</v>
      </c>
      <c r="N121" s="1">
        <v>9.0299999999999994</v>
      </c>
      <c r="O121" s="6" t="s">
        <v>34</v>
      </c>
      <c r="P121" s="8">
        <f>Table1[Quantity]*Table1[Unit_Price]</f>
        <v>54.64</v>
      </c>
      <c r="Q121" s="1">
        <f>Table1[Profit]/Table1[Total_Sales]</f>
        <v>0.18361122407482716</v>
      </c>
      <c r="R121" s="14">
        <f>Table1[Total_Sales]+Table1[Shipping_Cost]</f>
        <v>59.28</v>
      </c>
    </row>
    <row r="122" spans="1:18" x14ac:dyDescent="0.35">
      <c r="A122" s="3" t="s">
        <v>328</v>
      </c>
      <c r="B122" s="2">
        <v>44998</v>
      </c>
      <c r="C122" s="1" t="s">
        <v>329</v>
      </c>
      <c r="D122" s="1" t="s">
        <v>30</v>
      </c>
      <c r="E122" s="1" t="s">
        <v>148</v>
      </c>
      <c r="F122" s="1" t="s">
        <v>60</v>
      </c>
      <c r="G122" s="1" t="s">
        <v>32</v>
      </c>
      <c r="H122" s="1" t="s">
        <v>50</v>
      </c>
      <c r="I122" s="1">
        <v>5</v>
      </c>
      <c r="J122" s="1">
        <v>19.739999999999998</v>
      </c>
      <c r="K122" s="1">
        <v>0</v>
      </c>
      <c r="L122" s="1">
        <v>98.7</v>
      </c>
      <c r="M122" s="1">
        <v>17.03</v>
      </c>
      <c r="N122" s="1">
        <v>37.26</v>
      </c>
      <c r="O122" s="6" t="s">
        <v>34</v>
      </c>
      <c r="P122" s="8">
        <f>Table1[Quantity]*Table1[Unit_Price]</f>
        <v>98.699999999999989</v>
      </c>
      <c r="Q122" s="1">
        <f>Table1[Profit]/Table1[Total_Sales]</f>
        <v>0.37750759878419449</v>
      </c>
      <c r="R122" s="14">
        <f>Table1[Total_Sales]+Table1[Shipping_Cost]</f>
        <v>115.73</v>
      </c>
    </row>
    <row r="123" spans="1:18" x14ac:dyDescent="0.35">
      <c r="A123" s="3" t="s">
        <v>330</v>
      </c>
      <c r="B123" s="2">
        <v>44998</v>
      </c>
      <c r="C123" s="1" t="s">
        <v>331</v>
      </c>
      <c r="D123" s="1" t="s">
        <v>30</v>
      </c>
      <c r="E123" s="1" t="s">
        <v>138</v>
      </c>
      <c r="F123" s="1" t="s">
        <v>54</v>
      </c>
      <c r="G123" s="1" t="s">
        <v>69</v>
      </c>
      <c r="H123" s="1" t="s">
        <v>79</v>
      </c>
      <c r="I123" s="1">
        <v>3</v>
      </c>
      <c r="J123" s="1">
        <v>70.31</v>
      </c>
      <c r="K123" s="1">
        <v>0</v>
      </c>
      <c r="L123" s="1">
        <v>210.93</v>
      </c>
      <c r="M123" s="1">
        <v>15.46</v>
      </c>
      <c r="N123" s="1">
        <v>90</v>
      </c>
      <c r="O123" s="6" t="s">
        <v>39</v>
      </c>
      <c r="P123" s="8">
        <f>Table1[Quantity]*Table1[Unit_Price]</f>
        <v>210.93</v>
      </c>
      <c r="Q123" s="1">
        <f>Table1[Profit]/Table1[Total_Sales]</f>
        <v>0.42668183757644718</v>
      </c>
      <c r="R123" s="14">
        <f>Table1[Total_Sales]+Table1[Shipping_Cost]</f>
        <v>226.39000000000001</v>
      </c>
    </row>
    <row r="124" spans="1:18" x14ac:dyDescent="0.35">
      <c r="A124" s="3" t="s">
        <v>332</v>
      </c>
      <c r="B124" s="2">
        <v>45000</v>
      </c>
      <c r="C124" s="1" t="s">
        <v>333</v>
      </c>
      <c r="D124" s="1" t="s">
        <v>17</v>
      </c>
      <c r="E124" s="1" t="s">
        <v>53</v>
      </c>
      <c r="F124" s="1" t="s">
        <v>54</v>
      </c>
      <c r="G124" s="1" t="s">
        <v>20</v>
      </c>
      <c r="H124" s="1" t="s">
        <v>122</v>
      </c>
      <c r="I124" s="1">
        <v>5</v>
      </c>
      <c r="J124" s="1">
        <v>149.77000000000001</v>
      </c>
      <c r="K124" s="1">
        <v>10</v>
      </c>
      <c r="L124" s="1">
        <v>673.97</v>
      </c>
      <c r="M124" s="1">
        <v>14.48</v>
      </c>
      <c r="N124" s="1">
        <v>247.62</v>
      </c>
      <c r="O124" s="6" t="s">
        <v>39</v>
      </c>
      <c r="P124" s="8">
        <f>Table1[Quantity]*Table1[Unit_Price]</f>
        <v>748.85</v>
      </c>
      <c r="Q124" s="1">
        <f>Table1[Profit]/Table1[Total_Sales]</f>
        <v>0.3674050773773313</v>
      </c>
      <c r="R124" s="14">
        <f>Table1[Total_Sales]+Table1[Shipping_Cost]</f>
        <v>688.45</v>
      </c>
    </row>
    <row r="125" spans="1:18" x14ac:dyDescent="0.35">
      <c r="A125" s="3" t="s">
        <v>334</v>
      </c>
      <c r="B125" s="2">
        <v>45000</v>
      </c>
      <c r="C125" s="1" t="s">
        <v>335</v>
      </c>
      <c r="D125" s="1" t="s">
        <v>49</v>
      </c>
      <c r="E125" s="1" t="s">
        <v>31</v>
      </c>
      <c r="F125" s="1" t="s">
        <v>19</v>
      </c>
      <c r="G125" s="1" t="s">
        <v>20</v>
      </c>
      <c r="H125" s="1" t="s">
        <v>27</v>
      </c>
      <c r="I125" s="1">
        <v>2</v>
      </c>
      <c r="J125" s="1">
        <v>54.94</v>
      </c>
      <c r="K125" s="1">
        <v>0</v>
      </c>
      <c r="L125" s="1">
        <v>109.88</v>
      </c>
      <c r="M125" s="1">
        <v>8.77</v>
      </c>
      <c r="N125" s="1">
        <v>40.68</v>
      </c>
      <c r="O125" s="6" t="s">
        <v>34</v>
      </c>
      <c r="P125" s="8">
        <f>Table1[Quantity]*Table1[Unit_Price]</f>
        <v>109.88</v>
      </c>
      <c r="Q125" s="1">
        <f>Table1[Profit]/Table1[Total_Sales]</f>
        <v>0.37022206042955952</v>
      </c>
      <c r="R125" s="14">
        <f>Table1[Total_Sales]+Table1[Shipping_Cost]</f>
        <v>118.64999999999999</v>
      </c>
    </row>
    <row r="126" spans="1:18" x14ac:dyDescent="0.35">
      <c r="A126" s="3" t="s">
        <v>336</v>
      </c>
      <c r="B126" s="2">
        <v>45001</v>
      </c>
      <c r="C126" s="1" t="s">
        <v>337</v>
      </c>
      <c r="D126" s="1" t="s">
        <v>30</v>
      </c>
      <c r="E126" s="1" t="s">
        <v>169</v>
      </c>
      <c r="F126" s="1" t="s">
        <v>68</v>
      </c>
      <c r="G126" s="1" t="s">
        <v>69</v>
      </c>
      <c r="H126" s="1" t="s">
        <v>305</v>
      </c>
      <c r="I126" s="1">
        <v>5</v>
      </c>
      <c r="J126" s="1">
        <v>61.18</v>
      </c>
      <c r="K126" s="1">
        <v>10</v>
      </c>
      <c r="L126" s="1">
        <v>275.31</v>
      </c>
      <c r="M126" s="1">
        <v>14.66</v>
      </c>
      <c r="N126" s="1">
        <v>107.7</v>
      </c>
      <c r="O126" s="6" t="s">
        <v>34</v>
      </c>
      <c r="P126" s="8">
        <f>Table1[Quantity]*Table1[Unit_Price]</f>
        <v>305.89999999999998</v>
      </c>
      <c r="Q126" s="1">
        <f>Table1[Profit]/Table1[Total_Sales]</f>
        <v>0.39119537975373214</v>
      </c>
      <c r="R126" s="14">
        <f>Table1[Total_Sales]+Table1[Shipping_Cost]</f>
        <v>289.97000000000003</v>
      </c>
    </row>
    <row r="127" spans="1:18" x14ac:dyDescent="0.35">
      <c r="A127" s="3" t="s">
        <v>338</v>
      </c>
      <c r="B127" s="2">
        <v>45001</v>
      </c>
      <c r="C127" s="1" t="s">
        <v>339</v>
      </c>
      <c r="D127" s="1" t="s">
        <v>30</v>
      </c>
      <c r="E127" s="1" t="s">
        <v>59</v>
      </c>
      <c r="F127" s="1" t="s">
        <v>60</v>
      </c>
      <c r="G127" s="1" t="s">
        <v>32</v>
      </c>
      <c r="H127" s="1" t="s">
        <v>33</v>
      </c>
      <c r="I127" s="1">
        <v>2</v>
      </c>
      <c r="J127" s="1">
        <v>14.59</v>
      </c>
      <c r="K127" s="1">
        <v>0</v>
      </c>
      <c r="L127" s="1">
        <v>29.18</v>
      </c>
      <c r="M127" s="1">
        <v>12.25</v>
      </c>
      <c r="N127" s="1">
        <v>3.8</v>
      </c>
      <c r="O127" s="6" t="s">
        <v>39</v>
      </c>
      <c r="P127" s="8">
        <f>Table1[Quantity]*Table1[Unit_Price]</f>
        <v>29.18</v>
      </c>
      <c r="Q127" s="1">
        <f>Table1[Profit]/Table1[Total_Sales]</f>
        <v>0.13022618231665523</v>
      </c>
      <c r="R127" s="14">
        <f>Table1[Total_Sales]+Table1[Shipping_Cost]</f>
        <v>41.43</v>
      </c>
    </row>
    <row r="128" spans="1:18" x14ac:dyDescent="0.35">
      <c r="A128" s="3" t="s">
        <v>340</v>
      </c>
      <c r="B128" s="2">
        <v>45002</v>
      </c>
      <c r="C128" s="1" t="s">
        <v>341</v>
      </c>
      <c r="D128" s="1" t="s">
        <v>30</v>
      </c>
      <c r="E128" s="1" t="s">
        <v>63</v>
      </c>
      <c r="F128" s="1" t="s">
        <v>54</v>
      </c>
      <c r="G128" s="1" t="s">
        <v>20</v>
      </c>
      <c r="H128" s="1" t="s">
        <v>27</v>
      </c>
      <c r="I128" s="1">
        <v>3</v>
      </c>
      <c r="J128" s="1">
        <v>174.46</v>
      </c>
      <c r="K128" s="1">
        <v>0</v>
      </c>
      <c r="L128" s="1">
        <v>523.38</v>
      </c>
      <c r="M128" s="1">
        <v>14.65</v>
      </c>
      <c r="N128" s="1">
        <v>220.87</v>
      </c>
      <c r="O128" s="6" t="s">
        <v>34</v>
      </c>
      <c r="P128" s="8">
        <f>Table1[Quantity]*Table1[Unit_Price]</f>
        <v>523.38</v>
      </c>
      <c r="Q128" s="1">
        <f>Table1[Profit]/Table1[Total_Sales]</f>
        <v>0.42200695479384004</v>
      </c>
      <c r="R128" s="14">
        <f>Table1[Total_Sales]+Table1[Shipping_Cost]</f>
        <v>538.03</v>
      </c>
    </row>
    <row r="129" spans="1:18" x14ac:dyDescent="0.35">
      <c r="A129" s="3" t="s">
        <v>342</v>
      </c>
      <c r="B129" s="2">
        <v>45003</v>
      </c>
      <c r="C129" s="1" t="s">
        <v>343</v>
      </c>
      <c r="D129" s="1" t="s">
        <v>30</v>
      </c>
      <c r="E129" s="1" t="s">
        <v>85</v>
      </c>
      <c r="F129" s="1" t="s">
        <v>60</v>
      </c>
      <c r="G129" s="1" t="s">
        <v>69</v>
      </c>
      <c r="H129" s="1" t="s">
        <v>305</v>
      </c>
      <c r="I129" s="1">
        <v>1</v>
      </c>
      <c r="J129" s="1">
        <v>28.85</v>
      </c>
      <c r="K129" s="1">
        <v>15</v>
      </c>
      <c r="L129" s="1">
        <v>24.52</v>
      </c>
      <c r="M129" s="1">
        <v>10.81</v>
      </c>
      <c r="N129" s="1">
        <v>-0.72</v>
      </c>
      <c r="O129" s="6" t="s">
        <v>22</v>
      </c>
      <c r="P129" s="8">
        <f>Table1[Quantity]*Table1[Unit_Price]</f>
        <v>28.85</v>
      </c>
      <c r="Q129" s="1">
        <f>Table1[Profit]/Table1[Total_Sales]</f>
        <v>-2.936378466557912E-2</v>
      </c>
      <c r="R129" s="14">
        <f>Table1[Total_Sales]+Table1[Shipping_Cost]</f>
        <v>35.33</v>
      </c>
    </row>
    <row r="130" spans="1:18" x14ac:dyDescent="0.35">
      <c r="A130" s="3" t="s">
        <v>344</v>
      </c>
      <c r="B130" s="2">
        <v>45003</v>
      </c>
      <c r="C130" s="1" t="s">
        <v>345</v>
      </c>
      <c r="D130" s="1" t="s">
        <v>49</v>
      </c>
      <c r="E130" s="1" t="s">
        <v>76</v>
      </c>
      <c r="F130" s="1" t="s">
        <v>26</v>
      </c>
      <c r="G130" s="1" t="s">
        <v>42</v>
      </c>
      <c r="H130" s="1" t="s">
        <v>89</v>
      </c>
      <c r="I130" s="1">
        <v>3</v>
      </c>
      <c r="J130" s="1">
        <v>323.91000000000003</v>
      </c>
      <c r="K130" s="1">
        <v>15</v>
      </c>
      <c r="L130" s="1">
        <v>825.97</v>
      </c>
      <c r="M130" s="1">
        <v>9.35</v>
      </c>
      <c r="N130" s="1">
        <v>233.58</v>
      </c>
      <c r="O130" s="6" t="s">
        <v>39</v>
      </c>
      <c r="P130" s="8">
        <f>Table1[Quantity]*Table1[Unit_Price]</f>
        <v>971.73</v>
      </c>
      <c r="Q130" s="1">
        <f>Table1[Profit]/Table1[Total_Sales]</f>
        <v>0.28279477462861846</v>
      </c>
      <c r="R130" s="14">
        <f>Table1[Total_Sales]+Table1[Shipping_Cost]</f>
        <v>835.32</v>
      </c>
    </row>
    <row r="131" spans="1:18" x14ac:dyDescent="0.35">
      <c r="A131" s="3" t="s">
        <v>346</v>
      </c>
      <c r="B131" s="2">
        <v>45004</v>
      </c>
      <c r="C131" s="1" t="s">
        <v>347</v>
      </c>
      <c r="D131" s="1" t="s">
        <v>30</v>
      </c>
      <c r="E131" s="1" t="s">
        <v>18</v>
      </c>
      <c r="F131" s="1" t="s">
        <v>19</v>
      </c>
      <c r="G131" s="1" t="s">
        <v>32</v>
      </c>
      <c r="H131" s="1" t="s">
        <v>348</v>
      </c>
      <c r="I131" s="1">
        <v>2</v>
      </c>
      <c r="J131" s="1">
        <v>11.39</v>
      </c>
      <c r="K131" s="1">
        <v>0</v>
      </c>
      <c r="L131" s="1">
        <v>22.78</v>
      </c>
      <c r="M131" s="1">
        <v>8.57</v>
      </c>
      <c r="N131" s="1">
        <v>3.96</v>
      </c>
      <c r="O131" s="6" t="s">
        <v>56</v>
      </c>
      <c r="P131" s="8">
        <f>Table1[Quantity]*Table1[Unit_Price]</f>
        <v>22.78</v>
      </c>
      <c r="Q131" s="1">
        <f>Table1[Profit]/Table1[Total_Sales]</f>
        <v>0.17383669885864791</v>
      </c>
      <c r="R131" s="14">
        <f>Table1[Total_Sales]+Table1[Shipping_Cost]</f>
        <v>31.35</v>
      </c>
    </row>
    <row r="132" spans="1:18" x14ac:dyDescent="0.35">
      <c r="A132" s="3" t="s">
        <v>349</v>
      </c>
      <c r="B132" s="2">
        <v>45006</v>
      </c>
      <c r="C132" s="1" t="s">
        <v>350</v>
      </c>
      <c r="D132" s="1" t="s">
        <v>30</v>
      </c>
      <c r="E132" s="1" t="s">
        <v>109</v>
      </c>
      <c r="F132" s="1" t="s">
        <v>54</v>
      </c>
      <c r="G132" s="1" t="s">
        <v>42</v>
      </c>
      <c r="H132" s="1" t="s">
        <v>118</v>
      </c>
      <c r="I132" s="1">
        <v>5</v>
      </c>
      <c r="J132" s="1">
        <v>64.099999999999994</v>
      </c>
      <c r="K132" s="1">
        <v>5</v>
      </c>
      <c r="L132" s="1">
        <v>304.47000000000003</v>
      </c>
      <c r="M132" s="1">
        <v>17.489999999999998</v>
      </c>
      <c r="N132" s="1">
        <v>94.68</v>
      </c>
      <c r="O132" s="6" t="s">
        <v>34</v>
      </c>
      <c r="P132" s="8">
        <f>Table1[Quantity]*Table1[Unit_Price]</f>
        <v>320.5</v>
      </c>
      <c r="Q132" s="1">
        <f>Table1[Profit]/Table1[Total_Sales]</f>
        <v>0.31096659769435414</v>
      </c>
      <c r="R132" s="14">
        <f>Table1[Total_Sales]+Table1[Shipping_Cost]</f>
        <v>321.96000000000004</v>
      </c>
    </row>
    <row r="133" spans="1:18" x14ac:dyDescent="0.35">
      <c r="A133" s="3" t="s">
        <v>351</v>
      </c>
      <c r="B133" s="2">
        <v>45007</v>
      </c>
      <c r="C133" s="1" t="s">
        <v>352</v>
      </c>
      <c r="D133" s="1" t="s">
        <v>30</v>
      </c>
      <c r="E133" s="1" t="s">
        <v>18</v>
      </c>
      <c r="F133" s="1" t="s">
        <v>19</v>
      </c>
      <c r="G133" s="1" t="s">
        <v>32</v>
      </c>
      <c r="H133" s="1" t="s">
        <v>115</v>
      </c>
      <c r="I133" s="1">
        <v>2</v>
      </c>
      <c r="J133" s="1">
        <v>6.29</v>
      </c>
      <c r="K133" s="1">
        <v>0</v>
      </c>
      <c r="L133" s="1">
        <v>12.58</v>
      </c>
      <c r="M133" s="1">
        <v>7.22</v>
      </c>
      <c r="N133" s="1">
        <v>-0.3</v>
      </c>
      <c r="O133" s="6" t="s">
        <v>56</v>
      </c>
      <c r="P133" s="8">
        <f>Table1[Quantity]*Table1[Unit_Price]</f>
        <v>12.58</v>
      </c>
      <c r="Q133" s="1">
        <f>Table1[Profit]/Table1[Total_Sales]</f>
        <v>-2.3847376788553257E-2</v>
      </c>
      <c r="R133" s="14">
        <f>Table1[Total_Sales]+Table1[Shipping_Cost]</f>
        <v>19.8</v>
      </c>
    </row>
    <row r="134" spans="1:18" x14ac:dyDescent="0.35">
      <c r="A134" s="3" t="s">
        <v>353</v>
      </c>
      <c r="B134" s="2">
        <v>45008</v>
      </c>
      <c r="C134" s="1" t="s">
        <v>354</v>
      </c>
      <c r="D134" s="1" t="s">
        <v>30</v>
      </c>
      <c r="E134" s="1" t="s">
        <v>63</v>
      </c>
      <c r="F134" s="1" t="s">
        <v>54</v>
      </c>
      <c r="G134" s="1" t="s">
        <v>42</v>
      </c>
      <c r="H134" s="1" t="s">
        <v>64</v>
      </c>
      <c r="I134" s="1">
        <v>2</v>
      </c>
      <c r="J134" s="1">
        <v>90.87</v>
      </c>
      <c r="K134" s="1">
        <v>0</v>
      </c>
      <c r="L134" s="1">
        <v>181.74</v>
      </c>
      <c r="M134" s="1">
        <v>14.68</v>
      </c>
      <c r="N134" s="1">
        <v>58.02</v>
      </c>
      <c r="O134" s="6" t="s">
        <v>34</v>
      </c>
      <c r="P134" s="8">
        <f>Table1[Quantity]*Table1[Unit_Price]</f>
        <v>181.74</v>
      </c>
      <c r="Q134" s="1">
        <f>Table1[Profit]/Table1[Total_Sales]</f>
        <v>0.31924727632882138</v>
      </c>
      <c r="R134" s="14">
        <f>Table1[Total_Sales]+Table1[Shipping_Cost]</f>
        <v>196.42000000000002</v>
      </c>
    </row>
    <row r="135" spans="1:18" x14ac:dyDescent="0.35">
      <c r="A135" s="3" t="s">
        <v>355</v>
      </c>
      <c r="B135" s="2">
        <v>45008</v>
      </c>
      <c r="C135" s="1" t="s">
        <v>356</v>
      </c>
      <c r="D135" s="1" t="s">
        <v>17</v>
      </c>
      <c r="E135" s="1" t="s">
        <v>59</v>
      </c>
      <c r="F135" s="1" t="s">
        <v>60</v>
      </c>
      <c r="G135" s="1" t="s">
        <v>42</v>
      </c>
      <c r="H135" s="1" t="s">
        <v>89</v>
      </c>
      <c r="I135" s="1">
        <v>12</v>
      </c>
      <c r="J135" s="1">
        <v>334.56</v>
      </c>
      <c r="K135" s="1">
        <v>5</v>
      </c>
      <c r="L135" s="1">
        <v>3813.98</v>
      </c>
      <c r="M135" s="1">
        <v>35.07</v>
      </c>
      <c r="N135" s="1">
        <v>1370.08</v>
      </c>
      <c r="O135" s="6" t="s">
        <v>39</v>
      </c>
      <c r="P135" s="8">
        <f>Table1[Quantity]*Table1[Unit_Price]</f>
        <v>4014.7200000000003</v>
      </c>
      <c r="Q135" s="1">
        <f>Table1[Profit]/Table1[Total_Sales]</f>
        <v>0.35922579562556695</v>
      </c>
      <c r="R135" s="14">
        <f>Table1[Total_Sales]+Table1[Shipping_Cost]</f>
        <v>3849.05</v>
      </c>
    </row>
    <row r="136" spans="1:18" x14ac:dyDescent="0.35">
      <c r="A136" s="3" t="s">
        <v>357</v>
      </c>
      <c r="B136" s="2">
        <v>45008</v>
      </c>
      <c r="C136" s="1" t="s">
        <v>358</v>
      </c>
      <c r="D136" s="1" t="s">
        <v>30</v>
      </c>
      <c r="E136" s="1" t="s">
        <v>67</v>
      </c>
      <c r="F136" s="1" t="s">
        <v>68</v>
      </c>
      <c r="G136" s="1" t="s">
        <v>42</v>
      </c>
      <c r="H136" s="1" t="s">
        <v>118</v>
      </c>
      <c r="I136" s="1">
        <v>4</v>
      </c>
      <c r="J136" s="1">
        <v>68.83</v>
      </c>
      <c r="K136" s="1">
        <v>0</v>
      </c>
      <c r="L136" s="1">
        <v>275.32</v>
      </c>
      <c r="M136" s="1">
        <v>19.78</v>
      </c>
      <c r="N136" s="1">
        <v>90.35</v>
      </c>
      <c r="O136" s="6" t="s">
        <v>56</v>
      </c>
      <c r="P136" s="8">
        <f>Table1[Quantity]*Table1[Unit_Price]</f>
        <v>275.32</v>
      </c>
      <c r="Q136" s="1">
        <f>Table1[Profit]/Table1[Total_Sales]</f>
        <v>0.32816359145721341</v>
      </c>
      <c r="R136" s="14">
        <f>Table1[Total_Sales]+Table1[Shipping_Cost]</f>
        <v>295.10000000000002</v>
      </c>
    </row>
    <row r="137" spans="1:18" x14ac:dyDescent="0.35">
      <c r="A137" s="3" t="s">
        <v>359</v>
      </c>
      <c r="B137" s="2">
        <v>45009</v>
      </c>
      <c r="C137" s="1" t="s">
        <v>360</v>
      </c>
      <c r="D137" s="1" t="s">
        <v>30</v>
      </c>
      <c r="E137" s="1" t="s">
        <v>166</v>
      </c>
      <c r="F137" s="1" t="s">
        <v>60</v>
      </c>
      <c r="G137" s="1" t="s">
        <v>69</v>
      </c>
      <c r="H137" s="1" t="s">
        <v>196</v>
      </c>
      <c r="I137" s="1">
        <v>2</v>
      </c>
      <c r="J137" s="1">
        <v>10.37</v>
      </c>
      <c r="K137" s="1">
        <v>0</v>
      </c>
      <c r="L137" s="1">
        <v>20.74</v>
      </c>
      <c r="M137" s="1">
        <v>12.31</v>
      </c>
      <c r="N137" s="1">
        <v>-1.94</v>
      </c>
      <c r="O137" s="6" t="s">
        <v>39</v>
      </c>
      <c r="P137" s="8">
        <f>Table1[Quantity]*Table1[Unit_Price]</f>
        <v>20.74</v>
      </c>
      <c r="Q137" s="1">
        <f>Table1[Profit]/Table1[Total_Sales]</f>
        <v>-9.35390549662488E-2</v>
      </c>
      <c r="R137" s="14">
        <f>Table1[Total_Sales]+Table1[Shipping_Cost]</f>
        <v>33.049999999999997</v>
      </c>
    </row>
    <row r="138" spans="1:18" x14ac:dyDescent="0.35">
      <c r="A138" s="3" t="s">
        <v>361</v>
      </c>
      <c r="B138" s="2">
        <v>45010</v>
      </c>
      <c r="C138" s="1" t="s">
        <v>362</v>
      </c>
      <c r="D138" s="1" t="s">
        <v>17</v>
      </c>
      <c r="E138" s="1" t="s">
        <v>129</v>
      </c>
      <c r="F138" s="1" t="s">
        <v>19</v>
      </c>
      <c r="G138" s="1" t="s">
        <v>69</v>
      </c>
      <c r="H138" s="1" t="s">
        <v>163</v>
      </c>
      <c r="I138" s="1">
        <v>2</v>
      </c>
      <c r="J138" s="1">
        <v>52.89</v>
      </c>
      <c r="K138" s="1">
        <v>0</v>
      </c>
      <c r="L138" s="1">
        <v>105.78</v>
      </c>
      <c r="M138" s="1">
        <v>6.27</v>
      </c>
      <c r="N138" s="1">
        <v>46.62</v>
      </c>
      <c r="O138" s="6" t="s">
        <v>22</v>
      </c>
      <c r="P138" s="8">
        <f>Table1[Quantity]*Table1[Unit_Price]</f>
        <v>105.78</v>
      </c>
      <c r="Q138" s="1">
        <f>Table1[Profit]/Table1[Total_Sales]</f>
        <v>0.44072603516732839</v>
      </c>
      <c r="R138" s="14">
        <f>Table1[Total_Sales]+Table1[Shipping_Cost]</f>
        <v>112.05</v>
      </c>
    </row>
    <row r="139" spans="1:18" x14ac:dyDescent="0.35">
      <c r="A139" s="3" t="s">
        <v>363</v>
      </c>
      <c r="B139" s="2">
        <v>45010</v>
      </c>
      <c r="C139" s="1" t="s">
        <v>364</v>
      </c>
      <c r="D139" s="1" t="s">
        <v>49</v>
      </c>
      <c r="E139" s="1" t="s">
        <v>18</v>
      </c>
      <c r="F139" s="1" t="s">
        <v>19</v>
      </c>
      <c r="G139" s="1" t="s">
        <v>42</v>
      </c>
      <c r="H139" s="1" t="s">
        <v>255</v>
      </c>
      <c r="I139" s="1">
        <v>11</v>
      </c>
      <c r="J139" s="1">
        <v>30.48</v>
      </c>
      <c r="K139" s="1">
        <v>0</v>
      </c>
      <c r="L139" s="1">
        <v>335.28</v>
      </c>
      <c r="M139" s="1">
        <v>29.96</v>
      </c>
      <c r="N139" s="1">
        <v>104.15</v>
      </c>
      <c r="O139" s="6" t="s">
        <v>34</v>
      </c>
      <c r="P139" s="8">
        <f>Table1[Quantity]*Table1[Unit_Price]</f>
        <v>335.28000000000003</v>
      </c>
      <c r="Q139" s="1">
        <f>Table1[Profit]/Table1[Total_Sales]</f>
        <v>0.31063588642328804</v>
      </c>
      <c r="R139" s="14">
        <f>Table1[Total_Sales]+Table1[Shipping_Cost]</f>
        <v>365.23999999999995</v>
      </c>
    </row>
    <row r="140" spans="1:18" x14ac:dyDescent="0.35">
      <c r="A140" s="3" t="s">
        <v>365</v>
      </c>
      <c r="B140" s="2">
        <v>45011</v>
      </c>
      <c r="C140" s="1" t="s">
        <v>366</v>
      </c>
      <c r="D140" s="1" t="s">
        <v>17</v>
      </c>
      <c r="E140" s="1" t="s">
        <v>25</v>
      </c>
      <c r="F140" s="1" t="s">
        <v>26</v>
      </c>
      <c r="G140" s="1" t="s">
        <v>69</v>
      </c>
      <c r="H140" s="1" t="s">
        <v>160</v>
      </c>
      <c r="I140" s="1">
        <v>3</v>
      </c>
      <c r="J140" s="1">
        <v>24.22</v>
      </c>
      <c r="K140" s="1">
        <v>5</v>
      </c>
      <c r="L140" s="1">
        <v>69.03</v>
      </c>
      <c r="M140" s="1">
        <v>8.8699999999999992</v>
      </c>
      <c r="N140" s="1">
        <v>23.83</v>
      </c>
      <c r="O140" s="6" t="s">
        <v>34</v>
      </c>
      <c r="P140" s="8">
        <f>Table1[Quantity]*Table1[Unit_Price]</f>
        <v>72.66</v>
      </c>
      <c r="Q140" s="1">
        <f>Table1[Profit]/Table1[Total_Sales]</f>
        <v>0.34521222656815875</v>
      </c>
      <c r="R140" s="14">
        <f>Table1[Total_Sales]+Table1[Shipping_Cost]</f>
        <v>77.900000000000006</v>
      </c>
    </row>
    <row r="141" spans="1:18" x14ac:dyDescent="0.35">
      <c r="A141" s="3" t="s">
        <v>367</v>
      </c>
      <c r="B141" s="2">
        <v>45011</v>
      </c>
      <c r="C141" s="1" t="s">
        <v>368</v>
      </c>
      <c r="D141" s="1" t="s">
        <v>17</v>
      </c>
      <c r="E141" s="1" t="s">
        <v>121</v>
      </c>
      <c r="F141" s="1" t="s">
        <v>68</v>
      </c>
      <c r="G141" s="1" t="s">
        <v>20</v>
      </c>
      <c r="H141" s="1" t="s">
        <v>21</v>
      </c>
      <c r="I141" s="1">
        <v>5</v>
      </c>
      <c r="J141" s="1">
        <v>239.45</v>
      </c>
      <c r="K141" s="1">
        <v>5</v>
      </c>
      <c r="L141" s="1">
        <v>1137.3900000000001</v>
      </c>
      <c r="M141" s="1">
        <v>14.61</v>
      </c>
      <c r="N141" s="1">
        <v>464.29</v>
      </c>
      <c r="O141" s="6" t="s">
        <v>39</v>
      </c>
      <c r="P141" s="8">
        <f>Table1[Quantity]*Table1[Unit_Price]</f>
        <v>1197.25</v>
      </c>
      <c r="Q141" s="1">
        <f>Table1[Profit]/Table1[Total_Sales]</f>
        <v>0.4082065078820809</v>
      </c>
      <c r="R141" s="14">
        <f>Table1[Total_Sales]+Table1[Shipping_Cost]</f>
        <v>1152</v>
      </c>
    </row>
    <row r="142" spans="1:18" x14ac:dyDescent="0.35">
      <c r="A142" s="3" t="s">
        <v>369</v>
      </c>
      <c r="B142" s="2">
        <v>45011</v>
      </c>
      <c r="C142" s="1" t="s">
        <v>370</v>
      </c>
      <c r="D142" s="1" t="s">
        <v>30</v>
      </c>
      <c r="E142" s="1" t="s">
        <v>92</v>
      </c>
      <c r="F142" s="1" t="s">
        <v>60</v>
      </c>
      <c r="G142" s="1" t="s">
        <v>42</v>
      </c>
      <c r="H142" s="1" t="s">
        <v>371</v>
      </c>
      <c r="I142" s="1">
        <v>4</v>
      </c>
      <c r="J142" s="1">
        <v>210.65</v>
      </c>
      <c r="K142" s="1">
        <v>0</v>
      </c>
      <c r="L142" s="1">
        <v>842.6</v>
      </c>
      <c r="M142" s="1">
        <v>11.11</v>
      </c>
      <c r="N142" s="1">
        <v>325.93</v>
      </c>
      <c r="O142" s="6" t="s">
        <v>34</v>
      </c>
      <c r="P142" s="8">
        <f>Table1[Quantity]*Table1[Unit_Price]</f>
        <v>842.6</v>
      </c>
      <c r="Q142" s="1">
        <f>Table1[Profit]/Table1[Total_Sales]</f>
        <v>0.38681462140992168</v>
      </c>
      <c r="R142" s="14">
        <f>Table1[Total_Sales]+Table1[Shipping_Cost]</f>
        <v>853.71</v>
      </c>
    </row>
    <row r="143" spans="1:18" x14ac:dyDescent="0.35">
      <c r="A143" s="3" t="s">
        <v>372</v>
      </c>
      <c r="B143" s="2">
        <v>45012</v>
      </c>
      <c r="C143" s="1" t="s">
        <v>373</v>
      </c>
      <c r="D143" s="1" t="s">
        <v>30</v>
      </c>
      <c r="E143" s="1" t="s">
        <v>129</v>
      </c>
      <c r="F143" s="1" t="s">
        <v>19</v>
      </c>
      <c r="G143" s="1" t="s">
        <v>69</v>
      </c>
      <c r="H143" s="1" t="s">
        <v>98</v>
      </c>
      <c r="I143" s="1">
        <v>9</v>
      </c>
      <c r="J143" s="1">
        <v>32.74</v>
      </c>
      <c r="K143" s="1">
        <v>10</v>
      </c>
      <c r="L143" s="1">
        <v>265.19</v>
      </c>
      <c r="M143" s="1">
        <v>19.149999999999999</v>
      </c>
      <c r="N143" s="1">
        <v>98.71</v>
      </c>
      <c r="O143" s="6" t="s">
        <v>39</v>
      </c>
      <c r="P143" s="8">
        <f>Table1[Quantity]*Table1[Unit_Price]</f>
        <v>294.66000000000003</v>
      </c>
      <c r="Q143" s="1">
        <f>Table1[Profit]/Table1[Total_Sales]</f>
        <v>0.37222368867604355</v>
      </c>
      <c r="R143" s="14">
        <f>Table1[Total_Sales]+Table1[Shipping_Cost]</f>
        <v>284.33999999999997</v>
      </c>
    </row>
    <row r="144" spans="1:18" x14ac:dyDescent="0.35">
      <c r="A144" s="3" t="s">
        <v>374</v>
      </c>
      <c r="B144" s="2">
        <v>45012</v>
      </c>
      <c r="C144" s="1" t="s">
        <v>375</v>
      </c>
      <c r="D144" s="1" t="s">
        <v>30</v>
      </c>
      <c r="E144" s="1" t="s">
        <v>25</v>
      </c>
      <c r="F144" s="1" t="s">
        <v>26</v>
      </c>
      <c r="G144" s="1" t="s">
        <v>69</v>
      </c>
      <c r="H144" s="1" t="s">
        <v>86</v>
      </c>
      <c r="I144" s="1">
        <v>3</v>
      </c>
      <c r="J144" s="1">
        <v>135.29</v>
      </c>
      <c r="K144" s="1">
        <v>10</v>
      </c>
      <c r="L144" s="1">
        <v>365.28</v>
      </c>
      <c r="M144" s="1">
        <v>9.08</v>
      </c>
      <c r="N144" s="1">
        <v>153.26</v>
      </c>
      <c r="O144" s="6" t="s">
        <v>34</v>
      </c>
      <c r="P144" s="8">
        <f>Table1[Quantity]*Table1[Unit_Price]</f>
        <v>405.87</v>
      </c>
      <c r="Q144" s="1">
        <f>Table1[Profit]/Table1[Total_Sales]</f>
        <v>0.41956855015330707</v>
      </c>
      <c r="R144" s="14">
        <f>Table1[Total_Sales]+Table1[Shipping_Cost]</f>
        <v>374.35999999999996</v>
      </c>
    </row>
    <row r="145" spans="1:18" x14ac:dyDescent="0.35">
      <c r="A145" s="3" t="s">
        <v>376</v>
      </c>
      <c r="B145" s="2">
        <v>45014</v>
      </c>
      <c r="C145" s="1" t="s">
        <v>377</v>
      </c>
      <c r="D145" s="1" t="s">
        <v>49</v>
      </c>
      <c r="E145" s="1" t="s">
        <v>63</v>
      </c>
      <c r="F145" s="1" t="s">
        <v>54</v>
      </c>
      <c r="G145" s="1" t="s">
        <v>69</v>
      </c>
      <c r="H145" s="1" t="s">
        <v>305</v>
      </c>
      <c r="I145" s="1">
        <v>6</v>
      </c>
      <c r="J145" s="1">
        <v>30.52</v>
      </c>
      <c r="K145" s="1">
        <v>0</v>
      </c>
      <c r="L145" s="1">
        <v>183.12</v>
      </c>
      <c r="M145" s="1">
        <v>21.14</v>
      </c>
      <c r="N145" s="1">
        <v>70.42</v>
      </c>
      <c r="O145" s="6" t="s">
        <v>34</v>
      </c>
      <c r="P145" s="8">
        <f>Table1[Quantity]*Table1[Unit_Price]</f>
        <v>183.12</v>
      </c>
      <c r="Q145" s="1">
        <f>Table1[Profit]/Table1[Total_Sales]</f>
        <v>0.38455657492354739</v>
      </c>
      <c r="R145" s="14">
        <f>Table1[Total_Sales]+Table1[Shipping_Cost]</f>
        <v>204.26</v>
      </c>
    </row>
    <row r="146" spans="1:18" x14ac:dyDescent="0.35">
      <c r="A146" s="3" t="s">
        <v>378</v>
      </c>
      <c r="B146" s="2">
        <v>45014</v>
      </c>
      <c r="C146" s="1" t="s">
        <v>379</v>
      </c>
      <c r="D146" s="1" t="s">
        <v>30</v>
      </c>
      <c r="E146" s="1" t="s">
        <v>31</v>
      </c>
      <c r="F146" s="1" t="s">
        <v>19</v>
      </c>
      <c r="G146" s="1" t="s">
        <v>20</v>
      </c>
      <c r="H146" s="1" t="s">
        <v>199</v>
      </c>
      <c r="I146" s="1">
        <v>4</v>
      </c>
      <c r="J146" s="1">
        <v>113.34</v>
      </c>
      <c r="K146" s="1">
        <v>15</v>
      </c>
      <c r="L146" s="1">
        <v>385.36</v>
      </c>
      <c r="M146" s="1">
        <v>8.19</v>
      </c>
      <c r="N146" s="1">
        <v>127.82</v>
      </c>
      <c r="O146" s="6" t="s">
        <v>39</v>
      </c>
      <c r="P146" s="8">
        <f>Table1[Quantity]*Table1[Unit_Price]</f>
        <v>453.36</v>
      </c>
      <c r="Q146" s="1">
        <f>Table1[Profit]/Table1[Total_Sales]</f>
        <v>0.33168984845339422</v>
      </c>
      <c r="R146" s="14">
        <f>Table1[Total_Sales]+Table1[Shipping_Cost]</f>
        <v>393.55</v>
      </c>
    </row>
    <row r="147" spans="1:18" x14ac:dyDescent="0.35">
      <c r="A147" s="3" t="s">
        <v>380</v>
      </c>
      <c r="B147" s="2">
        <v>45014</v>
      </c>
      <c r="C147" s="1" t="s">
        <v>381</v>
      </c>
      <c r="D147" s="1" t="s">
        <v>30</v>
      </c>
      <c r="E147" s="1" t="s">
        <v>129</v>
      </c>
      <c r="F147" s="1" t="s">
        <v>19</v>
      </c>
      <c r="G147" s="1" t="s">
        <v>32</v>
      </c>
      <c r="H147" s="1" t="s">
        <v>50</v>
      </c>
      <c r="I147" s="1">
        <v>5</v>
      </c>
      <c r="J147" s="1">
        <v>11.27</v>
      </c>
      <c r="K147" s="1">
        <v>5</v>
      </c>
      <c r="L147" s="1">
        <v>53.53</v>
      </c>
      <c r="M147" s="1">
        <v>12</v>
      </c>
      <c r="N147" s="1">
        <v>16.170000000000002</v>
      </c>
      <c r="O147" s="6" t="s">
        <v>56</v>
      </c>
      <c r="P147" s="8">
        <f>Table1[Quantity]*Table1[Unit_Price]</f>
        <v>56.349999999999994</v>
      </c>
      <c r="Q147" s="1">
        <f>Table1[Profit]/Table1[Total_Sales]</f>
        <v>0.30207360358677382</v>
      </c>
      <c r="R147" s="14">
        <f>Table1[Total_Sales]+Table1[Shipping_Cost]</f>
        <v>65.53</v>
      </c>
    </row>
    <row r="148" spans="1:18" x14ac:dyDescent="0.35">
      <c r="A148" s="3" t="s">
        <v>382</v>
      </c>
      <c r="B148" s="2">
        <v>45014</v>
      </c>
      <c r="C148" s="1" t="s">
        <v>383</v>
      </c>
      <c r="D148" s="1" t="s">
        <v>17</v>
      </c>
      <c r="E148" s="1" t="s">
        <v>18</v>
      </c>
      <c r="F148" s="1" t="s">
        <v>19</v>
      </c>
      <c r="G148" s="1" t="s">
        <v>32</v>
      </c>
      <c r="H148" s="1" t="s">
        <v>73</v>
      </c>
      <c r="I148" s="1">
        <v>1</v>
      </c>
      <c r="J148" s="1">
        <v>5.67</v>
      </c>
      <c r="K148" s="1">
        <v>15</v>
      </c>
      <c r="L148" s="1">
        <v>4.82</v>
      </c>
      <c r="M148" s="1">
        <v>5.95</v>
      </c>
      <c r="N148" s="1">
        <v>-3.68</v>
      </c>
      <c r="O148" s="6" t="s">
        <v>34</v>
      </c>
      <c r="P148" s="8">
        <f>Table1[Quantity]*Table1[Unit_Price]</f>
        <v>5.67</v>
      </c>
      <c r="Q148" s="1">
        <f>Table1[Profit]/Table1[Total_Sales]</f>
        <v>-0.76348547717842319</v>
      </c>
      <c r="R148" s="14">
        <f>Table1[Total_Sales]+Table1[Shipping_Cost]</f>
        <v>10.77</v>
      </c>
    </row>
    <row r="149" spans="1:18" x14ac:dyDescent="0.35">
      <c r="A149" s="3" t="s">
        <v>384</v>
      </c>
      <c r="B149" s="2">
        <v>45014</v>
      </c>
      <c r="C149" s="1" t="s">
        <v>385</v>
      </c>
      <c r="D149" s="1" t="s">
        <v>49</v>
      </c>
      <c r="E149" s="1" t="s">
        <v>59</v>
      </c>
      <c r="F149" s="1" t="s">
        <v>60</v>
      </c>
      <c r="G149" s="1" t="s">
        <v>20</v>
      </c>
      <c r="H149" s="1" t="s">
        <v>122</v>
      </c>
      <c r="I149" s="1">
        <v>1</v>
      </c>
      <c r="J149" s="1">
        <v>116.12</v>
      </c>
      <c r="K149" s="1">
        <v>10</v>
      </c>
      <c r="L149" s="1">
        <v>104.51</v>
      </c>
      <c r="M149" s="1">
        <v>10.18</v>
      </c>
      <c r="N149" s="1">
        <v>30.46</v>
      </c>
      <c r="O149" s="6" t="s">
        <v>34</v>
      </c>
      <c r="P149" s="8">
        <f>Table1[Quantity]*Table1[Unit_Price]</f>
        <v>116.12</v>
      </c>
      <c r="Q149" s="1">
        <f>Table1[Profit]/Table1[Total_Sales]</f>
        <v>0.29145536312314613</v>
      </c>
      <c r="R149" s="14">
        <f>Table1[Total_Sales]+Table1[Shipping_Cost]</f>
        <v>114.69</v>
      </c>
    </row>
    <row r="150" spans="1:18" x14ac:dyDescent="0.35">
      <c r="A150" s="3" t="s">
        <v>386</v>
      </c>
      <c r="B150" s="2">
        <v>45015</v>
      </c>
      <c r="C150" s="1" t="s">
        <v>387</v>
      </c>
      <c r="D150" s="1" t="s">
        <v>30</v>
      </c>
      <c r="E150" s="1" t="s">
        <v>25</v>
      </c>
      <c r="F150" s="1" t="s">
        <v>26</v>
      </c>
      <c r="G150" s="1" t="s">
        <v>20</v>
      </c>
      <c r="H150" s="1" t="s">
        <v>122</v>
      </c>
      <c r="I150" s="1">
        <v>1</v>
      </c>
      <c r="J150" s="1">
        <v>85.63</v>
      </c>
      <c r="K150" s="1">
        <v>5</v>
      </c>
      <c r="L150" s="1">
        <v>81.349999999999994</v>
      </c>
      <c r="M150" s="1">
        <v>8.86</v>
      </c>
      <c r="N150" s="1">
        <v>25.39</v>
      </c>
      <c r="O150" s="6" t="s">
        <v>56</v>
      </c>
      <c r="P150" s="8">
        <f>Table1[Quantity]*Table1[Unit_Price]</f>
        <v>85.63</v>
      </c>
      <c r="Q150" s="1">
        <f>Table1[Profit]/Table1[Total_Sales]</f>
        <v>0.3121081745543946</v>
      </c>
      <c r="R150" s="14">
        <f>Table1[Total_Sales]+Table1[Shipping_Cost]</f>
        <v>90.21</v>
      </c>
    </row>
    <row r="151" spans="1:18" x14ac:dyDescent="0.35">
      <c r="A151" s="3" t="s">
        <v>388</v>
      </c>
      <c r="B151" s="2">
        <v>45016</v>
      </c>
      <c r="C151" s="1" t="s">
        <v>389</v>
      </c>
      <c r="D151" s="1" t="s">
        <v>17</v>
      </c>
      <c r="E151" s="1" t="s">
        <v>85</v>
      </c>
      <c r="F151" s="1" t="s">
        <v>60</v>
      </c>
      <c r="G151" s="1" t="s">
        <v>42</v>
      </c>
      <c r="H151" s="1" t="s">
        <v>371</v>
      </c>
      <c r="I151" s="1">
        <v>1</v>
      </c>
      <c r="J151" s="1">
        <v>199.74</v>
      </c>
      <c r="K151" s="1">
        <v>20</v>
      </c>
      <c r="L151" s="1">
        <v>159.79</v>
      </c>
      <c r="M151" s="1">
        <v>9.67</v>
      </c>
      <c r="N151" s="1">
        <v>30.28</v>
      </c>
      <c r="O151" s="6" t="s">
        <v>22</v>
      </c>
      <c r="P151" s="8">
        <f>Table1[Quantity]*Table1[Unit_Price]</f>
        <v>199.74</v>
      </c>
      <c r="Q151" s="1">
        <f>Table1[Profit]/Table1[Total_Sales]</f>
        <v>0.18949871706614935</v>
      </c>
      <c r="R151" s="14">
        <f>Table1[Total_Sales]+Table1[Shipping_Cost]</f>
        <v>169.45999999999998</v>
      </c>
    </row>
    <row r="152" spans="1:18" x14ac:dyDescent="0.35">
      <c r="A152" s="3" t="s">
        <v>390</v>
      </c>
      <c r="B152" s="2">
        <v>45017</v>
      </c>
      <c r="C152" s="1" t="s">
        <v>391</v>
      </c>
      <c r="D152" s="1" t="s">
        <v>30</v>
      </c>
      <c r="E152" s="1" t="s">
        <v>37</v>
      </c>
      <c r="F152" s="1" t="s">
        <v>26</v>
      </c>
      <c r="G152" s="1" t="s">
        <v>20</v>
      </c>
      <c r="H152" s="1" t="s">
        <v>106</v>
      </c>
      <c r="I152" s="1">
        <v>2</v>
      </c>
      <c r="J152" s="1">
        <v>34.22</v>
      </c>
      <c r="K152" s="1">
        <v>0</v>
      </c>
      <c r="L152" s="1">
        <v>68.44</v>
      </c>
      <c r="M152" s="1">
        <v>9.2200000000000006</v>
      </c>
      <c r="N152" s="1">
        <v>21.58</v>
      </c>
      <c r="O152" s="6" t="s">
        <v>39</v>
      </c>
      <c r="P152" s="8">
        <f>Table1[Quantity]*Table1[Unit_Price]</f>
        <v>68.44</v>
      </c>
      <c r="Q152" s="1">
        <f>Table1[Profit]/Table1[Total_Sales]</f>
        <v>0.31531268264172996</v>
      </c>
      <c r="R152" s="14">
        <f>Table1[Total_Sales]+Table1[Shipping_Cost]</f>
        <v>77.66</v>
      </c>
    </row>
    <row r="153" spans="1:18" x14ac:dyDescent="0.35">
      <c r="A153" s="3" t="s">
        <v>392</v>
      </c>
      <c r="B153" s="2">
        <v>45017</v>
      </c>
      <c r="C153" s="1" t="s">
        <v>393</v>
      </c>
      <c r="D153" s="1" t="s">
        <v>17</v>
      </c>
      <c r="E153" s="1" t="s">
        <v>18</v>
      </c>
      <c r="F153" s="1" t="s">
        <v>19</v>
      </c>
      <c r="G153" s="1" t="s">
        <v>69</v>
      </c>
      <c r="H153" s="1" t="s">
        <v>163</v>
      </c>
      <c r="I153" s="1">
        <v>3</v>
      </c>
      <c r="J153" s="1">
        <v>37.69</v>
      </c>
      <c r="K153" s="1">
        <v>30</v>
      </c>
      <c r="L153" s="1">
        <v>79.150000000000006</v>
      </c>
      <c r="M153" s="1">
        <v>7.34</v>
      </c>
      <c r="N153" s="1">
        <v>15.28</v>
      </c>
      <c r="O153" s="6" t="s">
        <v>39</v>
      </c>
      <c r="P153" s="8">
        <f>Table1[Quantity]*Table1[Unit_Price]</f>
        <v>113.07</v>
      </c>
      <c r="Q153" s="1">
        <f>Table1[Profit]/Table1[Total_Sales]</f>
        <v>0.1930511686670878</v>
      </c>
      <c r="R153" s="14">
        <f>Table1[Total_Sales]+Table1[Shipping_Cost]</f>
        <v>86.490000000000009</v>
      </c>
    </row>
    <row r="154" spans="1:18" x14ac:dyDescent="0.35">
      <c r="A154" s="3" t="s">
        <v>394</v>
      </c>
      <c r="B154" s="2">
        <v>45018</v>
      </c>
      <c r="C154" s="1" t="s">
        <v>395</v>
      </c>
      <c r="D154" s="1" t="s">
        <v>17</v>
      </c>
      <c r="E154" s="1" t="s">
        <v>138</v>
      </c>
      <c r="F154" s="1" t="s">
        <v>54</v>
      </c>
      <c r="G154" s="1" t="s">
        <v>69</v>
      </c>
      <c r="H154" s="1" t="s">
        <v>163</v>
      </c>
      <c r="I154" s="1">
        <v>1</v>
      </c>
      <c r="J154" s="1">
        <v>42.86</v>
      </c>
      <c r="K154" s="1">
        <v>5</v>
      </c>
      <c r="L154" s="1">
        <v>40.72</v>
      </c>
      <c r="M154" s="1">
        <v>12.14</v>
      </c>
      <c r="N154" s="1">
        <v>7.15</v>
      </c>
      <c r="O154" s="6" t="s">
        <v>56</v>
      </c>
      <c r="P154" s="8">
        <f>Table1[Quantity]*Table1[Unit_Price]</f>
        <v>42.86</v>
      </c>
      <c r="Q154" s="1">
        <f>Table1[Profit]/Table1[Total_Sales]</f>
        <v>0.17558939096267193</v>
      </c>
      <c r="R154" s="14">
        <f>Table1[Total_Sales]+Table1[Shipping_Cost]</f>
        <v>52.86</v>
      </c>
    </row>
    <row r="155" spans="1:18" x14ac:dyDescent="0.35">
      <c r="A155" s="3" t="s">
        <v>396</v>
      </c>
      <c r="B155" s="2">
        <v>45018</v>
      </c>
      <c r="C155" s="1" t="s">
        <v>397</v>
      </c>
      <c r="D155" s="1" t="s">
        <v>30</v>
      </c>
      <c r="E155" s="1" t="s">
        <v>121</v>
      </c>
      <c r="F155" s="1" t="s">
        <v>68</v>
      </c>
      <c r="G155" s="1" t="s">
        <v>20</v>
      </c>
      <c r="H155" s="1" t="s">
        <v>175</v>
      </c>
      <c r="I155" s="1">
        <v>4</v>
      </c>
      <c r="J155" s="1">
        <v>24.85</v>
      </c>
      <c r="K155" s="1">
        <v>15</v>
      </c>
      <c r="L155" s="1">
        <v>84.49</v>
      </c>
      <c r="M155" s="1">
        <v>15.38</v>
      </c>
      <c r="N155" s="1">
        <v>14.44</v>
      </c>
      <c r="O155" s="6" t="s">
        <v>39</v>
      </c>
      <c r="P155" s="8">
        <f>Table1[Quantity]*Table1[Unit_Price]</f>
        <v>99.4</v>
      </c>
      <c r="Q155" s="1">
        <f>Table1[Profit]/Table1[Total_Sales]</f>
        <v>0.17090779973961415</v>
      </c>
      <c r="R155" s="14">
        <f>Table1[Total_Sales]+Table1[Shipping_Cost]</f>
        <v>99.86999999999999</v>
      </c>
    </row>
    <row r="156" spans="1:18" x14ac:dyDescent="0.35">
      <c r="A156" s="3" t="s">
        <v>398</v>
      </c>
      <c r="B156" s="2">
        <v>45018</v>
      </c>
      <c r="C156" s="1" t="s">
        <v>399</v>
      </c>
      <c r="D156" s="1" t="s">
        <v>30</v>
      </c>
      <c r="E156" s="1" t="s">
        <v>63</v>
      </c>
      <c r="F156" s="1" t="s">
        <v>54</v>
      </c>
      <c r="G156" s="1" t="s">
        <v>42</v>
      </c>
      <c r="H156" s="1" t="s">
        <v>43</v>
      </c>
      <c r="I156" s="1">
        <v>6</v>
      </c>
      <c r="J156" s="1">
        <v>241.26</v>
      </c>
      <c r="K156" s="1">
        <v>0</v>
      </c>
      <c r="L156" s="1">
        <v>1447.56</v>
      </c>
      <c r="M156" s="1">
        <v>14.56</v>
      </c>
      <c r="N156" s="1">
        <v>564.46</v>
      </c>
      <c r="O156" s="6" t="s">
        <v>34</v>
      </c>
      <c r="P156" s="8">
        <f>Table1[Quantity]*Table1[Unit_Price]</f>
        <v>1447.56</v>
      </c>
      <c r="Q156" s="1">
        <f>Table1[Profit]/Table1[Total_Sales]</f>
        <v>0.38993893171958333</v>
      </c>
      <c r="R156" s="14">
        <f>Table1[Total_Sales]+Table1[Shipping_Cost]</f>
        <v>1462.12</v>
      </c>
    </row>
    <row r="157" spans="1:18" x14ac:dyDescent="0.35">
      <c r="A157" s="3" t="s">
        <v>400</v>
      </c>
      <c r="B157" s="2">
        <v>45018</v>
      </c>
      <c r="C157" s="1" t="s">
        <v>401</v>
      </c>
      <c r="D157" s="1" t="s">
        <v>30</v>
      </c>
      <c r="E157" s="1" t="s">
        <v>138</v>
      </c>
      <c r="F157" s="1" t="s">
        <v>54</v>
      </c>
      <c r="G157" s="1" t="s">
        <v>42</v>
      </c>
      <c r="H157" s="1" t="s">
        <v>118</v>
      </c>
      <c r="I157" s="1">
        <v>1</v>
      </c>
      <c r="J157" s="1">
        <v>67.62</v>
      </c>
      <c r="K157" s="1">
        <v>0</v>
      </c>
      <c r="L157" s="1">
        <v>67.62</v>
      </c>
      <c r="M157" s="1">
        <v>11.63</v>
      </c>
      <c r="N157" s="1">
        <v>15.42</v>
      </c>
      <c r="O157" s="6" t="s">
        <v>22</v>
      </c>
      <c r="P157" s="8">
        <f>Table1[Quantity]*Table1[Unit_Price]</f>
        <v>67.62</v>
      </c>
      <c r="Q157" s="1">
        <f>Table1[Profit]/Table1[Total_Sales]</f>
        <v>0.22803904170363795</v>
      </c>
      <c r="R157" s="14">
        <f>Table1[Total_Sales]+Table1[Shipping_Cost]</f>
        <v>79.25</v>
      </c>
    </row>
    <row r="158" spans="1:18" x14ac:dyDescent="0.35">
      <c r="A158" s="3" t="s">
        <v>402</v>
      </c>
      <c r="B158" s="2">
        <v>45019</v>
      </c>
      <c r="C158" s="1" t="s">
        <v>403</v>
      </c>
      <c r="D158" s="1" t="s">
        <v>17</v>
      </c>
      <c r="E158" s="1" t="s">
        <v>25</v>
      </c>
      <c r="F158" s="1" t="s">
        <v>26</v>
      </c>
      <c r="G158" s="1" t="s">
        <v>42</v>
      </c>
      <c r="H158" s="1" t="s">
        <v>93</v>
      </c>
      <c r="I158" s="1">
        <v>1</v>
      </c>
      <c r="J158" s="1">
        <v>268.98</v>
      </c>
      <c r="K158" s="1">
        <v>0</v>
      </c>
      <c r="L158" s="1">
        <v>268.98</v>
      </c>
      <c r="M158" s="1">
        <v>8.56</v>
      </c>
      <c r="N158" s="1">
        <v>99.03</v>
      </c>
      <c r="O158" s="6" t="s">
        <v>34</v>
      </c>
      <c r="P158" s="8">
        <f>Table1[Quantity]*Table1[Unit_Price]</f>
        <v>268.98</v>
      </c>
      <c r="Q158" s="1">
        <f>Table1[Profit]/Table1[Total_Sales]</f>
        <v>0.36816863707338832</v>
      </c>
      <c r="R158" s="14">
        <f>Table1[Total_Sales]+Table1[Shipping_Cost]</f>
        <v>277.54000000000002</v>
      </c>
    </row>
    <row r="159" spans="1:18" x14ac:dyDescent="0.35">
      <c r="A159" s="3" t="s">
        <v>404</v>
      </c>
      <c r="B159" s="2">
        <v>45020</v>
      </c>
      <c r="C159" s="1" t="s">
        <v>405</v>
      </c>
      <c r="D159" s="1" t="s">
        <v>17</v>
      </c>
      <c r="E159" s="1" t="s">
        <v>31</v>
      </c>
      <c r="F159" s="1" t="s">
        <v>19</v>
      </c>
      <c r="G159" s="1" t="s">
        <v>32</v>
      </c>
      <c r="H159" s="1" t="s">
        <v>149</v>
      </c>
      <c r="I159" s="1">
        <v>3</v>
      </c>
      <c r="J159" s="1">
        <v>9.65</v>
      </c>
      <c r="K159" s="1">
        <v>5</v>
      </c>
      <c r="L159" s="1">
        <v>27.5</v>
      </c>
      <c r="M159" s="1">
        <v>10.62</v>
      </c>
      <c r="N159" s="1">
        <v>3.85</v>
      </c>
      <c r="O159" s="6" t="s">
        <v>39</v>
      </c>
      <c r="P159" s="8">
        <f>Table1[Quantity]*Table1[Unit_Price]</f>
        <v>28.950000000000003</v>
      </c>
      <c r="Q159" s="1">
        <f>Table1[Profit]/Table1[Total_Sales]</f>
        <v>0.14000000000000001</v>
      </c>
      <c r="R159" s="14">
        <f>Table1[Total_Sales]+Table1[Shipping_Cost]</f>
        <v>38.119999999999997</v>
      </c>
    </row>
    <row r="160" spans="1:18" x14ac:dyDescent="0.35">
      <c r="A160" s="3" t="s">
        <v>406</v>
      </c>
      <c r="B160" s="2">
        <v>45020</v>
      </c>
      <c r="C160" s="1" t="s">
        <v>407</v>
      </c>
      <c r="D160" s="1" t="s">
        <v>49</v>
      </c>
      <c r="E160" s="1" t="s">
        <v>67</v>
      </c>
      <c r="F160" s="1" t="s">
        <v>68</v>
      </c>
      <c r="G160" s="1" t="s">
        <v>20</v>
      </c>
      <c r="H160" s="1" t="s">
        <v>199</v>
      </c>
      <c r="I160" s="1">
        <v>2</v>
      </c>
      <c r="J160" s="1">
        <v>139.15</v>
      </c>
      <c r="K160" s="1">
        <v>5</v>
      </c>
      <c r="L160" s="1">
        <v>264.38</v>
      </c>
      <c r="M160" s="1">
        <v>12.48</v>
      </c>
      <c r="N160" s="1">
        <v>98.83</v>
      </c>
      <c r="O160" s="6" t="s">
        <v>22</v>
      </c>
      <c r="P160" s="8">
        <f>Table1[Quantity]*Table1[Unit_Price]</f>
        <v>278.3</v>
      </c>
      <c r="Q160" s="1">
        <f>Table1[Profit]/Table1[Total_Sales]</f>
        <v>0.3738179892578864</v>
      </c>
      <c r="R160" s="14">
        <f>Table1[Total_Sales]+Table1[Shipping_Cost]</f>
        <v>276.86</v>
      </c>
    </row>
    <row r="161" spans="1:18" x14ac:dyDescent="0.35">
      <c r="A161" s="3" t="s">
        <v>408</v>
      </c>
      <c r="B161" s="2">
        <v>45020</v>
      </c>
      <c r="C161" s="1" t="s">
        <v>409</v>
      </c>
      <c r="D161" s="1" t="s">
        <v>17</v>
      </c>
      <c r="E161" s="1" t="s">
        <v>31</v>
      </c>
      <c r="F161" s="1" t="s">
        <v>19</v>
      </c>
      <c r="G161" s="1" t="s">
        <v>32</v>
      </c>
      <c r="H161" s="1" t="s">
        <v>115</v>
      </c>
      <c r="I161" s="1">
        <v>2</v>
      </c>
      <c r="J161" s="1">
        <v>15.49</v>
      </c>
      <c r="K161" s="1">
        <v>10</v>
      </c>
      <c r="L161" s="1">
        <v>27.88</v>
      </c>
      <c r="M161" s="1">
        <v>6.07</v>
      </c>
      <c r="N161" s="1">
        <v>7.87</v>
      </c>
      <c r="O161" s="6" t="s">
        <v>39</v>
      </c>
      <c r="P161" s="8">
        <f>Table1[Quantity]*Table1[Unit_Price]</f>
        <v>30.98</v>
      </c>
      <c r="Q161" s="1">
        <f>Table1[Profit]/Table1[Total_Sales]</f>
        <v>0.28228120516499283</v>
      </c>
      <c r="R161" s="14">
        <f>Table1[Total_Sales]+Table1[Shipping_Cost]</f>
        <v>33.950000000000003</v>
      </c>
    </row>
    <row r="162" spans="1:18" x14ac:dyDescent="0.35">
      <c r="A162" s="3" t="s">
        <v>410</v>
      </c>
      <c r="B162" s="2">
        <v>45020</v>
      </c>
      <c r="C162" s="1" t="s">
        <v>411</v>
      </c>
      <c r="D162" s="1" t="s">
        <v>17</v>
      </c>
      <c r="E162" s="1" t="s">
        <v>248</v>
      </c>
      <c r="F162" s="1" t="s">
        <v>26</v>
      </c>
      <c r="G162" s="1" t="s">
        <v>20</v>
      </c>
      <c r="H162" s="1" t="s">
        <v>175</v>
      </c>
      <c r="I162" s="1">
        <v>6</v>
      </c>
      <c r="J162" s="1">
        <v>25.63</v>
      </c>
      <c r="K162" s="1">
        <v>15</v>
      </c>
      <c r="L162" s="1">
        <v>130.71</v>
      </c>
      <c r="M162" s="1">
        <v>17.72</v>
      </c>
      <c r="N162" s="1">
        <v>28.41</v>
      </c>
      <c r="O162" s="6" t="s">
        <v>34</v>
      </c>
      <c r="P162" s="8">
        <f>Table1[Quantity]*Table1[Unit_Price]</f>
        <v>153.78</v>
      </c>
      <c r="Q162" s="1">
        <f>Table1[Profit]/Table1[Total_Sales]</f>
        <v>0.21735138857011704</v>
      </c>
      <c r="R162" s="14">
        <f>Table1[Total_Sales]+Table1[Shipping_Cost]</f>
        <v>148.43</v>
      </c>
    </row>
    <row r="163" spans="1:18" x14ac:dyDescent="0.35">
      <c r="A163" s="3" t="s">
        <v>412</v>
      </c>
      <c r="B163" s="2">
        <v>45020</v>
      </c>
      <c r="C163" s="1" t="s">
        <v>413</v>
      </c>
      <c r="D163" s="1" t="s">
        <v>30</v>
      </c>
      <c r="E163" s="1" t="s">
        <v>31</v>
      </c>
      <c r="F163" s="1" t="s">
        <v>19</v>
      </c>
      <c r="G163" s="1" t="s">
        <v>32</v>
      </c>
      <c r="H163" s="1" t="s">
        <v>132</v>
      </c>
      <c r="I163" s="1">
        <v>1</v>
      </c>
      <c r="J163" s="1">
        <v>13</v>
      </c>
      <c r="K163" s="1">
        <v>5</v>
      </c>
      <c r="L163" s="1">
        <v>12.35</v>
      </c>
      <c r="M163" s="1">
        <v>5.81</v>
      </c>
      <c r="N163" s="1">
        <v>0.69</v>
      </c>
      <c r="O163" s="6" t="s">
        <v>56</v>
      </c>
      <c r="P163" s="8">
        <f>Table1[Quantity]*Table1[Unit_Price]</f>
        <v>13</v>
      </c>
      <c r="Q163" s="1">
        <f>Table1[Profit]/Table1[Total_Sales]</f>
        <v>5.5870445344129549E-2</v>
      </c>
      <c r="R163" s="14">
        <f>Table1[Total_Sales]+Table1[Shipping_Cost]</f>
        <v>18.16</v>
      </c>
    </row>
    <row r="164" spans="1:18" x14ac:dyDescent="0.35">
      <c r="A164" s="3" t="s">
        <v>414</v>
      </c>
      <c r="B164" s="2">
        <v>45021</v>
      </c>
      <c r="C164" s="1" t="s">
        <v>415</v>
      </c>
      <c r="D164" s="1" t="s">
        <v>30</v>
      </c>
      <c r="E164" s="1" t="s">
        <v>18</v>
      </c>
      <c r="F164" s="1" t="s">
        <v>19</v>
      </c>
      <c r="G164" s="1" t="s">
        <v>42</v>
      </c>
      <c r="H164" s="1" t="s">
        <v>93</v>
      </c>
      <c r="I164" s="1">
        <v>2</v>
      </c>
      <c r="J164" s="1">
        <v>252.68</v>
      </c>
      <c r="K164" s="1">
        <v>0</v>
      </c>
      <c r="L164" s="1">
        <v>505.36</v>
      </c>
      <c r="M164" s="1">
        <v>8.1199999999999992</v>
      </c>
      <c r="N164" s="1">
        <v>194.02</v>
      </c>
      <c r="O164" s="6" t="s">
        <v>39</v>
      </c>
      <c r="P164" s="8">
        <f>Table1[Quantity]*Table1[Unit_Price]</f>
        <v>505.36</v>
      </c>
      <c r="Q164" s="1">
        <f>Table1[Profit]/Table1[Total_Sales]</f>
        <v>0.38392433116985913</v>
      </c>
      <c r="R164" s="14">
        <f>Table1[Total_Sales]+Table1[Shipping_Cost]</f>
        <v>513.48</v>
      </c>
    </row>
    <row r="165" spans="1:18" x14ac:dyDescent="0.35">
      <c r="A165" s="3" t="s">
        <v>416</v>
      </c>
      <c r="B165" s="2">
        <v>45021</v>
      </c>
      <c r="C165" s="1" t="s">
        <v>417</v>
      </c>
      <c r="D165" s="1" t="s">
        <v>30</v>
      </c>
      <c r="E165" s="1" t="s">
        <v>85</v>
      </c>
      <c r="F165" s="1" t="s">
        <v>60</v>
      </c>
      <c r="G165" s="1" t="s">
        <v>20</v>
      </c>
      <c r="H165" s="1" t="s">
        <v>264</v>
      </c>
      <c r="I165" s="1">
        <v>8</v>
      </c>
      <c r="J165" s="1">
        <v>20.81</v>
      </c>
      <c r="K165" s="1">
        <v>0</v>
      </c>
      <c r="L165" s="1">
        <v>166.48</v>
      </c>
      <c r="M165" s="1">
        <v>20.3</v>
      </c>
      <c r="N165" s="1">
        <v>54.62</v>
      </c>
      <c r="O165" s="6" t="s">
        <v>22</v>
      </c>
      <c r="P165" s="8">
        <f>Table1[Quantity]*Table1[Unit_Price]</f>
        <v>166.48</v>
      </c>
      <c r="Q165" s="1">
        <f>Table1[Profit]/Table1[Total_Sales]</f>
        <v>0.32808745795290728</v>
      </c>
      <c r="R165" s="14">
        <f>Table1[Total_Sales]+Table1[Shipping_Cost]</f>
        <v>186.78</v>
      </c>
    </row>
    <row r="166" spans="1:18" x14ac:dyDescent="0.35">
      <c r="A166" s="3" t="s">
        <v>418</v>
      </c>
      <c r="B166" s="2">
        <v>45021</v>
      </c>
      <c r="C166" s="1" t="s">
        <v>419</v>
      </c>
      <c r="D166" s="1" t="s">
        <v>30</v>
      </c>
      <c r="E166" s="1" t="s">
        <v>166</v>
      </c>
      <c r="F166" s="1" t="s">
        <v>60</v>
      </c>
      <c r="G166" s="1" t="s">
        <v>32</v>
      </c>
      <c r="H166" s="1" t="s">
        <v>33</v>
      </c>
      <c r="I166" s="1">
        <v>2</v>
      </c>
      <c r="J166" s="1">
        <v>12.65</v>
      </c>
      <c r="K166" s="1">
        <v>15</v>
      </c>
      <c r="L166" s="1">
        <v>21.5</v>
      </c>
      <c r="M166" s="1">
        <v>12.32</v>
      </c>
      <c r="N166" s="1">
        <v>-2.21</v>
      </c>
      <c r="O166" s="6" t="s">
        <v>39</v>
      </c>
      <c r="P166" s="8">
        <f>Table1[Quantity]*Table1[Unit_Price]</f>
        <v>25.3</v>
      </c>
      <c r="Q166" s="1">
        <f>Table1[Profit]/Table1[Total_Sales]</f>
        <v>-0.1027906976744186</v>
      </c>
      <c r="R166" s="14">
        <f>Table1[Total_Sales]+Table1[Shipping_Cost]</f>
        <v>33.82</v>
      </c>
    </row>
    <row r="167" spans="1:18" x14ac:dyDescent="0.35">
      <c r="A167" s="3" t="s">
        <v>420</v>
      </c>
      <c r="B167" s="2">
        <v>45022</v>
      </c>
      <c r="C167" s="1" t="s">
        <v>421</v>
      </c>
      <c r="D167" s="1" t="s">
        <v>17</v>
      </c>
      <c r="E167" s="1" t="s">
        <v>166</v>
      </c>
      <c r="F167" s="1" t="s">
        <v>60</v>
      </c>
      <c r="G167" s="1" t="s">
        <v>69</v>
      </c>
      <c r="H167" s="1" t="s">
        <v>139</v>
      </c>
      <c r="I167" s="1">
        <v>3</v>
      </c>
      <c r="J167" s="1">
        <v>83.46</v>
      </c>
      <c r="K167" s="1">
        <v>0</v>
      </c>
      <c r="L167" s="1">
        <v>250.38</v>
      </c>
      <c r="M167" s="1">
        <v>16.07</v>
      </c>
      <c r="N167" s="1">
        <v>109.12</v>
      </c>
      <c r="O167" s="6" t="s">
        <v>34</v>
      </c>
      <c r="P167" s="8">
        <f>Table1[Quantity]*Table1[Unit_Price]</f>
        <v>250.38</v>
      </c>
      <c r="Q167" s="1">
        <f>Table1[Profit]/Table1[Total_Sales]</f>
        <v>0.43581755731288446</v>
      </c>
      <c r="R167" s="14">
        <f>Table1[Total_Sales]+Table1[Shipping_Cost]</f>
        <v>266.45</v>
      </c>
    </row>
    <row r="168" spans="1:18" x14ac:dyDescent="0.35">
      <c r="A168" s="3" t="s">
        <v>422</v>
      </c>
      <c r="B168" s="2">
        <v>45023</v>
      </c>
      <c r="C168" s="1" t="s">
        <v>423</v>
      </c>
      <c r="D168" s="1" t="s">
        <v>49</v>
      </c>
      <c r="E168" s="1" t="s">
        <v>135</v>
      </c>
      <c r="F168" s="1" t="s">
        <v>26</v>
      </c>
      <c r="G168" s="1" t="s">
        <v>20</v>
      </c>
      <c r="H168" s="1" t="s">
        <v>55</v>
      </c>
      <c r="I168" s="1">
        <v>3</v>
      </c>
      <c r="J168" s="1">
        <v>57.89</v>
      </c>
      <c r="K168" s="1">
        <v>5</v>
      </c>
      <c r="L168" s="1">
        <v>164.99</v>
      </c>
      <c r="M168" s="1">
        <v>9.48</v>
      </c>
      <c r="N168" s="1">
        <v>59.99</v>
      </c>
      <c r="O168" s="6" t="s">
        <v>39</v>
      </c>
      <c r="P168" s="8">
        <f>Table1[Quantity]*Table1[Unit_Price]</f>
        <v>173.67000000000002</v>
      </c>
      <c r="Q168" s="1">
        <f>Table1[Profit]/Table1[Total_Sales]</f>
        <v>0.36359779380568519</v>
      </c>
      <c r="R168" s="14">
        <f>Table1[Total_Sales]+Table1[Shipping_Cost]</f>
        <v>174.47</v>
      </c>
    </row>
    <row r="169" spans="1:18" x14ac:dyDescent="0.35">
      <c r="A169" s="3" t="s">
        <v>424</v>
      </c>
      <c r="B169" s="2">
        <v>45023</v>
      </c>
      <c r="C169" s="1" t="s">
        <v>425</v>
      </c>
      <c r="D169" s="1" t="s">
        <v>17</v>
      </c>
      <c r="E169" s="1" t="s">
        <v>67</v>
      </c>
      <c r="F169" s="1" t="s">
        <v>68</v>
      </c>
      <c r="G169" s="1" t="s">
        <v>20</v>
      </c>
      <c r="H169" s="1" t="s">
        <v>27</v>
      </c>
      <c r="I169" s="1">
        <v>1</v>
      </c>
      <c r="J169" s="1">
        <v>133.59</v>
      </c>
      <c r="K169" s="1">
        <v>0</v>
      </c>
      <c r="L169" s="1">
        <v>133.59</v>
      </c>
      <c r="M169" s="1">
        <v>12.48</v>
      </c>
      <c r="N169" s="1">
        <v>47.64</v>
      </c>
      <c r="O169" s="6" t="s">
        <v>34</v>
      </c>
      <c r="P169" s="8">
        <f>Table1[Quantity]*Table1[Unit_Price]</f>
        <v>133.59</v>
      </c>
      <c r="Q169" s="1">
        <f>Table1[Profit]/Table1[Total_Sales]</f>
        <v>0.35661351897597127</v>
      </c>
      <c r="R169" s="14">
        <f>Table1[Total_Sales]+Table1[Shipping_Cost]</f>
        <v>146.07</v>
      </c>
    </row>
    <row r="170" spans="1:18" x14ac:dyDescent="0.35">
      <c r="A170" s="3" t="s">
        <v>426</v>
      </c>
      <c r="B170" s="2">
        <v>45025</v>
      </c>
      <c r="C170" s="1" t="s">
        <v>427</v>
      </c>
      <c r="D170" s="1" t="s">
        <v>49</v>
      </c>
      <c r="E170" s="1" t="s">
        <v>85</v>
      </c>
      <c r="F170" s="1" t="s">
        <v>60</v>
      </c>
      <c r="G170" s="1" t="s">
        <v>32</v>
      </c>
      <c r="H170" s="1" t="s">
        <v>33</v>
      </c>
      <c r="I170" s="1">
        <v>1</v>
      </c>
      <c r="J170" s="1">
        <v>9.89</v>
      </c>
      <c r="K170" s="1">
        <v>5</v>
      </c>
      <c r="L170" s="1">
        <v>9.4</v>
      </c>
      <c r="M170" s="1">
        <v>10.9</v>
      </c>
      <c r="N170" s="1">
        <v>-5.95</v>
      </c>
      <c r="O170" s="6" t="s">
        <v>34</v>
      </c>
      <c r="P170" s="8">
        <f>Table1[Quantity]*Table1[Unit_Price]</f>
        <v>9.89</v>
      </c>
      <c r="Q170" s="1">
        <f>Table1[Profit]/Table1[Total_Sales]</f>
        <v>-0.63297872340425532</v>
      </c>
      <c r="R170" s="14">
        <f>Table1[Total_Sales]+Table1[Shipping_Cost]</f>
        <v>20.3</v>
      </c>
    </row>
    <row r="171" spans="1:18" x14ac:dyDescent="0.35">
      <c r="A171" s="3" t="s">
        <v>428</v>
      </c>
      <c r="B171" s="2">
        <v>45025</v>
      </c>
      <c r="C171" s="1" t="s">
        <v>429</v>
      </c>
      <c r="D171" s="1" t="s">
        <v>30</v>
      </c>
      <c r="E171" s="1" t="s">
        <v>129</v>
      </c>
      <c r="F171" s="1" t="s">
        <v>19</v>
      </c>
      <c r="G171" s="1" t="s">
        <v>32</v>
      </c>
      <c r="H171" s="1" t="s">
        <v>82</v>
      </c>
      <c r="I171" s="1">
        <v>6</v>
      </c>
      <c r="J171" s="1">
        <v>17.86</v>
      </c>
      <c r="K171" s="1">
        <v>5</v>
      </c>
      <c r="L171" s="1">
        <v>101.8</v>
      </c>
      <c r="M171" s="1">
        <v>11.87</v>
      </c>
      <c r="N171" s="1">
        <v>41.71</v>
      </c>
      <c r="O171" s="6" t="s">
        <v>34</v>
      </c>
      <c r="P171" s="8">
        <f>Table1[Quantity]*Table1[Unit_Price]</f>
        <v>107.16</v>
      </c>
      <c r="Q171" s="1">
        <f>Table1[Profit]/Table1[Total_Sales]</f>
        <v>0.40972495088408645</v>
      </c>
      <c r="R171" s="14">
        <f>Table1[Total_Sales]+Table1[Shipping_Cost]</f>
        <v>113.67</v>
      </c>
    </row>
    <row r="172" spans="1:18" x14ac:dyDescent="0.35">
      <c r="A172" s="3" t="s">
        <v>430</v>
      </c>
      <c r="B172" s="2">
        <v>45025</v>
      </c>
      <c r="C172" s="1" t="s">
        <v>431</v>
      </c>
      <c r="D172" s="1" t="s">
        <v>17</v>
      </c>
      <c r="E172" s="1" t="s">
        <v>148</v>
      </c>
      <c r="F172" s="1" t="s">
        <v>60</v>
      </c>
      <c r="G172" s="1" t="s">
        <v>42</v>
      </c>
      <c r="H172" s="1" t="s">
        <v>255</v>
      </c>
      <c r="I172" s="1">
        <v>4</v>
      </c>
      <c r="J172" s="1">
        <v>58.82</v>
      </c>
      <c r="K172" s="1">
        <v>10</v>
      </c>
      <c r="L172" s="1">
        <v>211.75</v>
      </c>
      <c r="M172" s="1">
        <v>13.12</v>
      </c>
      <c r="N172" s="1">
        <v>57.46</v>
      </c>
      <c r="O172" s="6" t="s">
        <v>39</v>
      </c>
      <c r="P172" s="8">
        <f>Table1[Quantity]*Table1[Unit_Price]</f>
        <v>235.28</v>
      </c>
      <c r="Q172" s="1">
        <f>Table1[Profit]/Table1[Total_Sales]</f>
        <v>0.27135773317591499</v>
      </c>
      <c r="R172" s="14">
        <f>Table1[Total_Sales]+Table1[Shipping_Cost]</f>
        <v>224.87</v>
      </c>
    </row>
    <row r="173" spans="1:18" x14ac:dyDescent="0.35">
      <c r="A173" s="3" t="s">
        <v>432</v>
      </c>
      <c r="B173" s="2">
        <v>45026</v>
      </c>
      <c r="C173" s="1" t="s">
        <v>433</v>
      </c>
      <c r="D173" s="1" t="s">
        <v>30</v>
      </c>
      <c r="E173" s="1" t="s">
        <v>148</v>
      </c>
      <c r="F173" s="1" t="s">
        <v>60</v>
      </c>
      <c r="G173" s="1" t="s">
        <v>20</v>
      </c>
      <c r="H173" s="1" t="s">
        <v>55</v>
      </c>
      <c r="I173" s="1">
        <v>3</v>
      </c>
      <c r="J173" s="1">
        <v>63.4</v>
      </c>
      <c r="K173" s="1">
        <v>20</v>
      </c>
      <c r="L173" s="1">
        <v>152.16</v>
      </c>
      <c r="M173" s="1">
        <v>12.26</v>
      </c>
      <c r="N173" s="1">
        <v>35.29</v>
      </c>
      <c r="O173" s="6" t="s">
        <v>34</v>
      </c>
      <c r="P173" s="8">
        <f>Table1[Quantity]*Table1[Unit_Price]</f>
        <v>190.2</v>
      </c>
      <c r="Q173" s="1">
        <f>Table1[Profit]/Table1[Total_Sales]</f>
        <v>0.23192691903259727</v>
      </c>
      <c r="R173" s="14">
        <f>Table1[Total_Sales]+Table1[Shipping_Cost]</f>
        <v>164.42</v>
      </c>
    </row>
    <row r="174" spans="1:18" x14ac:dyDescent="0.35">
      <c r="A174" s="3" t="s">
        <v>434</v>
      </c>
      <c r="B174" s="2">
        <v>45026</v>
      </c>
      <c r="C174" s="1" t="s">
        <v>435</v>
      </c>
      <c r="D174" s="1" t="s">
        <v>30</v>
      </c>
      <c r="E174" s="1" t="s">
        <v>31</v>
      </c>
      <c r="F174" s="1" t="s">
        <v>19</v>
      </c>
      <c r="G174" s="1" t="s">
        <v>20</v>
      </c>
      <c r="H174" s="1" t="s">
        <v>27</v>
      </c>
      <c r="I174" s="1">
        <v>1</v>
      </c>
      <c r="J174" s="1">
        <v>133.59</v>
      </c>
      <c r="K174" s="1">
        <v>10</v>
      </c>
      <c r="L174" s="1">
        <v>120.23</v>
      </c>
      <c r="M174" s="1">
        <v>6.48</v>
      </c>
      <c r="N174" s="1">
        <v>40.28</v>
      </c>
      <c r="O174" s="6" t="s">
        <v>39</v>
      </c>
      <c r="P174" s="8">
        <f>Table1[Quantity]*Table1[Unit_Price]</f>
        <v>133.59</v>
      </c>
      <c r="Q174" s="1">
        <f>Table1[Profit]/Table1[Total_Sales]</f>
        <v>0.33502453630541462</v>
      </c>
      <c r="R174" s="14">
        <f>Table1[Total_Sales]+Table1[Shipping_Cost]</f>
        <v>126.71000000000001</v>
      </c>
    </row>
    <row r="175" spans="1:18" x14ac:dyDescent="0.35">
      <c r="A175" s="3" t="s">
        <v>436</v>
      </c>
      <c r="B175" s="2">
        <v>45029</v>
      </c>
      <c r="C175" s="1" t="s">
        <v>437</v>
      </c>
      <c r="D175" s="1" t="s">
        <v>17</v>
      </c>
      <c r="E175" s="1" t="s">
        <v>129</v>
      </c>
      <c r="F175" s="1" t="s">
        <v>19</v>
      </c>
      <c r="G175" s="1" t="s">
        <v>42</v>
      </c>
      <c r="H175" s="1" t="s">
        <v>294</v>
      </c>
      <c r="I175" s="1">
        <v>2</v>
      </c>
      <c r="J175" s="1">
        <v>244.78</v>
      </c>
      <c r="K175" s="1">
        <v>10</v>
      </c>
      <c r="L175" s="1">
        <v>440.6</v>
      </c>
      <c r="M175" s="1">
        <v>9.82</v>
      </c>
      <c r="N175" s="1">
        <v>137.04</v>
      </c>
      <c r="O175" s="6" t="s">
        <v>39</v>
      </c>
      <c r="P175" s="8">
        <f>Table1[Quantity]*Table1[Unit_Price]</f>
        <v>489.56</v>
      </c>
      <c r="Q175" s="1">
        <f>Table1[Profit]/Table1[Total_Sales]</f>
        <v>0.3110304130730821</v>
      </c>
      <c r="R175" s="14">
        <f>Table1[Total_Sales]+Table1[Shipping_Cost]</f>
        <v>450.42</v>
      </c>
    </row>
    <row r="176" spans="1:18" x14ac:dyDescent="0.35">
      <c r="A176" s="3" t="s">
        <v>438</v>
      </c>
      <c r="B176" s="2">
        <v>45029</v>
      </c>
      <c r="C176" s="1" t="s">
        <v>439</v>
      </c>
      <c r="D176" s="1" t="s">
        <v>30</v>
      </c>
      <c r="E176" s="1" t="s">
        <v>92</v>
      </c>
      <c r="F176" s="1" t="s">
        <v>60</v>
      </c>
      <c r="G176" s="1" t="s">
        <v>32</v>
      </c>
      <c r="H176" s="1" t="s">
        <v>101</v>
      </c>
      <c r="I176" s="1">
        <v>4</v>
      </c>
      <c r="J176" s="1">
        <v>13.89</v>
      </c>
      <c r="K176" s="1">
        <v>0</v>
      </c>
      <c r="L176" s="1">
        <v>55.56</v>
      </c>
      <c r="M176" s="1">
        <v>18.260000000000002</v>
      </c>
      <c r="N176" s="1">
        <v>12.3</v>
      </c>
      <c r="O176" s="6" t="s">
        <v>34</v>
      </c>
      <c r="P176" s="8">
        <f>Table1[Quantity]*Table1[Unit_Price]</f>
        <v>55.56</v>
      </c>
      <c r="Q176" s="1">
        <f>Table1[Profit]/Table1[Total_Sales]</f>
        <v>0.22138228941684665</v>
      </c>
      <c r="R176" s="14">
        <f>Table1[Total_Sales]+Table1[Shipping_Cost]</f>
        <v>73.820000000000007</v>
      </c>
    </row>
    <row r="177" spans="1:18" x14ac:dyDescent="0.35">
      <c r="A177" s="3" t="s">
        <v>440</v>
      </c>
      <c r="B177" s="2">
        <v>45030</v>
      </c>
      <c r="C177" s="1" t="s">
        <v>441</v>
      </c>
      <c r="D177" s="1" t="s">
        <v>30</v>
      </c>
      <c r="E177" s="1" t="s">
        <v>63</v>
      </c>
      <c r="F177" s="1" t="s">
        <v>54</v>
      </c>
      <c r="G177" s="1" t="s">
        <v>32</v>
      </c>
      <c r="H177" s="1" t="s">
        <v>110</v>
      </c>
      <c r="I177" s="1">
        <v>2</v>
      </c>
      <c r="J177" s="1">
        <v>4.54</v>
      </c>
      <c r="K177" s="1">
        <v>0</v>
      </c>
      <c r="L177" s="1">
        <v>9.08</v>
      </c>
      <c r="M177" s="1">
        <v>13.77</v>
      </c>
      <c r="N177" s="1">
        <v>-8.7799999999999994</v>
      </c>
      <c r="O177" s="6" t="s">
        <v>39</v>
      </c>
      <c r="P177" s="8">
        <f>Table1[Quantity]*Table1[Unit_Price]</f>
        <v>9.08</v>
      </c>
      <c r="Q177" s="1">
        <f>Table1[Profit]/Table1[Total_Sales]</f>
        <v>-0.96696035242290745</v>
      </c>
      <c r="R177" s="14">
        <f>Table1[Total_Sales]+Table1[Shipping_Cost]</f>
        <v>22.85</v>
      </c>
    </row>
    <row r="178" spans="1:18" x14ac:dyDescent="0.35">
      <c r="A178" s="3" t="s">
        <v>442</v>
      </c>
      <c r="B178" s="2">
        <v>45031</v>
      </c>
      <c r="C178" s="1" t="s">
        <v>443</v>
      </c>
      <c r="D178" s="1" t="s">
        <v>30</v>
      </c>
      <c r="E178" s="1" t="s">
        <v>53</v>
      </c>
      <c r="F178" s="1" t="s">
        <v>54</v>
      </c>
      <c r="G178" s="1" t="s">
        <v>42</v>
      </c>
      <c r="H178" s="1" t="s">
        <v>43</v>
      </c>
      <c r="I178" s="1">
        <v>4</v>
      </c>
      <c r="J178" s="1">
        <v>257.60000000000002</v>
      </c>
      <c r="K178" s="1">
        <v>25</v>
      </c>
      <c r="L178" s="1">
        <v>772.8</v>
      </c>
      <c r="M178" s="1">
        <v>19.79</v>
      </c>
      <c r="N178" s="1">
        <v>134.77000000000001</v>
      </c>
      <c r="O178" s="6" t="s">
        <v>56</v>
      </c>
      <c r="P178" s="8">
        <f>Table1[Quantity]*Table1[Unit_Price]</f>
        <v>1030.4000000000001</v>
      </c>
      <c r="Q178" s="1">
        <f>Table1[Profit]/Table1[Total_Sales]</f>
        <v>0.17439182194616978</v>
      </c>
      <c r="R178" s="14">
        <f>Table1[Total_Sales]+Table1[Shipping_Cost]</f>
        <v>792.58999999999992</v>
      </c>
    </row>
    <row r="179" spans="1:18" x14ac:dyDescent="0.35">
      <c r="A179" s="3" t="s">
        <v>444</v>
      </c>
      <c r="B179" s="2">
        <v>45032</v>
      </c>
      <c r="C179" s="1" t="s">
        <v>445</v>
      </c>
      <c r="D179" s="1" t="s">
        <v>30</v>
      </c>
      <c r="E179" s="1" t="s">
        <v>92</v>
      </c>
      <c r="F179" s="1" t="s">
        <v>60</v>
      </c>
      <c r="G179" s="1" t="s">
        <v>69</v>
      </c>
      <c r="H179" s="1" t="s">
        <v>79</v>
      </c>
      <c r="I179" s="1">
        <v>1</v>
      </c>
      <c r="J179" s="1">
        <v>55</v>
      </c>
      <c r="K179" s="1">
        <v>5</v>
      </c>
      <c r="L179" s="1">
        <v>52.25</v>
      </c>
      <c r="M179" s="1">
        <v>9.81</v>
      </c>
      <c r="N179" s="1">
        <v>14.94</v>
      </c>
      <c r="O179" s="6" t="s">
        <v>39</v>
      </c>
      <c r="P179" s="8">
        <f>Table1[Quantity]*Table1[Unit_Price]</f>
        <v>55</v>
      </c>
      <c r="Q179" s="1">
        <f>Table1[Profit]/Table1[Total_Sales]</f>
        <v>0.28593301435406698</v>
      </c>
      <c r="R179" s="14">
        <f>Table1[Total_Sales]+Table1[Shipping_Cost]</f>
        <v>62.06</v>
      </c>
    </row>
    <row r="180" spans="1:18" x14ac:dyDescent="0.35">
      <c r="A180" s="3" t="s">
        <v>446</v>
      </c>
      <c r="B180" s="2">
        <v>45032</v>
      </c>
      <c r="C180" s="1" t="s">
        <v>447</v>
      </c>
      <c r="D180" s="1" t="s">
        <v>17</v>
      </c>
      <c r="E180" s="1" t="s">
        <v>148</v>
      </c>
      <c r="F180" s="1" t="s">
        <v>60</v>
      </c>
      <c r="G180" s="1" t="s">
        <v>32</v>
      </c>
      <c r="H180" s="1" t="s">
        <v>73</v>
      </c>
      <c r="I180" s="1">
        <v>4</v>
      </c>
      <c r="J180" s="1">
        <v>8.66</v>
      </c>
      <c r="K180" s="1">
        <v>5</v>
      </c>
      <c r="L180" s="1">
        <v>32.909999999999997</v>
      </c>
      <c r="M180" s="1">
        <v>11.66</v>
      </c>
      <c r="N180" s="1">
        <v>5.66</v>
      </c>
      <c r="O180" s="6" t="s">
        <v>39</v>
      </c>
      <c r="P180" s="8">
        <f>Table1[Quantity]*Table1[Unit_Price]</f>
        <v>34.64</v>
      </c>
      <c r="Q180" s="1">
        <f>Table1[Profit]/Table1[Total_Sales]</f>
        <v>0.17198419933151021</v>
      </c>
      <c r="R180" s="14">
        <f>Table1[Total_Sales]+Table1[Shipping_Cost]</f>
        <v>44.569999999999993</v>
      </c>
    </row>
    <row r="181" spans="1:18" x14ac:dyDescent="0.35">
      <c r="A181" s="3" t="s">
        <v>448</v>
      </c>
      <c r="B181" s="2">
        <v>45032</v>
      </c>
      <c r="C181" s="1" t="s">
        <v>449</v>
      </c>
      <c r="D181" s="1" t="s">
        <v>30</v>
      </c>
      <c r="E181" s="1" t="s">
        <v>31</v>
      </c>
      <c r="F181" s="1" t="s">
        <v>19</v>
      </c>
      <c r="G181" s="1" t="s">
        <v>20</v>
      </c>
      <c r="H181" s="1" t="s">
        <v>122</v>
      </c>
      <c r="I181" s="1">
        <v>2</v>
      </c>
      <c r="J181" s="1">
        <v>94.43</v>
      </c>
      <c r="K181" s="1">
        <v>10</v>
      </c>
      <c r="L181" s="1">
        <v>169.97</v>
      </c>
      <c r="M181" s="1">
        <v>6.86</v>
      </c>
      <c r="N181" s="1">
        <v>59.24</v>
      </c>
      <c r="O181" s="6" t="s">
        <v>39</v>
      </c>
      <c r="P181" s="8">
        <f>Table1[Quantity]*Table1[Unit_Price]</f>
        <v>188.86</v>
      </c>
      <c r="Q181" s="1">
        <f>Table1[Profit]/Table1[Total_Sales]</f>
        <v>0.34853209389892337</v>
      </c>
      <c r="R181" s="14">
        <f>Table1[Total_Sales]+Table1[Shipping_Cost]</f>
        <v>176.83</v>
      </c>
    </row>
    <row r="182" spans="1:18" x14ac:dyDescent="0.35">
      <c r="A182" s="3" t="s">
        <v>450</v>
      </c>
      <c r="B182" s="2">
        <v>45033</v>
      </c>
      <c r="C182" s="1" t="s">
        <v>451</v>
      </c>
      <c r="D182" s="1" t="s">
        <v>30</v>
      </c>
      <c r="E182" s="1" t="s">
        <v>248</v>
      </c>
      <c r="F182" s="1" t="s">
        <v>26</v>
      </c>
      <c r="G182" s="1" t="s">
        <v>20</v>
      </c>
      <c r="H182" s="1" t="s">
        <v>21</v>
      </c>
      <c r="I182" s="1">
        <v>6</v>
      </c>
      <c r="J182" s="1">
        <v>209.9</v>
      </c>
      <c r="K182" s="1">
        <v>5</v>
      </c>
      <c r="L182" s="1">
        <v>1196.43</v>
      </c>
      <c r="M182" s="1">
        <v>17.2</v>
      </c>
      <c r="N182" s="1">
        <v>486.56</v>
      </c>
      <c r="O182" s="6" t="s">
        <v>34</v>
      </c>
      <c r="P182" s="8">
        <f>Table1[Quantity]*Table1[Unit_Price]</f>
        <v>1259.4000000000001</v>
      </c>
      <c r="Q182" s="1">
        <f>Table1[Profit]/Table1[Total_Sales]</f>
        <v>0.40667652934145748</v>
      </c>
      <c r="R182" s="14">
        <f>Table1[Total_Sales]+Table1[Shipping_Cost]</f>
        <v>1213.6300000000001</v>
      </c>
    </row>
    <row r="183" spans="1:18" x14ac:dyDescent="0.35">
      <c r="A183" s="3" t="s">
        <v>452</v>
      </c>
      <c r="B183" s="2">
        <v>45034</v>
      </c>
      <c r="C183" s="1" t="s">
        <v>453</v>
      </c>
      <c r="D183" s="1" t="s">
        <v>17</v>
      </c>
      <c r="E183" s="1" t="s">
        <v>109</v>
      </c>
      <c r="F183" s="1" t="s">
        <v>54</v>
      </c>
      <c r="G183" s="1" t="s">
        <v>20</v>
      </c>
      <c r="H183" s="1" t="s">
        <v>21</v>
      </c>
      <c r="I183" s="1">
        <v>9</v>
      </c>
      <c r="J183" s="1">
        <v>67.709999999999994</v>
      </c>
      <c r="K183" s="1">
        <v>0</v>
      </c>
      <c r="L183" s="1">
        <v>609.39</v>
      </c>
      <c r="M183" s="1">
        <v>21.43</v>
      </c>
      <c r="N183" s="1">
        <v>252.8</v>
      </c>
      <c r="O183" s="6" t="s">
        <v>39</v>
      </c>
      <c r="P183" s="8">
        <f>Table1[Quantity]*Table1[Unit_Price]</f>
        <v>609.39</v>
      </c>
      <c r="Q183" s="1">
        <f>Table1[Profit]/Table1[Total_Sales]</f>
        <v>0.41484107057877551</v>
      </c>
      <c r="R183" s="14">
        <f>Table1[Total_Sales]+Table1[Shipping_Cost]</f>
        <v>630.81999999999994</v>
      </c>
    </row>
    <row r="184" spans="1:18" x14ac:dyDescent="0.35">
      <c r="A184" s="3" t="s">
        <v>454</v>
      </c>
      <c r="B184" s="2">
        <v>45035</v>
      </c>
      <c r="C184" s="1" t="s">
        <v>455</v>
      </c>
      <c r="D184" s="1" t="s">
        <v>30</v>
      </c>
      <c r="E184" s="1" t="s">
        <v>129</v>
      </c>
      <c r="F184" s="1" t="s">
        <v>19</v>
      </c>
      <c r="G184" s="1" t="s">
        <v>20</v>
      </c>
      <c r="H184" s="1" t="s">
        <v>199</v>
      </c>
      <c r="I184" s="1">
        <v>2</v>
      </c>
      <c r="J184" s="1">
        <v>171.32</v>
      </c>
      <c r="K184" s="1">
        <v>15</v>
      </c>
      <c r="L184" s="1">
        <v>291.24</v>
      </c>
      <c r="M184" s="1">
        <v>9.4600000000000009</v>
      </c>
      <c r="N184" s="1">
        <v>93.33</v>
      </c>
      <c r="O184" s="6" t="s">
        <v>34</v>
      </c>
      <c r="P184" s="8">
        <f>Table1[Quantity]*Table1[Unit_Price]</f>
        <v>342.64</v>
      </c>
      <c r="Q184" s="1">
        <f>Table1[Profit]/Table1[Total_Sales]</f>
        <v>0.32045735475896164</v>
      </c>
      <c r="R184" s="14">
        <f>Table1[Total_Sales]+Table1[Shipping_Cost]</f>
        <v>300.7</v>
      </c>
    </row>
    <row r="185" spans="1:18" x14ac:dyDescent="0.35">
      <c r="A185" s="3" t="s">
        <v>456</v>
      </c>
      <c r="B185" s="2">
        <v>45035</v>
      </c>
      <c r="C185" s="1" t="s">
        <v>457</v>
      </c>
      <c r="D185" s="1" t="s">
        <v>17</v>
      </c>
      <c r="E185" s="1" t="s">
        <v>18</v>
      </c>
      <c r="F185" s="1" t="s">
        <v>19</v>
      </c>
      <c r="G185" s="1" t="s">
        <v>20</v>
      </c>
      <c r="H185" s="1" t="s">
        <v>21</v>
      </c>
      <c r="I185" s="1">
        <v>3</v>
      </c>
      <c r="J185" s="1">
        <v>82.93</v>
      </c>
      <c r="K185" s="1">
        <v>20</v>
      </c>
      <c r="L185" s="1">
        <v>199.03</v>
      </c>
      <c r="M185" s="1">
        <v>12.36</v>
      </c>
      <c r="N185" s="1">
        <v>49.84</v>
      </c>
      <c r="O185" s="6" t="s">
        <v>39</v>
      </c>
      <c r="P185" s="8">
        <f>Table1[Quantity]*Table1[Unit_Price]</f>
        <v>248.79000000000002</v>
      </c>
      <c r="Q185" s="1">
        <f>Table1[Profit]/Table1[Total_Sales]</f>
        <v>0.25041451037532031</v>
      </c>
      <c r="R185" s="14">
        <f>Table1[Total_Sales]+Table1[Shipping_Cost]</f>
        <v>211.39</v>
      </c>
    </row>
    <row r="186" spans="1:18" x14ac:dyDescent="0.35">
      <c r="A186" s="3" t="s">
        <v>458</v>
      </c>
      <c r="B186" s="2">
        <v>45036</v>
      </c>
      <c r="C186" s="1" t="s">
        <v>459</v>
      </c>
      <c r="D186" s="1" t="s">
        <v>17</v>
      </c>
      <c r="E186" s="1" t="s">
        <v>85</v>
      </c>
      <c r="F186" s="1" t="s">
        <v>60</v>
      </c>
      <c r="G186" s="1" t="s">
        <v>20</v>
      </c>
      <c r="H186" s="1" t="s">
        <v>38</v>
      </c>
      <c r="I186" s="1">
        <v>4</v>
      </c>
      <c r="J186" s="1">
        <v>57.09</v>
      </c>
      <c r="K186" s="1">
        <v>15</v>
      </c>
      <c r="L186" s="1">
        <v>194.11</v>
      </c>
      <c r="M186" s="1">
        <v>11.38</v>
      </c>
      <c r="N186" s="1">
        <v>57.13</v>
      </c>
      <c r="O186" s="6" t="s">
        <v>34</v>
      </c>
      <c r="P186" s="8">
        <f>Table1[Quantity]*Table1[Unit_Price]</f>
        <v>228.36</v>
      </c>
      <c r="Q186" s="1">
        <f>Table1[Profit]/Table1[Total_Sales]</f>
        <v>0.29431765493792178</v>
      </c>
      <c r="R186" s="14">
        <f>Table1[Total_Sales]+Table1[Shipping_Cost]</f>
        <v>205.49</v>
      </c>
    </row>
    <row r="187" spans="1:18" x14ac:dyDescent="0.35">
      <c r="A187" s="3" t="s">
        <v>460</v>
      </c>
      <c r="B187" s="2">
        <v>45037</v>
      </c>
      <c r="C187" s="1" t="s">
        <v>461</v>
      </c>
      <c r="D187" s="1" t="s">
        <v>30</v>
      </c>
      <c r="E187" s="1" t="s">
        <v>148</v>
      </c>
      <c r="F187" s="1" t="s">
        <v>60</v>
      </c>
      <c r="G187" s="1" t="s">
        <v>69</v>
      </c>
      <c r="H187" s="1" t="s">
        <v>139</v>
      </c>
      <c r="I187" s="1">
        <v>1</v>
      </c>
      <c r="J187" s="1">
        <v>54.74</v>
      </c>
      <c r="K187" s="1">
        <v>0</v>
      </c>
      <c r="L187" s="1">
        <v>54.74</v>
      </c>
      <c r="M187" s="1">
        <v>10.89</v>
      </c>
      <c r="N187" s="1">
        <v>16.48</v>
      </c>
      <c r="O187" s="6" t="s">
        <v>34</v>
      </c>
      <c r="P187" s="8">
        <f>Table1[Quantity]*Table1[Unit_Price]</f>
        <v>54.74</v>
      </c>
      <c r="Q187" s="1">
        <f>Table1[Profit]/Table1[Total_Sales]</f>
        <v>0.30105955425648517</v>
      </c>
      <c r="R187" s="14">
        <f>Table1[Total_Sales]+Table1[Shipping_Cost]</f>
        <v>65.63</v>
      </c>
    </row>
    <row r="188" spans="1:18" x14ac:dyDescent="0.35">
      <c r="A188" s="3" t="s">
        <v>462</v>
      </c>
      <c r="B188" s="2">
        <v>45037</v>
      </c>
      <c r="C188" s="1" t="s">
        <v>463</v>
      </c>
      <c r="D188" s="1" t="s">
        <v>30</v>
      </c>
      <c r="E188" s="1" t="s">
        <v>135</v>
      </c>
      <c r="F188" s="1" t="s">
        <v>26</v>
      </c>
      <c r="G188" s="1" t="s">
        <v>42</v>
      </c>
      <c r="H188" s="1" t="s">
        <v>371</v>
      </c>
      <c r="I188" s="1">
        <v>10</v>
      </c>
      <c r="J188" s="1">
        <v>136.46</v>
      </c>
      <c r="K188" s="1">
        <v>15</v>
      </c>
      <c r="L188" s="1">
        <v>1159.9100000000001</v>
      </c>
      <c r="M188" s="1">
        <v>17.75</v>
      </c>
      <c r="N188" s="1">
        <v>323.39999999999998</v>
      </c>
      <c r="O188" s="6" t="s">
        <v>22</v>
      </c>
      <c r="P188" s="8">
        <f>Table1[Quantity]*Table1[Unit_Price]</f>
        <v>1364.6000000000001</v>
      </c>
      <c r="Q188" s="1">
        <f>Table1[Profit]/Table1[Total_Sales]</f>
        <v>0.27881473562603992</v>
      </c>
      <c r="R188" s="14">
        <f>Table1[Total_Sales]+Table1[Shipping_Cost]</f>
        <v>1177.6600000000001</v>
      </c>
    </row>
    <row r="189" spans="1:18" x14ac:dyDescent="0.35">
      <c r="A189" s="3" t="s">
        <v>464</v>
      </c>
      <c r="B189" s="2">
        <v>45037</v>
      </c>
      <c r="C189" s="1" t="s">
        <v>465</v>
      </c>
      <c r="D189" s="1" t="s">
        <v>30</v>
      </c>
      <c r="E189" s="1" t="s">
        <v>129</v>
      </c>
      <c r="F189" s="1" t="s">
        <v>19</v>
      </c>
      <c r="G189" s="1" t="s">
        <v>42</v>
      </c>
      <c r="H189" s="1" t="s">
        <v>89</v>
      </c>
      <c r="I189" s="1">
        <v>2</v>
      </c>
      <c r="J189" s="1">
        <v>308.79000000000002</v>
      </c>
      <c r="K189" s="1">
        <v>0</v>
      </c>
      <c r="L189" s="1">
        <v>617.58000000000004</v>
      </c>
      <c r="M189" s="1">
        <v>7.21</v>
      </c>
      <c r="N189" s="1">
        <v>239.82</v>
      </c>
      <c r="O189" s="6" t="s">
        <v>34</v>
      </c>
      <c r="P189" s="8">
        <f>Table1[Quantity]*Table1[Unit_Price]</f>
        <v>617.58000000000004</v>
      </c>
      <c r="Q189" s="1">
        <f>Table1[Profit]/Table1[Total_Sales]</f>
        <v>0.3883221606917322</v>
      </c>
      <c r="R189" s="14">
        <f>Table1[Total_Sales]+Table1[Shipping_Cost]</f>
        <v>624.79000000000008</v>
      </c>
    </row>
    <row r="190" spans="1:18" x14ac:dyDescent="0.35">
      <c r="A190" s="3" t="s">
        <v>466</v>
      </c>
      <c r="B190" s="2">
        <v>45038</v>
      </c>
      <c r="C190" s="1" t="s">
        <v>467</v>
      </c>
      <c r="D190" s="1" t="s">
        <v>17</v>
      </c>
      <c r="E190" s="1" t="s">
        <v>138</v>
      </c>
      <c r="F190" s="1" t="s">
        <v>54</v>
      </c>
      <c r="G190" s="1" t="s">
        <v>42</v>
      </c>
      <c r="H190" s="1" t="s">
        <v>46</v>
      </c>
      <c r="I190" s="1">
        <v>3</v>
      </c>
      <c r="J190" s="1">
        <v>180.81</v>
      </c>
      <c r="K190" s="1">
        <v>20</v>
      </c>
      <c r="L190" s="1">
        <v>433.94</v>
      </c>
      <c r="M190" s="1">
        <v>18.2</v>
      </c>
      <c r="N190" s="1">
        <v>90.28</v>
      </c>
      <c r="O190" s="6" t="s">
        <v>39</v>
      </c>
      <c r="P190" s="8">
        <f>Table1[Quantity]*Table1[Unit_Price]</f>
        <v>542.43000000000006</v>
      </c>
      <c r="Q190" s="1">
        <f>Table1[Profit]/Table1[Total_Sales]</f>
        <v>0.20804719546481082</v>
      </c>
      <c r="R190" s="14">
        <f>Table1[Total_Sales]+Table1[Shipping_Cost]</f>
        <v>452.14</v>
      </c>
    </row>
    <row r="191" spans="1:18" x14ac:dyDescent="0.35">
      <c r="A191" s="3" t="s">
        <v>468</v>
      </c>
      <c r="B191" s="2">
        <v>45039</v>
      </c>
      <c r="C191" s="1" t="s">
        <v>469</v>
      </c>
      <c r="D191" s="1" t="s">
        <v>17</v>
      </c>
      <c r="E191" s="1" t="s">
        <v>166</v>
      </c>
      <c r="F191" s="1" t="s">
        <v>60</v>
      </c>
      <c r="G191" s="1" t="s">
        <v>42</v>
      </c>
      <c r="H191" s="1" t="s">
        <v>255</v>
      </c>
      <c r="I191" s="1">
        <v>1</v>
      </c>
      <c r="J191" s="1">
        <v>54.96</v>
      </c>
      <c r="K191" s="1">
        <v>10</v>
      </c>
      <c r="L191" s="1">
        <v>49.46</v>
      </c>
      <c r="M191" s="1">
        <v>10.74</v>
      </c>
      <c r="N191" s="1">
        <v>5.74</v>
      </c>
      <c r="O191" s="6" t="s">
        <v>34</v>
      </c>
      <c r="P191" s="8">
        <f>Table1[Quantity]*Table1[Unit_Price]</f>
        <v>54.96</v>
      </c>
      <c r="Q191" s="1">
        <f>Table1[Profit]/Table1[Total_Sales]</f>
        <v>0.11605337646583097</v>
      </c>
      <c r="R191" s="14">
        <f>Table1[Total_Sales]+Table1[Shipping_Cost]</f>
        <v>60.2</v>
      </c>
    </row>
    <row r="192" spans="1:18" x14ac:dyDescent="0.35">
      <c r="A192" s="3" t="s">
        <v>470</v>
      </c>
      <c r="B192" s="2">
        <v>45040</v>
      </c>
      <c r="C192" s="1" t="s">
        <v>471</v>
      </c>
      <c r="D192" s="1" t="s">
        <v>49</v>
      </c>
      <c r="E192" s="1" t="s">
        <v>135</v>
      </c>
      <c r="F192" s="1" t="s">
        <v>26</v>
      </c>
      <c r="G192" s="1" t="s">
        <v>42</v>
      </c>
      <c r="H192" s="1" t="s">
        <v>371</v>
      </c>
      <c r="I192" s="1">
        <v>1</v>
      </c>
      <c r="J192" s="1">
        <v>137.26</v>
      </c>
      <c r="K192" s="1">
        <v>10</v>
      </c>
      <c r="L192" s="1">
        <v>123.53</v>
      </c>
      <c r="M192" s="1">
        <v>8.4700000000000006</v>
      </c>
      <c r="N192" s="1">
        <v>32.700000000000003</v>
      </c>
      <c r="O192" s="6" t="s">
        <v>39</v>
      </c>
      <c r="P192" s="8">
        <f>Table1[Quantity]*Table1[Unit_Price]</f>
        <v>137.26</v>
      </c>
      <c r="Q192" s="1">
        <f>Table1[Profit]/Table1[Total_Sales]</f>
        <v>0.26471302517607059</v>
      </c>
      <c r="R192" s="14">
        <f>Table1[Total_Sales]+Table1[Shipping_Cost]</f>
        <v>132</v>
      </c>
    </row>
    <row r="193" spans="1:18" x14ac:dyDescent="0.35">
      <c r="A193" s="3" t="s">
        <v>472</v>
      </c>
      <c r="B193" s="2">
        <v>45041</v>
      </c>
      <c r="C193" s="1" t="s">
        <v>473</v>
      </c>
      <c r="D193" s="1" t="s">
        <v>17</v>
      </c>
      <c r="E193" s="1" t="s">
        <v>85</v>
      </c>
      <c r="F193" s="1" t="s">
        <v>60</v>
      </c>
      <c r="G193" s="1" t="s">
        <v>69</v>
      </c>
      <c r="H193" s="1" t="s">
        <v>98</v>
      </c>
      <c r="I193" s="1">
        <v>6</v>
      </c>
      <c r="J193" s="1">
        <v>30.66</v>
      </c>
      <c r="K193" s="1">
        <v>10</v>
      </c>
      <c r="L193" s="1">
        <v>165.56</v>
      </c>
      <c r="M193" s="1">
        <v>22.41</v>
      </c>
      <c r="N193" s="1">
        <v>51.17</v>
      </c>
      <c r="O193" s="6" t="s">
        <v>22</v>
      </c>
      <c r="P193" s="8">
        <f>Table1[Quantity]*Table1[Unit_Price]</f>
        <v>183.96</v>
      </c>
      <c r="Q193" s="1">
        <f>Table1[Profit]/Table1[Total_Sales]</f>
        <v>0.30907223967141823</v>
      </c>
      <c r="R193" s="14">
        <f>Table1[Total_Sales]+Table1[Shipping_Cost]</f>
        <v>187.97</v>
      </c>
    </row>
    <row r="194" spans="1:18" x14ac:dyDescent="0.35">
      <c r="A194" s="3" t="s">
        <v>474</v>
      </c>
      <c r="B194" s="2">
        <v>45041</v>
      </c>
      <c r="C194" s="1" t="s">
        <v>475</v>
      </c>
      <c r="D194" s="1" t="s">
        <v>30</v>
      </c>
      <c r="E194" s="1" t="s">
        <v>59</v>
      </c>
      <c r="F194" s="1" t="s">
        <v>60</v>
      </c>
      <c r="G194" s="1" t="s">
        <v>69</v>
      </c>
      <c r="H194" s="1" t="s">
        <v>243</v>
      </c>
      <c r="I194" s="1">
        <v>1</v>
      </c>
      <c r="J194" s="1">
        <v>46.16</v>
      </c>
      <c r="K194" s="1">
        <v>5</v>
      </c>
      <c r="L194" s="1">
        <v>43.85</v>
      </c>
      <c r="M194" s="1">
        <v>11.08</v>
      </c>
      <c r="N194" s="1">
        <v>9.69</v>
      </c>
      <c r="O194" s="6" t="s">
        <v>34</v>
      </c>
      <c r="P194" s="8">
        <f>Table1[Quantity]*Table1[Unit_Price]</f>
        <v>46.16</v>
      </c>
      <c r="Q194" s="1">
        <f>Table1[Profit]/Table1[Total_Sales]</f>
        <v>0.22098061573546179</v>
      </c>
      <c r="R194" s="14">
        <f>Table1[Total_Sales]+Table1[Shipping_Cost]</f>
        <v>54.93</v>
      </c>
    </row>
    <row r="195" spans="1:18" x14ac:dyDescent="0.35">
      <c r="A195" s="3" t="s">
        <v>476</v>
      </c>
      <c r="B195" s="2">
        <v>45041</v>
      </c>
      <c r="C195" s="1" t="s">
        <v>477</v>
      </c>
      <c r="D195" s="1" t="s">
        <v>30</v>
      </c>
      <c r="E195" s="1" t="s">
        <v>135</v>
      </c>
      <c r="F195" s="1" t="s">
        <v>26</v>
      </c>
      <c r="G195" s="1" t="s">
        <v>69</v>
      </c>
      <c r="H195" s="1" t="s">
        <v>139</v>
      </c>
      <c r="I195" s="1">
        <v>4</v>
      </c>
      <c r="J195" s="1">
        <v>45.58</v>
      </c>
      <c r="K195" s="1">
        <v>5</v>
      </c>
      <c r="L195" s="1">
        <v>173.2</v>
      </c>
      <c r="M195" s="1">
        <v>12.2</v>
      </c>
      <c r="N195" s="1">
        <v>69.84</v>
      </c>
      <c r="O195" s="6" t="s">
        <v>56</v>
      </c>
      <c r="P195" s="8">
        <f>Table1[Quantity]*Table1[Unit_Price]</f>
        <v>182.32</v>
      </c>
      <c r="Q195" s="1">
        <f>Table1[Profit]/Table1[Total_Sales]</f>
        <v>0.40323325635103929</v>
      </c>
      <c r="R195" s="14">
        <f>Table1[Total_Sales]+Table1[Shipping_Cost]</f>
        <v>185.39999999999998</v>
      </c>
    </row>
    <row r="196" spans="1:18" x14ac:dyDescent="0.35">
      <c r="A196" s="3" t="s">
        <v>478</v>
      </c>
      <c r="B196" s="2">
        <v>45042</v>
      </c>
      <c r="C196" s="1" t="s">
        <v>479</v>
      </c>
      <c r="D196" s="1" t="s">
        <v>30</v>
      </c>
      <c r="E196" s="1" t="s">
        <v>166</v>
      </c>
      <c r="F196" s="1" t="s">
        <v>60</v>
      </c>
      <c r="G196" s="1" t="s">
        <v>42</v>
      </c>
      <c r="H196" s="1" t="s">
        <v>43</v>
      </c>
      <c r="I196" s="1">
        <v>2</v>
      </c>
      <c r="J196" s="1">
        <v>177.6</v>
      </c>
      <c r="K196" s="1">
        <v>0</v>
      </c>
      <c r="L196" s="1">
        <v>355.2</v>
      </c>
      <c r="M196" s="1">
        <v>13.33</v>
      </c>
      <c r="N196" s="1">
        <v>128.75</v>
      </c>
      <c r="O196" s="6" t="s">
        <v>34</v>
      </c>
      <c r="P196" s="8">
        <f>Table1[Quantity]*Table1[Unit_Price]</f>
        <v>355.2</v>
      </c>
      <c r="Q196" s="1">
        <f>Table1[Profit]/Table1[Total_Sales]</f>
        <v>0.36247184684684686</v>
      </c>
      <c r="R196" s="14">
        <f>Table1[Total_Sales]+Table1[Shipping_Cost]</f>
        <v>368.53</v>
      </c>
    </row>
    <row r="197" spans="1:18" x14ac:dyDescent="0.35">
      <c r="A197" s="3" t="s">
        <v>480</v>
      </c>
      <c r="B197" s="2">
        <v>45042</v>
      </c>
      <c r="C197" s="1" t="s">
        <v>481</v>
      </c>
      <c r="D197" s="1" t="s">
        <v>30</v>
      </c>
      <c r="E197" s="1" t="s">
        <v>31</v>
      </c>
      <c r="F197" s="1" t="s">
        <v>19</v>
      </c>
      <c r="G197" s="1" t="s">
        <v>42</v>
      </c>
      <c r="H197" s="1" t="s">
        <v>46</v>
      </c>
      <c r="I197" s="1">
        <v>3</v>
      </c>
      <c r="J197" s="1">
        <v>192.55</v>
      </c>
      <c r="K197" s="1">
        <v>0</v>
      </c>
      <c r="L197" s="1">
        <v>577.65</v>
      </c>
      <c r="M197" s="1">
        <v>10.26</v>
      </c>
      <c r="N197" s="1">
        <v>220.8</v>
      </c>
      <c r="O197" s="6" t="s">
        <v>34</v>
      </c>
      <c r="P197" s="8">
        <f>Table1[Quantity]*Table1[Unit_Price]</f>
        <v>577.65000000000009</v>
      </c>
      <c r="Q197" s="1">
        <f>Table1[Profit]/Table1[Total_Sales]</f>
        <v>0.38223837964165153</v>
      </c>
      <c r="R197" s="14">
        <f>Table1[Total_Sales]+Table1[Shipping_Cost]</f>
        <v>587.91</v>
      </c>
    </row>
    <row r="198" spans="1:18" x14ac:dyDescent="0.35">
      <c r="A198" s="3" t="s">
        <v>482</v>
      </c>
      <c r="B198" s="2">
        <v>45045</v>
      </c>
      <c r="C198" s="1" t="s">
        <v>483</v>
      </c>
      <c r="D198" s="1" t="s">
        <v>30</v>
      </c>
      <c r="E198" s="1" t="s">
        <v>59</v>
      </c>
      <c r="F198" s="1" t="s">
        <v>60</v>
      </c>
      <c r="G198" s="1" t="s">
        <v>20</v>
      </c>
      <c r="H198" s="1" t="s">
        <v>175</v>
      </c>
      <c r="I198" s="1">
        <v>1</v>
      </c>
      <c r="J198" s="1">
        <v>17.84</v>
      </c>
      <c r="K198" s="1">
        <v>5</v>
      </c>
      <c r="L198" s="1">
        <v>16.95</v>
      </c>
      <c r="M198" s="1">
        <v>11.04</v>
      </c>
      <c r="N198" s="1">
        <v>-3.9</v>
      </c>
      <c r="O198" s="6" t="s">
        <v>34</v>
      </c>
      <c r="P198" s="8">
        <f>Table1[Quantity]*Table1[Unit_Price]</f>
        <v>17.84</v>
      </c>
      <c r="Q198" s="1">
        <f>Table1[Profit]/Table1[Total_Sales]</f>
        <v>-0.23008849557522124</v>
      </c>
      <c r="R198" s="14">
        <f>Table1[Total_Sales]+Table1[Shipping_Cost]</f>
        <v>27.99</v>
      </c>
    </row>
    <row r="199" spans="1:18" x14ac:dyDescent="0.35">
      <c r="A199" s="3" t="s">
        <v>484</v>
      </c>
      <c r="B199" s="2">
        <v>45046</v>
      </c>
      <c r="C199" s="1" t="s">
        <v>485</v>
      </c>
      <c r="D199" s="1" t="s">
        <v>17</v>
      </c>
      <c r="E199" s="1" t="s">
        <v>92</v>
      </c>
      <c r="F199" s="1" t="s">
        <v>60</v>
      </c>
      <c r="G199" s="1" t="s">
        <v>32</v>
      </c>
      <c r="H199" s="1" t="s">
        <v>149</v>
      </c>
      <c r="I199" s="1">
        <v>4</v>
      </c>
      <c r="J199" s="1">
        <v>8.59</v>
      </c>
      <c r="K199" s="1">
        <v>5</v>
      </c>
      <c r="L199" s="1">
        <v>32.64</v>
      </c>
      <c r="M199" s="1">
        <v>11.51</v>
      </c>
      <c r="N199" s="1">
        <v>5.67</v>
      </c>
      <c r="O199" s="6" t="s">
        <v>34</v>
      </c>
      <c r="P199" s="8">
        <f>Table1[Quantity]*Table1[Unit_Price]</f>
        <v>34.36</v>
      </c>
      <c r="Q199" s="1">
        <f>Table1[Profit]/Table1[Total_Sales]</f>
        <v>0.17371323529411764</v>
      </c>
      <c r="R199" s="14">
        <f>Table1[Total_Sales]+Table1[Shipping_Cost]</f>
        <v>44.15</v>
      </c>
    </row>
    <row r="200" spans="1:18" x14ac:dyDescent="0.35">
      <c r="A200" s="3" t="s">
        <v>486</v>
      </c>
      <c r="B200" s="2">
        <v>45047</v>
      </c>
      <c r="C200" s="1" t="s">
        <v>487</v>
      </c>
      <c r="D200" s="1" t="s">
        <v>30</v>
      </c>
      <c r="E200" s="1" t="s">
        <v>129</v>
      </c>
      <c r="F200" s="1" t="s">
        <v>19</v>
      </c>
      <c r="G200" s="1" t="s">
        <v>20</v>
      </c>
      <c r="H200" s="1" t="s">
        <v>175</v>
      </c>
      <c r="I200" s="1">
        <v>1</v>
      </c>
      <c r="J200" s="1">
        <v>29.87</v>
      </c>
      <c r="K200" s="1">
        <v>0</v>
      </c>
      <c r="L200" s="1">
        <v>29.87</v>
      </c>
      <c r="M200" s="1">
        <v>6.43</v>
      </c>
      <c r="N200" s="1">
        <v>7.01</v>
      </c>
      <c r="O200" s="6" t="s">
        <v>56</v>
      </c>
      <c r="P200" s="8">
        <f>Table1[Quantity]*Table1[Unit_Price]</f>
        <v>29.87</v>
      </c>
      <c r="Q200" s="1">
        <f>Table1[Profit]/Table1[Total_Sales]</f>
        <v>0.23468362905925677</v>
      </c>
      <c r="R200" s="14">
        <f>Table1[Total_Sales]+Table1[Shipping_Cost]</f>
        <v>36.299999999999997</v>
      </c>
    </row>
    <row r="201" spans="1:18" x14ac:dyDescent="0.35">
      <c r="A201" s="3" t="s">
        <v>488</v>
      </c>
      <c r="B201" s="2">
        <v>45048</v>
      </c>
      <c r="C201" s="1" t="s">
        <v>489</v>
      </c>
      <c r="D201" s="1" t="s">
        <v>17</v>
      </c>
      <c r="E201" s="1" t="s">
        <v>59</v>
      </c>
      <c r="F201" s="1" t="s">
        <v>60</v>
      </c>
      <c r="G201" s="1" t="s">
        <v>32</v>
      </c>
      <c r="H201" s="1" t="s">
        <v>82</v>
      </c>
      <c r="I201" s="1">
        <v>3</v>
      </c>
      <c r="J201" s="1">
        <v>12.78</v>
      </c>
      <c r="K201" s="1">
        <v>5</v>
      </c>
      <c r="L201" s="1">
        <v>36.42</v>
      </c>
      <c r="M201" s="1">
        <v>14.72</v>
      </c>
      <c r="N201" s="1">
        <v>4.45</v>
      </c>
      <c r="O201" s="6" t="s">
        <v>34</v>
      </c>
      <c r="P201" s="8">
        <f>Table1[Quantity]*Table1[Unit_Price]</f>
        <v>38.339999999999996</v>
      </c>
      <c r="Q201" s="1">
        <f>Table1[Profit]/Table1[Total_Sales]</f>
        <v>0.12218561230093355</v>
      </c>
      <c r="R201" s="14">
        <f>Table1[Total_Sales]+Table1[Shipping_Cost]</f>
        <v>51.14</v>
      </c>
    </row>
    <row r="202" spans="1:18" x14ac:dyDescent="0.35">
      <c r="A202" s="3" t="s">
        <v>490</v>
      </c>
      <c r="B202" s="2">
        <v>45049</v>
      </c>
      <c r="C202" s="1" t="s">
        <v>491</v>
      </c>
      <c r="D202" s="1" t="s">
        <v>30</v>
      </c>
      <c r="E202" s="1" t="s">
        <v>31</v>
      </c>
      <c r="F202" s="1" t="s">
        <v>19</v>
      </c>
      <c r="G202" s="1" t="s">
        <v>20</v>
      </c>
      <c r="H202" s="1" t="s">
        <v>55</v>
      </c>
      <c r="I202" s="1">
        <v>3</v>
      </c>
      <c r="J202" s="1">
        <v>71.84</v>
      </c>
      <c r="K202" s="1">
        <v>0</v>
      </c>
      <c r="L202" s="1">
        <v>215.52</v>
      </c>
      <c r="M202" s="1">
        <v>8.56</v>
      </c>
      <c r="N202" s="1">
        <v>88.42</v>
      </c>
      <c r="O202" s="6" t="s">
        <v>22</v>
      </c>
      <c r="P202" s="8">
        <f>Table1[Quantity]*Table1[Unit_Price]</f>
        <v>215.52</v>
      </c>
      <c r="Q202" s="1">
        <f>Table1[Profit]/Table1[Total_Sales]</f>
        <v>0.41026354862657755</v>
      </c>
      <c r="R202" s="14">
        <f>Table1[Total_Sales]+Table1[Shipping_Cost]</f>
        <v>224.08</v>
      </c>
    </row>
    <row r="203" spans="1:18" x14ac:dyDescent="0.35">
      <c r="A203" s="3" t="s">
        <v>492</v>
      </c>
      <c r="B203" s="2">
        <v>45050</v>
      </c>
      <c r="C203" s="1" t="s">
        <v>95</v>
      </c>
      <c r="D203" s="1" t="s">
        <v>49</v>
      </c>
      <c r="E203" s="1" t="s">
        <v>148</v>
      </c>
      <c r="F203" s="1" t="s">
        <v>60</v>
      </c>
      <c r="G203" s="1" t="s">
        <v>32</v>
      </c>
      <c r="H203" s="1" t="s">
        <v>101</v>
      </c>
      <c r="I203" s="1">
        <v>2</v>
      </c>
      <c r="J203" s="1">
        <v>6.24</v>
      </c>
      <c r="K203" s="1">
        <v>20</v>
      </c>
      <c r="L203" s="1">
        <v>9.98</v>
      </c>
      <c r="M203" s="1">
        <v>13.23</v>
      </c>
      <c r="N203" s="1">
        <v>-8.8699999999999992</v>
      </c>
      <c r="O203" s="6" t="s">
        <v>34</v>
      </c>
      <c r="P203" s="8">
        <f>Table1[Quantity]*Table1[Unit_Price]</f>
        <v>12.48</v>
      </c>
      <c r="Q203" s="1">
        <f>Table1[Profit]/Table1[Total_Sales]</f>
        <v>-0.88877755511022027</v>
      </c>
      <c r="R203" s="14">
        <f>Table1[Total_Sales]+Table1[Shipping_Cost]</f>
        <v>23.21</v>
      </c>
    </row>
    <row r="204" spans="1:18" x14ac:dyDescent="0.35">
      <c r="A204" s="3" t="s">
        <v>493</v>
      </c>
      <c r="B204" s="2">
        <v>45051</v>
      </c>
      <c r="C204" s="1" t="s">
        <v>494</v>
      </c>
      <c r="D204" s="1" t="s">
        <v>49</v>
      </c>
      <c r="E204" s="1" t="s">
        <v>31</v>
      </c>
      <c r="F204" s="1" t="s">
        <v>19</v>
      </c>
      <c r="G204" s="1" t="s">
        <v>32</v>
      </c>
      <c r="H204" s="1" t="s">
        <v>110</v>
      </c>
      <c r="I204" s="1">
        <v>2</v>
      </c>
      <c r="J204" s="1">
        <v>12.15</v>
      </c>
      <c r="K204" s="1">
        <v>10</v>
      </c>
      <c r="L204" s="1">
        <v>21.87</v>
      </c>
      <c r="M204" s="1">
        <v>9.48</v>
      </c>
      <c r="N204" s="1">
        <v>1.46</v>
      </c>
      <c r="O204" s="6" t="s">
        <v>22</v>
      </c>
      <c r="P204" s="8">
        <f>Table1[Quantity]*Table1[Unit_Price]</f>
        <v>24.3</v>
      </c>
      <c r="Q204" s="1">
        <f>Table1[Profit]/Table1[Total_Sales]</f>
        <v>6.6758116140832185E-2</v>
      </c>
      <c r="R204" s="14">
        <f>Table1[Total_Sales]+Table1[Shipping_Cost]</f>
        <v>31.35</v>
      </c>
    </row>
    <row r="205" spans="1:18" x14ac:dyDescent="0.35">
      <c r="A205" s="3" t="s">
        <v>495</v>
      </c>
      <c r="B205" s="2">
        <v>45051</v>
      </c>
      <c r="C205" s="1" t="s">
        <v>496</v>
      </c>
      <c r="D205" s="1" t="s">
        <v>30</v>
      </c>
      <c r="E205" s="1" t="s">
        <v>59</v>
      </c>
      <c r="F205" s="1" t="s">
        <v>60</v>
      </c>
      <c r="G205" s="1" t="s">
        <v>69</v>
      </c>
      <c r="H205" s="1" t="s">
        <v>139</v>
      </c>
      <c r="I205" s="1">
        <v>1</v>
      </c>
      <c r="J205" s="1">
        <v>88.39</v>
      </c>
      <c r="K205" s="1">
        <v>15</v>
      </c>
      <c r="L205" s="1">
        <v>75.13</v>
      </c>
      <c r="M205" s="1">
        <v>11.2</v>
      </c>
      <c r="N205" s="1">
        <v>19.73</v>
      </c>
      <c r="O205" s="6" t="s">
        <v>39</v>
      </c>
      <c r="P205" s="8">
        <f>Table1[Quantity]*Table1[Unit_Price]</f>
        <v>88.39</v>
      </c>
      <c r="Q205" s="1">
        <f>Table1[Profit]/Table1[Total_Sales]</f>
        <v>0.26261147344602692</v>
      </c>
      <c r="R205" s="14">
        <f>Table1[Total_Sales]+Table1[Shipping_Cost]</f>
        <v>86.33</v>
      </c>
    </row>
    <row r="206" spans="1:18" x14ac:dyDescent="0.35">
      <c r="A206" s="3" t="s">
        <v>497</v>
      </c>
      <c r="B206" s="2">
        <v>45052</v>
      </c>
      <c r="C206" s="1" t="s">
        <v>498</v>
      </c>
      <c r="D206" s="1" t="s">
        <v>30</v>
      </c>
      <c r="E206" s="1" t="s">
        <v>85</v>
      </c>
      <c r="F206" s="1" t="s">
        <v>60</v>
      </c>
      <c r="G206" s="1" t="s">
        <v>20</v>
      </c>
      <c r="H206" s="1" t="s">
        <v>21</v>
      </c>
      <c r="I206" s="1">
        <v>5</v>
      </c>
      <c r="J206" s="1">
        <v>181.39</v>
      </c>
      <c r="K206" s="1">
        <v>0</v>
      </c>
      <c r="L206" s="1">
        <v>906.95</v>
      </c>
      <c r="M206" s="1">
        <v>13.61</v>
      </c>
      <c r="N206" s="1">
        <v>394.52</v>
      </c>
      <c r="O206" s="6" t="s">
        <v>56</v>
      </c>
      <c r="P206" s="8">
        <f>Table1[Quantity]*Table1[Unit_Price]</f>
        <v>906.94999999999993</v>
      </c>
      <c r="Q206" s="1">
        <f>Table1[Profit]/Table1[Total_Sales]</f>
        <v>0.43499641656100113</v>
      </c>
      <c r="R206" s="14">
        <f>Table1[Total_Sales]+Table1[Shipping_Cost]</f>
        <v>920.56000000000006</v>
      </c>
    </row>
    <row r="207" spans="1:18" x14ac:dyDescent="0.35">
      <c r="A207" s="3" t="s">
        <v>499</v>
      </c>
      <c r="B207" s="2">
        <v>45052</v>
      </c>
      <c r="C207" s="1" t="s">
        <v>500</v>
      </c>
      <c r="D207" s="1" t="s">
        <v>30</v>
      </c>
      <c r="E207" s="1" t="s">
        <v>31</v>
      </c>
      <c r="F207" s="1" t="s">
        <v>19</v>
      </c>
      <c r="G207" s="1" t="s">
        <v>32</v>
      </c>
      <c r="H207" s="1" t="s">
        <v>132</v>
      </c>
      <c r="I207" s="1">
        <v>1</v>
      </c>
      <c r="J207" s="1">
        <v>16.13</v>
      </c>
      <c r="K207" s="1">
        <v>15</v>
      </c>
      <c r="L207" s="1">
        <v>13.71</v>
      </c>
      <c r="M207" s="1">
        <v>6.12</v>
      </c>
      <c r="N207" s="1">
        <v>0.33</v>
      </c>
      <c r="O207" s="6" t="s">
        <v>22</v>
      </c>
      <c r="P207" s="8">
        <f>Table1[Quantity]*Table1[Unit_Price]</f>
        <v>16.13</v>
      </c>
      <c r="Q207" s="1">
        <f>Table1[Profit]/Table1[Total_Sales]</f>
        <v>2.4070021881838075E-2</v>
      </c>
      <c r="R207" s="14">
        <f>Table1[Total_Sales]+Table1[Shipping_Cost]</f>
        <v>19.830000000000002</v>
      </c>
    </row>
    <row r="208" spans="1:18" x14ac:dyDescent="0.35">
      <c r="A208" s="3" t="s">
        <v>501</v>
      </c>
      <c r="B208" s="2">
        <v>45052</v>
      </c>
      <c r="C208" s="1" t="s">
        <v>502</v>
      </c>
      <c r="D208" s="1" t="s">
        <v>30</v>
      </c>
      <c r="E208" s="1" t="s">
        <v>129</v>
      </c>
      <c r="F208" s="1" t="s">
        <v>19</v>
      </c>
      <c r="G208" s="1" t="s">
        <v>20</v>
      </c>
      <c r="H208" s="1" t="s">
        <v>55</v>
      </c>
      <c r="I208" s="1">
        <v>2</v>
      </c>
      <c r="J208" s="1">
        <v>44.17</v>
      </c>
      <c r="K208" s="1">
        <v>5</v>
      </c>
      <c r="L208" s="1">
        <v>83.92</v>
      </c>
      <c r="M208" s="1">
        <v>6.3</v>
      </c>
      <c r="N208" s="1">
        <v>29.03</v>
      </c>
      <c r="O208" s="6" t="s">
        <v>34</v>
      </c>
      <c r="P208" s="8">
        <f>Table1[Quantity]*Table1[Unit_Price]</f>
        <v>88.34</v>
      </c>
      <c r="Q208" s="1">
        <f>Table1[Profit]/Table1[Total_Sales]</f>
        <v>0.34592469018112487</v>
      </c>
      <c r="R208" s="14">
        <f>Table1[Total_Sales]+Table1[Shipping_Cost]</f>
        <v>90.22</v>
      </c>
    </row>
    <row r="209" spans="1:18" x14ac:dyDescent="0.35">
      <c r="A209" s="3" t="s">
        <v>503</v>
      </c>
      <c r="B209" s="2">
        <v>45054</v>
      </c>
      <c r="C209" s="1" t="s">
        <v>504</v>
      </c>
      <c r="D209" s="1" t="s">
        <v>17</v>
      </c>
      <c r="E209" s="1" t="s">
        <v>92</v>
      </c>
      <c r="F209" s="1" t="s">
        <v>60</v>
      </c>
      <c r="G209" s="1" t="s">
        <v>32</v>
      </c>
      <c r="H209" s="1" t="s">
        <v>82</v>
      </c>
      <c r="I209" s="1">
        <v>2</v>
      </c>
      <c r="J209" s="1">
        <v>11.52</v>
      </c>
      <c r="K209" s="1">
        <v>15</v>
      </c>
      <c r="L209" s="1">
        <v>19.579999999999998</v>
      </c>
      <c r="M209" s="1">
        <v>12.1</v>
      </c>
      <c r="N209" s="1">
        <v>-2.89</v>
      </c>
      <c r="O209" s="6" t="s">
        <v>34</v>
      </c>
      <c r="P209" s="8">
        <f>Table1[Quantity]*Table1[Unit_Price]</f>
        <v>23.04</v>
      </c>
      <c r="Q209" s="1">
        <f>Table1[Profit]/Table1[Total_Sales]</f>
        <v>-0.14759959141981616</v>
      </c>
      <c r="R209" s="14">
        <f>Table1[Total_Sales]+Table1[Shipping_Cost]</f>
        <v>31.68</v>
      </c>
    </row>
    <row r="210" spans="1:18" x14ac:dyDescent="0.35">
      <c r="A210" s="3" t="s">
        <v>505</v>
      </c>
      <c r="B210" s="2">
        <v>45056</v>
      </c>
      <c r="C210" s="1" t="s">
        <v>506</v>
      </c>
      <c r="D210" s="1" t="s">
        <v>17</v>
      </c>
      <c r="E210" s="1" t="s">
        <v>248</v>
      </c>
      <c r="F210" s="1" t="s">
        <v>26</v>
      </c>
      <c r="G210" s="1" t="s">
        <v>32</v>
      </c>
      <c r="H210" s="1" t="s">
        <v>82</v>
      </c>
      <c r="I210" s="1">
        <v>3</v>
      </c>
      <c r="J210" s="1">
        <v>11.58</v>
      </c>
      <c r="K210" s="1">
        <v>30</v>
      </c>
      <c r="L210" s="1">
        <v>24.32</v>
      </c>
      <c r="M210" s="1">
        <v>13.53</v>
      </c>
      <c r="N210" s="1">
        <v>-4.84</v>
      </c>
      <c r="O210" s="6" t="s">
        <v>34</v>
      </c>
      <c r="P210" s="8">
        <f>Table1[Quantity]*Table1[Unit_Price]</f>
        <v>34.74</v>
      </c>
      <c r="Q210" s="1">
        <f>Table1[Profit]/Table1[Total_Sales]</f>
        <v>-0.19901315789473684</v>
      </c>
      <c r="R210" s="14">
        <f>Table1[Total_Sales]+Table1[Shipping_Cost]</f>
        <v>37.85</v>
      </c>
    </row>
    <row r="211" spans="1:18" x14ac:dyDescent="0.35">
      <c r="A211" s="3" t="s">
        <v>507</v>
      </c>
      <c r="B211" s="2">
        <v>45057</v>
      </c>
      <c r="C211" s="1" t="s">
        <v>508</v>
      </c>
      <c r="D211" s="1" t="s">
        <v>17</v>
      </c>
      <c r="E211" s="1" t="s">
        <v>135</v>
      </c>
      <c r="F211" s="1" t="s">
        <v>26</v>
      </c>
      <c r="G211" s="1" t="s">
        <v>69</v>
      </c>
      <c r="H211" s="1" t="s">
        <v>163</v>
      </c>
      <c r="I211" s="1">
        <v>3</v>
      </c>
      <c r="J211" s="1">
        <v>25.71</v>
      </c>
      <c r="K211" s="1">
        <v>15</v>
      </c>
      <c r="L211" s="1">
        <v>65.56</v>
      </c>
      <c r="M211" s="1">
        <v>8.8800000000000008</v>
      </c>
      <c r="N211" s="1">
        <v>18.12</v>
      </c>
      <c r="O211" s="6" t="s">
        <v>34</v>
      </c>
      <c r="P211" s="8">
        <f>Table1[Quantity]*Table1[Unit_Price]</f>
        <v>77.13</v>
      </c>
      <c r="Q211" s="1">
        <f>Table1[Profit]/Table1[Total_Sales]</f>
        <v>0.27638804148871265</v>
      </c>
      <c r="R211" s="14">
        <f>Table1[Total_Sales]+Table1[Shipping_Cost]</f>
        <v>74.44</v>
      </c>
    </row>
    <row r="212" spans="1:18" x14ac:dyDescent="0.35">
      <c r="A212" s="3" t="s">
        <v>509</v>
      </c>
      <c r="B212" s="2">
        <v>45057</v>
      </c>
      <c r="C212" s="1" t="s">
        <v>510</v>
      </c>
      <c r="D212" s="1" t="s">
        <v>30</v>
      </c>
      <c r="E212" s="1" t="s">
        <v>129</v>
      </c>
      <c r="F212" s="1" t="s">
        <v>19</v>
      </c>
      <c r="G212" s="1" t="s">
        <v>20</v>
      </c>
      <c r="H212" s="1" t="s">
        <v>170</v>
      </c>
      <c r="I212" s="1">
        <v>3</v>
      </c>
      <c r="J212" s="1">
        <v>47.53</v>
      </c>
      <c r="K212" s="1">
        <v>15</v>
      </c>
      <c r="L212" s="1">
        <v>121.2</v>
      </c>
      <c r="M212" s="1">
        <v>7.18</v>
      </c>
      <c r="N212" s="1">
        <v>35.6</v>
      </c>
      <c r="O212" s="6" t="s">
        <v>56</v>
      </c>
      <c r="P212" s="8">
        <f>Table1[Quantity]*Table1[Unit_Price]</f>
        <v>142.59</v>
      </c>
      <c r="Q212" s="1">
        <f>Table1[Profit]/Table1[Total_Sales]</f>
        <v>0.29372937293729373</v>
      </c>
      <c r="R212" s="14">
        <f>Table1[Total_Sales]+Table1[Shipping_Cost]</f>
        <v>128.38</v>
      </c>
    </row>
    <row r="213" spans="1:18" x14ac:dyDescent="0.35">
      <c r="A213" s="3" t="s">
        <v>511</v>
      </c>
      <c r="B213" s="2">
        <v>45058</v>
      </c>
      <c r="C213" s="1" t="s">
        <v>512</v>
      </c>
      <c r="D213" s="1" t="s">
        <v>30</v>
      </c>
      <c r="E213" s="1" t="s">
        <v>121</v>
      </c>
      <c r="F213" s="1" t="s">
        <v>68</v>
      </c>
      <c r="G213" s="1" t="s">
        <v>69</v>
      </c>
      <c r="H213" s="1" t="s">
        <v>79</v>
      </c>
      <c r="I213" s="1">
        <v>3</v>
      </c>
      <c r="J213" s="1">
        <v>94.61</v>
      </c>
      <c r="K213" s="1">
        <v>20</v>
      </c>
      <c r="L213" s="1">
        <v>227.06</v>
      </c>
      <c r="M213" s="1">
        <v>16.78</v>
      </c>
      <c r="N213" s="1">
        <v>68.37</v>
      </c>
      <c r="O213" s="6" t="s">
        <v>39</v>
      </c>
      <c r="P213" s="8">
        <f>Table1[Quantity]*Table1[Unit_Price]</f>
        <v>283.83</v>
      </c>
      <c r="Q213" s="1">
        <f>Table1[Profit]/Table1[Total_Sales]</f>
        <v>0.30110983880912534</v>
      </c>
      <c r="R213" s="14">
        <f>Table1[Total_Sales]+Table1[Shipping_Cost]</f>
        <v>243.84</v>
      </c>
    </row>
    <row r="214" spans="1:18" x14ac:dyDescent="0.35">
      <c r="A214" s="3" t="s">
        <v>513</v>
      </c>
      <c r="B214" s="2">
        <v>45058</v>
      </c>
      <c r="C214" s="1" t="s">
        <v>514</v>
      </c>
      <c r="D214" s="1" t="s">
        <v>17</v>
      </c>
      <c r="E214" s="1" t="s">
        <v>248</v>
      </c>
      <c r="F214" s="1" t="s">
        <v>26</v>
      </c>
      <c r="G214" s="1" t="s">
        <v>42</v>
      </c>
      <c r="H214" s="1" t="s">
        <v>371</v>
      </c>
      <c r="I214" s="1">
        <v>2</v>
      </c>
      <c r="J214" s="1">
        <v>248.9</v>
      </c>
      <c r="K214" s="1">
        <v>20</v>
      </c>
      <c r="L214" s="1">
        <v>398.24</v>
      </c>
      <c r="M214" s="1">
        <v>8.23</v>
      </c>
      <c r="N214" s="1">
        <v>91.33</v>
      </c>
      <c r="O214" s="6" t="s">
        <v>34</v>
      </c>
      <c r="P214" s="8">
        <f>Table1[Quantity]*Table1[Unit_Price]</f>
        <v>497.8</v>
      </c>
      <c r="Q214" s="1">
        <f>Table1[Profit]/Table1[Total_Sales]</f>
        <v>0.22933406990759339</v>
      </c>
      <c r="R214" s="14">
        <f>Table1[Total_Sales]+Table1[Shipping_Cost]</f>
        <v>406.47</v>
      </c>
    </row>
    <row r="215" spans="1:18" x14ac:dyDescent="0.35">
      <c r="A215" s="3" t="s">
        <v>515</v>
      </c>
      <c r="B215" s="2">
        <v>45059</v>
      </c>
      <c r="C215" s="1" t="s">
        <v>516</v>
      </c>
      <c r="D215" s="1" t="s">
        <v>17</v>
      </c>
      <c r="E215" s="1" t="s">
        <v>148</v>
      </c>
      <c r="F215" s="1" t="s">
        <v>60</v>
      </c>
      <c r="G215" s="1" t="s">
        <v>20</v>
      </c>
      <c r="H215" s="1" t="s">
        <v>106</v>
      </c>
      <c r="I215" s="1">
        <v>4</v>
      </c>
      <c r="J215" s="1">
        <v>62.57</v>
      </c>
      <c r="K215" s="1">
        <v>10</v>
      </c>
      <c r="L215" s="1">
        <v>225.25</v>
      </c>
      <c r="M215" s="1">
        <v>14.99</v>
      </c>
      <c r="N215" s="1">
        <v>72.61</v>
      </c>
      <c r="O215" s="6" t="s">
        <v>39</v>
      </c>
      <c r="P215" s="8">
        <f>Table1[Quantity]*Table1[Unit_Price]</f>
        <v>250.28</v>
      </c>
      <c r="Q215" s="1">
        <f>Table1[Profit]/Table1[Total_Sales]</f>
        <v>0.32235294117647056</v>
      </c>
      <c r="R215" s="14">
        <f>Table1[Total_Sales]+Table1[Shipping_Cost]</f>
        <v>240.24</v>
      </c>
    </row>
    <row r="216" spans="1:18" x14ac:dyDescent="0.35">
      <c r="A216" s="3" t="s">
        <v>517</v>
      </c>
      <c r="B216" s="2">
        <v>45059</v>
      </c>
      <c r="C216" s="1" t="s">
        <v>518</v>
      </c>
      <c r="D216" s="1" t="s">
        <v>30</v>
      </c>
      <c r="E216" s="1" t="s">
        <v>148</v>
      </c>
      <c r="F216" s="1" t="s">
        <v>60</v>
      </c>
      <c r="G216" s="1" t="s">
        <v>42</v>
      </c>
      <c r="H216" s="1" t="s">
        <v>64</v>
      </c>
      <c r="I216" s="1">
        <v>15</v>
      </c>
      <c r="J216" s="1">
        <v>100.94</v>
      </c>
      <c r="K216" s="1">
        <v>5</v>
      </c>
      <c r="L216" s="1">
        <v>1438.39</v>
      </c>
      <c r="M216" s="1">
        <v>29.26</v>
      </c>
      <c r="N216" s="1">
        <v>500.67</v>
      </c>
      <c r="O216" s="6" t="s">
        <v>34</v>
      </c>
      <c r="P216" s="8">
        <f>Table1[Quantity]*Table1[Unit_Price]</f>
        <v>1514.1</v>
      </c>
      <c r="Q216" s="1">
        <f>Table1[Profit]/Table1[Total_Sales]</f>
        <v>0.34807666905359463</v>
      </c>
      <c r="R216" s="14">
        <f>Table1[Total_Sales]+Table1[Shipping_Cost]</f>
        <v>1467.65</v>
      </c>
    </row>
    <row r="217" spans="1:18" x14ac:dyDescent="0.35">
      <c r="A217" s="3" t="s">
        <v>519</v>
      </c>
      <c r="B217" s="2">
        <v>45060</v>
      </c>
      <c r="C217" s="1" t="s">
        <v>520</v>
      </c>
      <c r="D217" s="1" t="s">
        <v>49</v>
      </c>
      <c r="E217" s="1" t="s">
        <v>121</v>
      </c>
      <c r="F217" s="1" t="s">
        <v>68</v>
      </c>
      <c r="G217" s="1" t="s">
        <v>20</v>
      </c>
      <c r="H217" s="1" t="s">
        <v>170</v>
      </c>
      <c r="I217" s="1">
        <v>1</v>
      </c>
      <c r="J217" s="1">
        <v>55.77</v>
      </c>
      <c r="K217" s="1">
        <v>5</v>
      </c>
      <c r="L217" s="1">
        <v>52.98</v>
      </c>
      <c r="M217" s="1">
        <v>11.25</v>
      </c>
      <c r="N217" s="1">
        <v>11.06</v>
      </c>
      <c r="O217" s="6" t="s">
        <v>39</v>
      </c>
      <c r="P217" s="8">
        <f>Table1[Quantity]*Table1[Unit_Price]</f>
        <v>55.77</v>
      </c>
      <c r="Q217" s="1">
        <f>Table1[Profit]/Table1[Total_Sales]</f>
        <v>0.20875802189505477</v>
      </c>
      <c r="R217" s="14">
        <f>Table1[Total_Sales]+Table1[Shipping_Cost]</f>
        <v>64.22999999999999</v>
      </c>
    </row>
    <row r="218" spans="1:18" x14ac:dyDescent="0.35">
      <c r="A218" s="3" t="s">
        <v>521</v>
      </c>
      <c r="B218" s="2">
        <v>45061</v>
      </c>
      <c r="C218" s="1" t="s">
        <v>522</v>
      </c>
      <c r="D218" s="1" t="s">
        <v>17</v>
      </c>
      <c r="E218" s="1" t="s">
        <v>166</v>
      </c>
      <c r="F218" s="1" t="s">
        <v>60</v>
      </c>
      <c r="G218" s="1" t="s">
        <v>42</v>
      </c>
      <c r="H218" s="1" t="s">
        <v>118</v>
      </c>
      <c r="I218" s="1">
        <v>2</v>
      </c>
      <c r="J218" s="1">
        <v>77.489999999999995</v>
      </c>
      <c r="K218" s="1">
        <v>15</v>
      </c>
      <c r="L218" s="1">
        <v>131.72999999999999</v>
      </c>
      <c r="M218" s="1">
        <v>12.63</v>
      </c>
      <c r="N218" s="1">
        <v>26.11</v>
      </c>
      <c r="O218" s="6" t="s">
        <v>22</v>
      </c>
      <c r="P218" s="8">
        <f>Table1[Quantity]*Table1[Unit_Price]</f>
        <v>154.97999999999999</v>
      </c>
      <c r="Q218" s="1">
        <f>Table1[Profit]/Table1[Total_Sales]</f>
        <v>0.19820845669171791</v>
      </c>
      <c r="R218" s="14">
        <f>Table1[Total_Sales]+Table1[Shipping_Cost]</f>
        <v>144.35999999999999</v>
      </c>
    </row>
    <row r="219" spans="1:18" x14ac:dyDescent="0.35">
      <c r="A219" s="3" t="s">
        <v>523</v>
      </c>
      <c r="B219" s="2">
        <v>45061</v>
      </c>
      <c r="C219" s="1" t="s">
        <v>524</v>
      </c>
      <c r="D219" s="1" t="s">
        <v>30</v>
      </c>
      <c r="E219" s="1" t="s">
        <v>31</v>
      </c>
      <c r="F219" s="1" t="s">
        <v>19</v>
      </c>
      <c r="G219" s="1" t="s">
        <v>42</v>
      </c>
      <c r="H219" s="1" t="s">
        <v>46</v>
      </c>
      <c r="I219" s="1">
        <v>4</v>
      </c>
      <c r="J219" s="1">
        <v>65.92</v>
      </c>
      <c r="K219" s="1">
        <v>5</v>
      </c>
      <c r="L219" s="1">
        <v>250.5</v>
      </c>
      <c r="M219" s="1">
        <v>13.46</v>
      </c>
      <c r="N219" s="1">
        <v>78.83</v>
      </c>
      <c r="O219" s="6" t="s">
        <v>34</v>
      </c>
      <c r="P219" s="8">
        <f>Table1[Quantity]*Table1[Unit_Price]</f>
        <v>263.68</v>
      </c>
      <c r="Q219" s="1">
        <f>Table1[Profit]/Table1[Total_Sales]</f>
        <v>0.31469061876247506</v>
      </c>
      <c r="R219" s="14">
        <f>Table1[Total_Sales]+Table1[Shipping_Cost]</f>
        <v>263.95999999999998</v>
      </c>
    </row>
    <row r="220" spans="1:18" x14ac:dyDescent="0.35">
      <c r="A220" s="3" t="s">
        <v>525</v>
      </c>
      <c r="B220" s="2">
        <v>45061</v>
      </c>
      <c r="C220" s="1" t="s">
        <v>526</v>
      </c>
      <c r="D220" s="1" t="s">
        <v>17</v>
      </c>
      <c r="E220" s="1" t="s">
        <v>31</v>
      </c>
      <c r="F220" s="1" t="s">
        <v>19</v>
      </c>
      <c r="G220" s="1" t="s">
        <v>42</v>
      </c>
      <c r="H220" s="1" t="s">
        <v>294</v>
      </c>
      <c r="I220" s="1">
        <v>1</v>
      </c>
      <c r="J220" s="1">
        <v>121.55</v>
      </c>
      <c r="K220" s="1">
        <v>25</v>
      </c>
      <c r="L220" s="1">
        <v>91.16</v>
      </c>
      <c r="M220" s="1">
        <v>6.6</v>
      </c>
      <c r="N220" s="1">
        <v>11.63</v>
      </c>
      <c r="O220" s="6" t="s">
        <v>39</v>
      </c>
      <c r="P220" s="8">
        <f>Table1[Quantity]*Table1[Unit_Price]</f>
        <v>121.55</v>
      </c>
      <c r="Q220" s="1">
        <f>Table1[Profit]/Table1[Total_Sales]</f>
        <v>0.12757788503729708</v>
      </c>
      <c r="R220" s="14">
        <f>Table1[Total_Sales]+Table1[Shipping_Cost]</f>
        <v>97.759999999999991</v>
      </c>
    </row>
    <row r="221" spans="1:18" x14ac:dyDescent="0.35">
      <c r="A221" s="3" t="s">
        <v>527</v>
      </c>
      <c r="B221" s="2">
        <v>45062</v>
      </c>
      <c r="C221" s="1" t="s">
        <v>528</v>
      </c>
      <c r="D221" s="1" t="s">
        <v>17</v>
      </c>
      <c r="E221" s="1" t="s">
        <v>248</v>
      </c>
      <c r="F221" s="1" t="s">
        <v>26</v>
      </c>
      <c r="G221" s="1" t="s">
        <v>69</v>
      </c>
      <c r="H221" s="1" t="s">
        <v>139</v>
      </c>
      <c r="I221" s="1">
        <v>2</v>
      </c>
      <c r="J221" s="1">
        <v>79.650000000000006</v>
      </c>
      <c r="K221" s="1">
        <v>10</v>
      </c>
      <c r="L221" s="1">
        <v>143.37</v>
      </c>
      <c r="M221" s="1">
        <v>10.14</v>
      </c>
      <c r="N221" s="1">
        <v>53.58</v>
      </c>
      <c r="O221" s="6" t="s">
        <v>34</v>
      </c>
      <c r="P221" s="8">
        <f>Table1[Quantity]*Table1[Unit_Price]</f>
        <v>159.30000000000001</v>
      </c>
      <c r="Q221" s="1">
        <f>Table1[Profit]/Table1[Total_Sales]</f>
        <v>0.37371835111948104</v>
      </c>
      <c r="R221" s="14">
        <f>Table1[Total_Sales]+Table1[Shipping_Cost]</f>
        <v>153.51</v>
      </c>
    </row>
    <row r="222" spans="1:18" x14ac:dyDescent="0.35">
      <c r="A222" s="3" t="s">
        <v>529</v>
      </c>
      <c r="B222" s="2">
        <v>45062</v>
      </c>
      <c r="C222" s="1" t="s">
        <v>530</v>
      </c>
      <c r="D222" s="1" t="s">
        <v>30</v>
      </c>
      <c r="E222" s="1" t="s">
        <v>31</v>
      </c>
      <c r="F222" s="1" t="s">
        <v>19</v>
      </c>
      <c r="G222" s="1" t="s">
        <v>42</v>
      </c>
      <c r="H222" s="1" t="s">
        <v>43</v>
      </c>
      <c r="I222" s="1">
        <v>3</v>
      </c>
      <c r="J222" s="1">
        <v>180.1</v>
      </c>
      <c r="K222" s="1">
        <v>10</v>
      </c>
      <c r="L222" s="1">
        <v>486.27</v>
      </c>
      <c r="M222" s="1">
        <v>8.31</v>
      </c>
      <c r="N222" s="1">
        <v>153.78</v>
      </c>
      <c r="O222" s="6" t="s">
        <v>39</v>
      </c>
      <c r="P222" s="8">
        <f>Table1[Quantity]*Table1[Unit_Price]</f>
        <v>540.29999999999995</v>
      </c>
      <c r="Q222" s="1">
        <f>Table1[Profit]/Table1[Total_Sales]</f>
        <v>0.31624406194089705</v>
      </c>
      <c r="R222" s="14">
        <f>Table1[Total_Sales]+Table1[Shipping_Cost]</f>
        <v>494.58</v>
      </c>
    </row>
    <row r="223" spans="1:18" x14ac:dyDescent="0.35">
      <c r="A223" s="3" t="s">
        <v>531</v>
      </c>
      <c r="B223" s="2">
        <v>45062</v>
      </c>
      <c r="C223" s="1" t="s">
        <v>532</v>
      </c>
      <c r="D223" s="1" t="s">
        <v>49</v>
      </c>
      <c r="E223" s="1" t="s">
        <v>169</v>
      </c>
      <c r="F223" s="1" t="s">
        <v>68</v>
      </c>
      <c r="G223" s="1" t="s">
        <v>42</v>
      </c>
      <c r="H223" s="1" t="s">
        <v>46</v>
      </c>
      <c r="I223" s="1">
        <v>3</v>
      </c>
      <c r="J223" s="1">
        <v>145.84</v>
      </c>
      <c r="K223" s="1">
        <v>15</v>
      </c>
      <c r="L223" s="1">
        <v>371.89</v>
      </c>
      <c r="M223" s="1">
        <v>14.54</v>
      </c>
      <c r="N223" s="1">
        <v>94.84</v>
      </c>
      <c r="O223" s="6" t="s">
        <v>34</v>
      </c>
      <c r="P223" s="8">
        <f>Table1[Quantity]*Table1[Unit_Price]</f>
        <v>437.52</v>
      </c>
      <c r="Q223" s="1">
        <f>Table1[Profit]/Table1[Total_Sales]</f>
        <v>0.25502164618570011</v>
      </c>
      <c r="R223" s="14">
        <f>Table1[Total_Sales]+Table1[Shipping_Cost]</f>
        <v>386.43</v>
      </c>
    </row>
    <row r="224" spans="1:18" x14ac:dyDescent="0.35">
      <c r="A224" s="3" t="s">
        <v>533</v>
      </c>
      <c r="B224" s="2">
        <v>45063</v>
      </c>
      <c r="C224" s="1" t="s">
        <v>534</v>
      </c>
      <c r="D224" s="1" t="s">
        <v>49</v>
      </c>
      <c r="E224" s="1" t="s">
        <v>148</v>
      </c>
      <c r="F224" s="1" t="s">
        <v>60</v>
      </c>
      <c r="G224" s="1" t="s">
        <v>32</v>
      </c>
      <c r="H224" s="1" t="s">
        <v>73</v>
      </c>
      <c r="I224" s="1">
        <v>9</v>
      </c>
      <c r="J224" s="1">
        <v>3.16</v>
      </c>
      <c r="K224" s="1">
        <v>10</v>
      </c>
      <c r="L224" s="1">
        <v>25.6</v>
      </c>
      <c r="M224" s="1">
        <v>18.23</v>
      </c>
      <c r="N224" s="1">
        <v>-5.43</v>
      </c>
      <c r="O224" s="6" t="s">
        <v>22</v>
      </c>
      <c r="P224" s="8">
        <f>Table1[Quantity]*Table1[Unit_Price]</f>
        <v>28.44</v>
      </c>
      <c r="Q224" s="1">
        <f>Table1[Profit]/Table1[Total_Sales]</f>
        <v>-0.21210937499999999</v>
      </c>
      <c r="R224" s="14">
        <f>Table1[Total_Sales]+Table1[Shipping_Cost]</f>
        <v>43.83</v>
      </c>
    </row>
    <row r="225" spans="1:18" x14ac:dyDescent="0.35">
      <c r="A225" s="3" t="s">
        <v>535</v>
      </c>
      <c r="B225" s="2">
        <v>45064</v>
      </c>
      <c r="C225" s="1" t="s">
        <v>536</v>
      </c>
      <c r="D225" s="1" t="s">
        <v>17</v>
      </c>
      <c r="E225" s="1" t="s">
        <v>129</v>
      </c>
      <c r="F225" s="1" t="s">
        <v>19</v>
      </c>
      <c r="G225" s="1" t="s">
        <v>32</v>
      </c>
      <c r="H225" s="1" t="s">
        <v>132</v>
      </c>
      <c r="I225" s="1">
        <v>3</v>
      </c>
      <c r="J225" s="1">
        <v>8.1999999999999993</v>
      </c>
      <c r="K225" s="1">
        <v>0</v>
      </c>
      <c r="L225" s="1">
        <v>24.6</v>
      </c>
      <c r="M225" s="1">
        <v>7.45</v>
      </c>
      <c r="N225" s="1">
        <v>6.08</v>
      </c>
      <c r="O225" s="6" t="s">
        <v>39</v>
      </c>
      <c r="P225" s="8">
        <f>Table1[Quantity]*Table1[Unit_Price]</f>
        <v>24.599999999999998</v>
      </c>
      <c r="Q225" s="1">
        <f>Table1[Profit]/Table1[Total_Sales]</f>
        <v>0.24715447154471543</v>
      </c>
      <c r="R225" s="14">
        <f>Table1[Total_Sales]+Table1[Shipping_Cost]</f>
        <v>32.050000000000004</v>
      </c>
    </row>
    <row r="226" spans="1:18" x14ac:dyDescent="0.35">
      <c r="A226" s="3" t="s">
        <v>537</v>
      </c>
      <c r="B226" s="2">
        <v>45064</v>
      </c>
      <c r="C226" s="1" t="s">
        <v>538</v>
      </c>
      <c r="D226" s="1" t="s">
        <v>17</v>
      </c>
      <c r="E226" s="1" t="s">
        <v>138</v>
      </c>
      <c r="F226" s="1" t="s">
        <v>54</v>
      </c>
      <c r="G226" s="1" t="s">
        <v>42</v>
      </c>
      <c r="H226" s="1" t="s">
        <v>371</v>
      </c>
      <c r="I226" s="1">
        <v>2</v>
      </c>
      <c r="J226" s="1">
        <v>214.52</v>
      </c>
      <c r="K226" s="1">
        <v>0</v>
      </c>
      <c r="L226" s="1">
        <v>429.04</v>
      </c>
      <c r="M226" s="1">
        <v>15.39</v>
      </c>
      <c r="N226" s="1">
        <v>156.22999999999999</v>
      </c>
      <c r="O226" s="6" t="s">
        <v>34</v>
      </c>
      <c r="P226" s="8">
        <f>Table1[Quantity]*Table1[Unit_Price]</f>
        <v>429.04</v>
      </c>
      <c r="Q226" s="1">
        <f>Table1[Profit]/Table1[Total_Sales]</f>
        <v>0.36413854186089872</v>
      </c>
      <c r="R226" s="14">
        <f>Table1[Total_Sales]+Table1[Shipping_Cost]</f>
        <v>444.43</v>
      </c>
    </row>
    <row r="227" spans="1:18" x14ac:dyDescent="0.35">
      <c r="A227" s="3" t="s">
        <v>539</v>
      </c>
      <c r="B227" s="2">
        <v>45064</v>
      </c>
      <c r="C227" s="1" t="s">
        <v>540</v>
      </c>
      <c r="D227" s="1" t="s">
        <v>30</v>
      </c>
      <c r="E227" s="1" t="s">
        <v>92</v>
      </c>
      <c r="F227" s="1" t="s">
        <v>60</v>
      </c>
      <c r="G227" s="1" t="s">
        <v>69</v>
      </c>
      <c r="H227" s="1" t="s">
        <v>160</v>
      </c>
      <c r="I227" s="1">
        <v>8</v>
      </c>
      <c r="J227" s="1">
        <v>43.71</v>
      </c>
      <c r="K227" s="1">
        <v>15</v>
      </c>
      <c r="L227" s="1">
        <v>297.23</v>
      </c>
      <c r="M227" s="1">
        <v>21.92</v>
      </c>
      <c r="N227" s="1">
        <v>100.47</v>
      </c>
      <c r="O227" s="6" t="s">
        <v>39</v>
      </c>
      <c r="P227" s="8">
        <f>Table1[Quantity]*Table1[Unit_Price]</f>
        <v>349.68</v>
      </c>
      <c r="Q227" s="1">
        <f>Table1[Profit]/Table1[Total_Sales]</f>
        <v>0.33802106113111058</v>
      </c>
      <c r="R227" s="14">
        <f>Table1[Total_Sales]+Table1[Shipping_Cost]</f>
        <v>319.15000000000003</v>
      </c>
    </row>
    <row r="228" spans="1:18" x14ac:dyDescent="0.35">
      <c r="A228" s="3" t="s">
        <v>541</v>
      </c>
      <c r="B228" s="2">
        <v>45064</v>
      </c>
      <c r="C228" s="1" t="s">
        <v>542</v>
      </c>
      <c r="D228" s="1" t="s">
        <v>30</v>
      </c>
      <c r="E228" s="1" t="s">
        <v>148</v>
      </c>
      <c r="F228" s="1" t="s">
        <v>60</v>
      </c>
      <c r="G228" s="1" t="s">
        <v>42</v>
      </c>
      <c r="H228" s="1" t="s">
        <v>43</v>
      </c>
      <c r="I228" s="1">
        <v>2</v>
      </c>
      <c r="J228" s="1">
        <v>119.77</v>
      </c>
      <c r="K228" s="1">
        <v>25</v>
      </c>
      <c r="L228" s="1">
        <v>179.66</v>
      </c>
      <c r="M228" s="1">
        <v>10.37</v>
      </c>
      <c r="N228" s="1">
        <v>25.57</v>
      </c>
      <c r="O228" s="6" t="s">
        <v>22</v>
      </c>
      <c r="P228" s="8">
        <f>Table1[Quantity]*Table1[Unit_Price]</f>
        <v>239.54</v>
      </c>
      <c r="Q228" s="1">
        <f>Table1[Profit]/Table1[Total_Sales]</f>
        <v>0.14232439051541801</v>
      </c>
      <c r="R228" s="14">
        <f>Table1[Total_Sales]+Table1[Shipping_Cost]</f>
        <v>190.03</v>
      </c>
    </row>
    <row r="229" spans="1:18" x14ac:dyDescent="0.35">
      <c r="A229" s="3" t="s">
        <v>543</v>
      </c>
      <c r="B229" s="2">
        <v>45064</v>
      </c>
      <c r="C229" s="1" t="s">
        <v>498</v>
      </c>
      <c r="D229" s="1" t="s">
        <v>17</v>
      </c>
      <c r="E229" s="1" t="s">
        <v>63</v>
      </c>
      <c r="F229" s="1" t="s">
        <v>54</v>
      </c>
      <c r="G229" s="1" t="s">
        <v>42</v>
      </c>
      <c r="H229" s="1" t="s">
        <v>294</v>
      </c>
      <c r="I229" s="1">
        <v>1</v>
      </c>
      <c r="J229" s="1">
        <v>217.82</v>
      </c>
      <c r="K229" s="1">
        <v>25</v>
      </c>
      <c r="L229" s="1">
        <v>163.37</v>
      </c>
      <c r="M229" s="1">
        <v>12.46</v>
      </c>
      <c r="N229" s="1">
        <v>20.22</v>
      </c>
      <c r="O229" s="6" t="s">
        <v>34</v>
      </c>
      <c r="P229" s="8">
        <f>Table1[Quantity]*Table1[Unit_Price]</f>
        <v>217.82</v>
      </c>
      <c r="Q229" s="1">
        <f>Table1[Profit]/Table1[Total_Sales]</f>
        <v>0.12376813368427494</v>
      </c>
      <c r="R229" s="14">
        <f>Table1[Total_Sales]+Table1[Shipping_Cost]</f>
        <v>175.83</v>
      </c>
    </row>
    <row r="230" spans="1:18" x14ac:dyDescent="0.35">
      <c r="A230" s="3" t="s">
        <v>544</v>
      </c>
      <c r="B230" s="2">
        <v>45064</v>
      </c>
      <c r="C230" s="1" t="s">
        <v>545</v>
      </c>
      <c r="D230" s="1" t="s">
        <v>30</v>
      </c>
      <c r="E230" s="1" t="s">
        <v>18</v>
      </c>
      <c r="F230" s="1" t="s">
        <v>19</v>
      </c>
      <c r="G230" s="1" t="s">
        <v>42</v>
      </c>
      <c r="H230" s="1" t="s">
        <v>294</v>
      </c>
      <c r="I230" s="1">
        <v>2</v>
      </c>
      <c r="J230" s="1">
        <v>295.24</v>
      </c>
      <c r="K230" s="1">
        <v>0</v>
      </c>
      <c r="L230" s="1">
        <v>590.48</v>
      </c>
      <c r="M230" s="1">
        <v>9.07</v>
      </c>
      <c r="N230" s="1">
        <v>227.12</v>
      </c>
      <c r="O230" s="6" t="s">
        <v>39</v>
      </c>
      <c r="P230" s="8">
        <f>Table1[Quantity]*Table1[Unit_Price]</f>
        <v>590.48</v>
      </c>
      <c r="Q230" s="1">
        <f>Table1[Profit]/Table1[Total_Sales]</f>
        <v>0.38463622815336673</v>
      </c>
      <c r="R230" s="14">
        <f>Table1[Total_Sales]+Table1[Shipping_Cost]</f>
        <v>599.55000000000007</v>
      </c>
    </row>
    <row r="231" spans="1:18" x14ac:dyDescent="0.35">
      <c r="A231" s="3" t="s">
        <v>546</v>
      </c>
      <c r="B231" s="2">
        <v>45065</v>
      </c>
      <c r="C231" s="1" t="s">
        <v>547</v>
      </c>
      <c r="D231" s="1" t="s">
        <v>49</v>
      </c>
      <c r="E231" s="1" t="s">
        <v>248</v>
      </c>
      <c r="F231" s="1" t="s">
        <v>26</v>
      </c>
      <c r="G231" s="1" t="s">
        <v>42</v>
      </c>
      <c r="H231" s="1" t="s">
        <v>371</v>
      </c>
      <c r="I231" s="1">
        <v>1</v>
      </c>
      <c r="J231" s="1">
        <v>195.08</v>
      </c>
      <c r="K231" s="1">
        <v>5</v>
      </c>
      <c r="L231" s="1">
        <v>185.33</v>
      </c>
      <c r="M231" s="1">
        <v>9.41</v>
      </c>
      <c r="N231" s="1">
        <v>58.87</v>
      </c>
      <c r="O231" s="6" t="s">
        <v>39</v>
      </c>
      <c r="P231" s="8">
        <f>Table1[Quantity]*Table1[Unit_Price]</f>
        <v>195.08</v>
      </c>
      <c r="Q231" s="1">
        <f>Table1[Profit]/Table1[Total_Sales]</f>
        <v>0.31764959801435272</v>
      </c>
      <c r="R231" s="14">
        <f>Table1[Total_Sales]+Table1[Shipping_Cost]</f>
        <v>194.74</v>
      </c>
    </row>
    <row r="232" spans="1:18" x14ac:dyDescent="0.35">
      <c r="A232" s="3" t="s">
        <v>548</v>
      </c>
      <c r="B232" s="2">
        <v>45066</v>
      </c>
      <c r="C232" s="1" t="s">
        <v>549</v>
      </c>
      <c r="D232" s="1" t="s">
        <v>30</v>
      </c>
      <c r="E232" s="1" t="s">
        <v>18</v>
      </c>
      <c r="F232" s="1" t="s">
        <v>19</v>
      </c>
      <c r="G232" s="1" t="s">
        <v>69</v>
      </c>
      <c r="H232" s="1" t="s">
        <v>70</v>
      </c>
      <c r="I232" s="1">
        <v>5</v>
      </c>
      <c r="J232" s="1">
        <v>26.84</v>
      </c>
      <c r="K232" s="1">
        <v>0</v>
      </c>
      <c r="L232" s="1">
        <v>134.19999999999999</v>
      </c>
      <c r="M232" s="1">
        <v>17.2</v>
      </c>
      <c r="N232" s="1">
        <v>49.9</v>
      </c>
      <c r="O232" s="6" t="s">
        <v>39</v>
      </c>
      <c r="P232" s="8">
        <f>Table1[Quantity]*Table1[Unit_Price]</f>
        <v>134.19999999999999</v>
      </c>
      <c r="Q232" s="1">
        <f>Table1[Profit]/Table1[Total_Sales]</f>
        <v>0.37183308494783907</v>
      </c>
      <c r="R232" s="14">
        <f>Table1[Total_Sales]+Table1[Shipping_Cost]</f>
        <v>151.39999999999998</v>
      </c>
    </row>
    <row r="233" spans="1:18" x14ac:dyDescent="0.35">
      <c r="A233" s="3" t="s">
        <v>550</v>
      </c>
      <c r="B233" s="2">
        <v>45068</v>
      </c>
      <c r="C233" s="1" t="s">
        <v>259</v>
      </c>
      <c r="D233" s="1" t="s">
        <v>49</v>
      </c>
      <c r="E233" s="1" t="s">
        <v>166</v>
      </c>
      <c r="F233" s="1" t="s">
        <v>60</v>
      </c>
      <c r="G233" s="1" t="s">
        <v>20</v>
      </c>
      <c r="H233" s="1" t="s">
        <v>175</v>
      </c>
      <c r="I233" s="1">
        <v>5</v>
      </c>
      <c r="J233" s="1">
        <v>15.48</v>
      </c>
      <c r="K233" s="1">
        <v>10</v>
      </c>
      <c r="L233" s="1">
        <v>69.66</v>
      </c>
      <c r="M233" s="1">
        <v>19.739999999999998</v>
      </c>
      <c r="N233" s="1">
        <v>7.35</v>
      </c>
      <c r="O233" s="6" t="s">
        <v>39</v>
      </c>
      <c r="P233" s="8">
        <f>Table1[Quantity]*Table1[Unit_Price]</f>
        <v>77.400000000000006</v>
      </c>
      <c r="Q233" s="1">
        <f>Table1[Profit]/Table1[Total_Sales]</f>
        <v>0.10551248923341947</v>
      </c>
      <c r="R233" s="14">
        <f>Table1[Total_Sales]+Table1[Shipping_Cost]</f>
        <v>89.399999999999991</v>
      </c>
    </row>
    <row r="234" spans="1:18" x14ac:dyDescent="0.35">
      <c r="A234" s="3" t="s">
        <v>551</v>
      </c>
      <c r="B234" s="2">
        <v>45069</v>
      </c>
      <c r="C234" s="1" t="s">
        <v>225</v>
      </c>
      <c r="D234" s="1" t="s">
        <v>30</v>
      </c>
      <c r="E234" s="1" t="s">
        <v>31</v>
      </c>
      <c r="F234" s="1" t="s">
        <v>19</v>
      </c>
      <c r="G234" s="1" t="s">
        <v>20</v>
      </c>
      <c r="H234" s="1" t="s">
        <v>38</v>
      </c>
      <c r="I234" s="1">
        <v>5</v>
      </c>
      <c r="J234" s="1">
        <v>54.1</v>
      </c>
      <c r="K234" s="1">
        <v>5</v>
      </c>
      <c r="L234" s="1">
        <v>256.97000000000003</v>
      </c>
      <c r="M234" s="1">
        <v>11.43</v>
      </c>
      <c r="N234" s="1">
        <v>96.77</v>
      </c>
      <c r="O234" s="6" t="s">
        <v>34</v>
      </c>
      <c r="P234" s="8">
        <f>Table1[Quantity]*Table1[Unit_Price]</f>
        <v>270.5</v>
      </c>
      <c r="Q234" s="1">
        <f>Table1[Profit]/Table1[Total_Sales]</f>
        <v>0.37658092384325015</v>
      </c>
      <c r="R234" s="14">
        <f>Table1[Total_Sales]+Table1[Shipping_Cost]</f>
        <v>268.40000000000003</v>
      </c>
    </row>
    <row r="235" spans="1:18" x14ac:dyDescent="0.35">
      <c r="A235" s="3" t="s">
        <v>552</v>
      </c>
      <c r="B235" s="2">
        <v>45069</v>
      </c>
      <c r="C235" s="1" t="s">
        <v>553</v>
      </c>
      <c r="D235" s="1" t="s">
        <v>49</v>
      </c>
      <c r="E235" s="1" t="s">
        <v>59</v>
      </c>
      <c r="F235" s="1" t="s">
        <v>60</v>
      </c>
      <c r="G235" s="1" t="s">
        <v>20</v>
      </c>
      <c r="H235" s="1" t="s">
        <v>106</v>
      </c>
      <c r="I235" s="1">
        <v>8</v>
      </c>
      <c r="J235" s="1">
        <v>37.26</v>
      </c>
      <c r="K235" s="1">
        <v>20</v>
      </c>
      <c r="L235" s="1">
        <v>238.46</v>
      </c>
      <c r="M235" s="1">
        <v>14.6</v>
      </c>
      <c r="N235" s="1">
        <v>59.92</v>
      </c>
      <c r="O235" s="6" t="s">
        <v>39</v>
      </c>
      <c r="P235" s="8">
        <f>Table1[Quantity]*Table1[Unit_Price]</f>
        <v>298.08</v>
      </c>
      <c r="Q235" s="1">
        <f>Table1[Profit]/Table1[Total_Sales]</f>
        <v>0.25127904050993877</v>
      </c>
      <c r="R235" s="14">
        <f>Table1[Total_Sales]+Table1[Shipping_Cost]</f>
        <v>253.06</v>
      </c>
    </row>
    <row r="236" spans="1:18" x14ac:dyDescent="0.35">
      <c r="A236" s="3" t="s">
        <v>554</v>
      </c>
      <c r="B236" s="2">
        <v>45071</v>
      </c>
      <c r="C236" s="1" t="s">
        <v>555</v>
      </c>
      <c r="D236" s="1" t="s">
        <v>30</v>
      </c>
      <c r="E236" s="1" t="s">
        <v>31</v>
      </c>
      <c r="F236" s="1" t="s">
        <v>19</v>
      </c>
      <c r="G236" s="1" t="s">
        <v>32</v>
      </c>
      <c r="H236" s="1" t="s">
        <v>82</v>
      </c>
      <c r="I236" s="1">
        <v>4</v>
      </c>
      <c r="J236" s="1">
        <v>10.54</v>
      </c>
      <c r="K236" s="1">
        <v>15</v>
      </c>
      <c r="L236" s="1">
        <v>35.840000000000003</v>
      </c>
      <c r="M236" s="1">
        <v>10.87</v>
      </c>
      <c r="N236" s="1">
        <v>6</v>
      </c>
      <c r="O236" s="6" t="s">
        <v>56</v>
      </c>
      <c r="P236" s="8">
        <f>Table1[Quantity]*Table1[Unit_Price]</f>
        <v>42.16</v>
      </c>
      <c r="Q236" s="1">
        <f>Table1[Profit]/Table1[Total_Sales]</f>
        <v>0.16741071428571427</v>
      </c>
      <c r="R236" s="14">
        <f>Table1[Total_Sales]+Table1[Shipping_Cost]</f>
        <v>46.71</v>
      </c>
    </row>
    <row r="237" spans="1:18" x14ac:dyDescent="0.35">
      <c r="A237" s="3" t="s">
        <v>556</v>
      </c>
      <c r="B237" s="2">
        <v>45072</v>
      </c>
      <c r="C237" s="1" t="s">
        <v>557</v>
      </c>
      <c r="D237" s="1" t="s">
        <v>17</v>
      </c>
      <c r="E237" s="1" t="s">
        <v>31</v>
      </c>
      <c r="F237" s="1" t="s">
        <v>19</v>
      </c>
      <c r="G237" s="1" t="s">
        <v>32</v>
      </c>
      <c r="H237" s="1" t="s">
        <v>82</v>
      </c>
      <c r="I237" s="1">
        <v>3</v>
      </c>
      <c r="J237" s="1">
        <v>15.84</v>
      </c>
      <c r="K237" s="1">
        <v>5</v>
      </c>
      <c r="L237" s="1">
        <v>45.14</v>
      </c>
      <c r="M237" s="1">
        <v>7.96</v>
      </c>
      <c r="N237" s="1">
        <v>15.8</v>
      </c>
      <c r="O237" s="6" t="s">
        <v>34</v>
      </c>
      <c r="P237" s="8">
        <f>Table1[Quantity]*Table1[Unit_Price]</f>
        <v>47.519999999999996</v>
      </c>
      <c r="Q237" s="1">
        <f>Table1[Profit]/Table1[Total_Sales]</f>
        <v>0.35002215330084185</v>
      </c>
      <c r="R237" s="14">
        <f>Table1[Total_Sales]+Table1[Shipping_Cost]</f>
        <v>53.1</v>
      </c>
    </row>
    <row r="238" spans="1:18" x14ac:dyDescent="0.35">
      <c r="A238" s="3" t="s">
        <v>558</v>
      </c>
      <c r="B238" s="2">
        <v>45075</v>
      </c>
      <c r="C238" s="1" t="s">
        <v>559</v>
      </c>
      <c r="D238" s="1" t="s">
        <v>30</v>
      </c>
      <c r="E238" s="1" t="s">
        <v>76</v>
      </c>
      <c r="F238" s="1" t="s">
        <v>26</v>
      </c>
      <c r="G238" s="1" t="s">
        <v>69</v>
      </c>
      <c r="H238" s="1" t="s">
        <v>79</v>
      </c>
      <c r="I238" s="1">
        <v>2</v>
      </c>
      <c r="J238" s="1">
        <v>33.159999999999997</v>
      </c>
      <c r="K238" s="1">
        <v>0</v>
      </c>
      <c r="L238" s="1">
        <v>66.319999999999993</v>
      </c>
      <c r="M238" s="1">
        <v>11.38</v>
      </c>
      <c r="N238" s="1">
        <v>21.78</v>
      </c>
      <c r="O238" s="6" t="s">
        <v>34</v>
      </c>
      <c r="P238" s="8">
        <f>Table1[Quantity]*Table1[Unit_Price]</f>
        <v>66.319999999999993</v>
      </c>
      <c r="Q238" s="1">
        <f>Table1[Profit]/Table1[Total_Sales]</f>
        <v>0.32840772014475278</v>
      </c>
      <c r="R238" s="14">
        <f>Table1[Total_Sales]+Table1[Shipping_Cost]</f>
        <v>77.699999999999989</v>
      </c>
    </row>
    <row r="239" spans="1:18" x14ac:dyDescent="0.35">
      <c r="A239" s="3" t="s">
        <v>560</v>
      </c>
      <c r="B239" s="2">
        <v>45076</v>
      </c>
      <c r="C239" s="1" t="s">
        <v>561</v>
      </c>
      <c r="D239" s="1" t="s">
        <v>49</v>
      </c>
      <c r="E239" s="1" t="s">
        <v>59</v>
      </c>
      <c r="F239" s="1" t="s">
        <v>60</v>
      </c>
      <c r="G239" s="1" t="s">
        <v>32</v>
      </c>
      <c r="H239" s="1" t="s">
        <v>33</v>
      </c>
      <c r="I239" s="1">
        <v>3</v>
      </c>
      <c r="J239" s="1">
        <v>14</v>
      </c>
      <c r="K239" s="1">
        <v>15</v>
      </c>
      <c r="L239" s="1">
        <v>35.700000000000003</v>
      </c>
      <c r="M239" s="1">
        <v>16.47</v>
      </c>
      <c r="N239" s="1">
        <v>0.33</v>
      </c>
      <c r="O239" s="6" t="s">
        <v>34</v>
      </c>
      <c r="P239" s="8">
        <f>Table1[Quantity]*Table1[Unit_Price]</f>
        <v>42</v>
      </c>
      <c r="Q239" s="1">
        <f>Table1[Profit]/Table1[Total_Sales]</f>
        <v>9.2436974789915968E-3</v>
      </c>
      <c r="R239" s="14">
        <f>Table1[Total_Sales]+Table1[Shipping_Cost]</f>
        <v>52.17</v>
      </c>
    </row>
    <row r="240" spans="1:18" x14ac:dyDescent="0.35">
      <c r="A240" s="3" t="s">
        <v>562</v>
      </c>
      <c r="B240" s="2">
        <v>45078</v>
      </c>
      <c r="C240" s="1" t="s">
        <v>563</v>
      </c>
      <c r="D240" s="1" t="s">
        <v>17</v>
      </c>
      <c r="E240" s="1" t="s">
        <v>129</v>
      </c>
      <c r="F240" s="1" t="s">
        <v>19</v>
      </c>
      <c r="G240" s="1" t="s">
        <v>42</v>
      </c>
      <c r="H240" s="1" t="s">
        <v>118</v>
      </c>
      <c r="I240" s="1">
        <v>7</v>
      </c>
      <c r="J240" s="1">
        <v>54.12</v>
      </c>
      <c r="K240" s="1">
        <v>15</v>
      </c>
      <c r="L240" s="1">
        <v>322.01</v>
      </c>
      <c r="M240" s="1">
        <v>17.46</v>
      </c>
      <c r="N240" s="1">
        <v>77.25</v>
      </c>
      <c r="O240" s="6" t="s">
        <v>34</v>
      </c>
      <c r="P240" s="8">
        <f>Table1[Quantity]*Table1[Unit_Price]</f>
        <v>378.84</v>
      </c>
      <c r="Q240" s="1">
        <f>Table1[Profit]/Table1[Total_Sales]</f>
        <v>0.23989938200677</v>
      </c>
      <c r="R240" s="14">
        <f>Table1[Total_Sales]+Table1[Shipping_Cost]</f>
        <v>339.46999999999997</v>
      </c>
    </row>
    <row r="241" spans="1:18" x14ac:dyDescent="0.35">
      <c r="A241" s="3" t="s">
        <v>564</v>
      </c>
      <c r="B241" s="2">
        <v>45078</v>
      </c>
      <c r="C241" s="1" t="s">
        <v>565</v>
      </c>
      <c r="D241" s="1" t="s">
        <v>49</v>
      </c>
      <c r="E241" s="1" t="s">
        <v>76</v>
      </c>
      <c r="F241" s="1" t="s">
        <v>26</v>
      </c>
      <c r="G241" s="1" t="s">
        <v>42</v>
      </c>
      <c r="H241" s="1" t="s">
        <v>64</v>
      </c>
      <c r="I241" s="1">
        <v>1</v>
      </c>
      <c r="J241" s="1">
        <v>118.34</v>
      </c>
      <c r="K241" s="1">
        <v>5</v>
      </c>
      <c r="L241" s="1">
        <v>112.42</v>
      </c>
      <c r="M241" s="1">
        <v>7.66</v>
      </c>
      <c r="N241" s="1">
        <v>33.76</v>
      </c>
      <c r="O241" s="6" t="s">
        <v>34</v>
      </c>
      <c r="P241" s="8">
        <f>Table1[Quantity]*Table1[Unit_Price]</f>
        <v>118.34</v>
      </c>
      <c r="Q241" s="1">
        <f>Table1[Profit]/Table1[Total_Sales]</f>
        <v>0.30030243728873862</v>
      </c>
      <c r="R241" s="14">
        <f>Table1[Total_Sales]+Table1[Shipping_Cost]</f>
        <v>120.08</v>
      </c>
    </row>
    <row r="242" spans="1:18" x14ac:dyDescent="0.35">
      <c r="A242" s="3" t="s">
        <v>566</v>
      </c>
      <c r="B242" s="2">
        <v>45078</v>
      </c>
      <c r="C242" s="1" t="s">
        <v>567</v>
      </c>
      <c r="D242" s="1" t="s">
        <v>30</v>
      </c>
      <c r="E242" s="1" t="s">
        <v>25</v>
      </c>
      <c r="F242" s="1" t="s">
        <v>26</v>
      </c>
      <c r="G242" s="1" t="s">
        <v>32</v>
      </c>
      <c r="H242" s="1" t="s">
        <v>101</v>
      </c>
      <c r="I242" s="1">
        <v>1</v>
      </c>
      <c r="J242" s="1">
        <v>20.28</v>
      </c>
      <c r="K242" s="1">
        <v>0</v>
      </c>
      <c r="L242" s="1">
        <v>20.28</v>
      </c>
      <c r="M242" s="1">
        <v>8.91</v>
      </c>
      <c r="N242" s="1">
        <v>2.2400000000000002</v>
      </c>
      <c r="O242" s="6" t="s">
        <v>39</v>
      </c>
      <c r="P242" s="8">
        <f>Table1[Quantity]*Table1[Unit_Price]</f>
        <v>20.28</v>
      </c>
      <c r="Q242" s="1">
        <f>Table1[Profit]/Table1[Total_Sales]</f>
        <v>0.11045364891518739</v>
      </c>
      <c r="R242" s="14">
        <f>Table1[Total_Sales]+Table1[Shipping_Cost]</f>
        <v>29.19</v>
      </c>
    </row>
    <row r="243" spans="1:18" x14ac:dyDescent="0.35">
      <c r="A243" s="3" t="s">
        <v>568</v>
      </c>
      <c r="B243" s="2">
        <v>45078</v>
      </c>
      <c r="C243" s="1" t="s">
        <v>569</v>
      </c>
      <c r="D243" s="1" t="s">
        <v>30</v>
      </c>
      <c r="E243" s="1" t="s">
        <v>31</v>
      </c>
      <c r="F243" s="1" t="s">
        <v>19</v>
      </c>
      <c r="G243" s="1" t="s">
        <v>42</v>
      </c>
      <c r="H243" s="1" t="s">
        <v>294</v>
      </c>
      <c r="I243" s="1">
        <v>7</v>
      </c>
      <c r="J243" s="1">
        <v>263.11</v>
      </c>
      <c r="K243" s="1">
        <v>10</v>
      </c>
      <c r="L243" s="1">
        <v>1657.59</v>
      </c>
      <c r="M243" s="1">
        <v>16.54</v>
      </c>
      <c r="N243" s="1">
        <v>535.99</v>
      </c>
      <c r="O243" s="6" t="s">
        <v>39</v>
      </c>
      <c r="P243" s="8">
        <f>Table1[Quantity]*Table1[Unit_Price]</f>
        <v>1841.77</v>
      </c>
      <c r="Q243" s="1">
        <f>Table1[Profit]/Table1[Total_Sales]</f>
        <v>0.32335499128252465</v>
      </c>
      <c r="R243" s="14">
        <f>Table1[Total_Sales]+Table1[Shipping_Cost]</f>
        <v>1674.1299999999999</v>
      </c>
    </row>
    <row r="244" spans="1:18" x14ac:dyDescent="0.35">
      <c r="A244" s="3" t="s">
        <v>570</v>
      </c>
      <c r="B244" s="2">
        <v>45078</v>
      </c>
      <c r="C244" s="1" t="s">
        <v>571</v>
      </c>
      <c r="D244" s="1" t="s">
        <v>30</v>
      </c>
      <c r="E244" s="1" t="s">
        <v>92</v>
      </c>
      <c r="F244" s="1" t="s">
        <v>60</v>
      </c>
      <c r="G244" s="1" t="s">
        <v>42</v>
      </c>
      <c r="H244" s="1" t="s">
        <v>294</v>
      </c>
      <c r="I244" s="1">
        <v>1</v>
      </c>
      <c r="J244" s="1">
        <v>271.69</v>
      </c>
      <c r="K244" s="1">
        <v>20</v>
      </c>
      <c r="L244" s="1">
        <v>217.35</v>
      </c>
      <c r="M244" s="1">
        <v>10.66</v>
      </c>
      <c r="N244" s="1">
        <v>43.68</v>
      </c>
      <c r="O244" s="6" t="s">
        <v>22</v>
      </c>
      <c r="P244" s="8">
        <f>Table1[Quantity]*Table1[Unit_Price]</f>
        <v>271.69</v>
      </c>
      <c r="Q244" s="1">
        <f>Table1[Profit]/Table1[Total_Sales]</f>
        <v>0.20096618357487922</v>
      </c>
      <c r="R244" s="14">
        <f>Table1[Total_Sales]+Table1[Shipping_Cost]</f>
        <v>228.01</v>
      </c>
    </row>
    <row r="245" spans="1:18" x14ac:dyDescent="0.35">
      <c r="A245" s="3" t="s">
        <v>572</v>
      </c>
      <c r="B245" s="2">
        <v>45080</v>
      </c>
      <c r="C245" s="1" t="s">
        <v>573</v>
      </c>
      <c r="D245" s="1" t="s">
        <v>17</v>
      </c>
      <c r="E245" s="1" t="s">
        <v>135</v>
      </c>
      <c r="F245" s="1" t="s">
        <v>26</v>
      </c>
      <c r="G245" s="1" t="s">
        <v>42</v>
      </c>
      <c r="H245" s="1" t="s">
        <v>234</v>
      </c>
      <c r="I245" s="1">
        <v>4</v>
      </c>
      <c r="J245" s="1">
        <v>43.62</v>
      </c>
      <c r="K245" s="1">
        <v>15</v>
      </c>
      <c r="L245" s="1">
        <v>148.31</v>
      </c>
      <c r="M245" s="1">
        <v>15.81</v>
      </c>
      <c r="N245" s="1">
        <v>27.81</v>
      </c>
      <c r="O245" s="6" t="s">
        <v>22</v>
      </c>
      <c r="P245" s="8">
        <f>Table1[Quantity]*Table1[Unit_Price]</f>
        <v>174.48</v>
      </c>
      <c r="Q245" s="1">
        <f>Table1[Profit]/Table1[Total_Sales]</f>
        <v>0.18751264243813631</v>
      </c>
      <c r="R245" s="14">
        <f>Table1[Total_Sales]+Table1[Shipping_Cost]</f>
        <v>164.12</v>
      </c>
    </row>
    <row r="246" spans="1:18" x14ac:dyDescent="0.35">
      <c r="A246" s="3" t="s">
        <v>574</v>
      </c>
      <c r="B246" s="2">
        <v>45081</v>
      </c>
      <c r="C246" s="1" t="s">
        <v>575</v>
      </c>
      <c r="D246" s="1" t="s">
        <v>17</v>
      </c>
      <c r="E246" s="1" t="s">
        <v>85</v>
      </c>
      <c r="F246" s="1" t="s">
        <v>60</v>
      </c>
      <c r="G246" s="1" t="s">
        <v>69</v>
      </c>
      <c r="H246" s="1" t="s">
        <v>243</v>
      </c>
      <c r="I246" s="1">
        <v>6</v>
      </c>
      <c r="J246" s="1">
        <v>36.82</v>
      </c>
      <c r="K246" s="1">
        <v>10</v>
      </c>
      <c r="L246" s="1">
        <v>198.83</v>
      </c>
      <c r="M246" s="1">
        <v>13.78</v>
      </c>
      <c r="N246" s="1">
        <v>74.59</v>
      </c>
      <c r="O246" s="6" t="s">
        <v>34</v>
      </c>
      <c r="P246" s="8">
        <f>Table1[Quantity]*Table1[Unit_Price]</f>
        <v>220.92000000000002</v>
      </c>
      <c r="Q246" s="1">
        <f>Table1[Profit]/Table1[Total_Sales]</f>
        <v>0.37514459588593269</v>
      </c>
      <c r="R246" s="14">
        <f>Table1[Total_Sales]+Table1[Shipping_Cost]</f>
        <v>212.61</v>
      </c>
    </row>
    <row r="247" spans="1:18" x14ac:dyDescent="0.35">
      <c r="A247" s="3" t="s">
        <v>576</v>
      </c>
      <c r="B247" s="2">
        <v>45081</v>
      </c>
      <c r="C247" s="1" t="s">
        <v>577</v>
      </c>
      <c r="D247" s="1" t="s">
        <v>30</v>
      </c>
      <c r="E247" s="1" t="s">
        <v>25</v>
      </c>
      <c r="F247" s="1" t="s">
        <v>26</v>
      </c>
      <c r="G247" s="1" t="s">
        <v>32</v>
      </c>
      <c r="H247" s="1" t="s">
        <v>110</v>
      </c>
      <c r="I247" s="1">
        <v>1</v>
      </c>
      <c r="J247" s="1">
        <v>10.08</v>
      </c>
      <c r="K247" s="1">
        <v>15</v>
      </c>
      <c r="L247" s="1">
        <v>8.57</v>
      </c>
      <c r="M247" s="1">
        <v>8.15</v>
      </c>
      <c r="N247" s="1">
        <v>-4.12</v>
      </c>
      <c r="O247" s="6" t="s">
        <v>34</v>
      </c>
      <c r="P247" s="8">
        <f>Table1[Quantity]*Table1[Unit_Price]</f>
        <v>10.08</v>
      </c>
      <c r="Q247" s="1">
        <f>Table1[Profit]/Table1[Total_Sales]</f>
        <v>-0.48074679113185531</v>
      </c>
      <c r="R247" s="14">
        <f>Table1[Total_Sales]+Table1[Shipping_Cost]</f>
        <v>16.72</v>
      </c>
    </row>
    <row r="248" spans="1:18" x14ac:dyDescent="0.35">
      <c r="A248" s="3" t="s">
        <v>578</v>
      </c>
      <c r="B248" s="2">
        <v>45081</v>
      </c>
      <c r="C248" s="1" t="s">
        <v>579</v>
      </c>
      <c r="D248" s="1" t="s">
        <v>30</v>
      </c>
      <c r="E248" s="1" t="s">
        <v>37</v>
      </c>
      <c r="F248" s="1" t="s">
        <v>26</v>
      </c>
      <c r="G248" s="1" t="s">
        <v>32</v>
      </c>
      <c r="H248" s="1" t="s">
        <v>348</v>
      </c>
      <c r="I248" s="1">
        <v>3</v>
      </c>
      <c r="J248" s="1">
        <v>6.18</v>
      </c>
      <c r="K248" s="1">
        <v>15</v>
      </c>
      <c r="L248" s="1">
        <v>15.76</v>
      </c>
      <c r="M248" s="1">
        <v>9.18</v>
      </c>
      <c r="N248" s="1">
        <v>-1.76</v>
      </c>
      <c r="O248" s="6" t="s">
        <v>34</v>
      </c>
      <c r="P248" s="8">
        <f>Table1[Quantity]*Table1[Unit_Price]</f>
        <v>18.54</v>
      </c>
      <c r="Q248" s="1">
        <f>Table1[Profit]/Table1[Total_Sales]</f>
        <v>-0.1116751269035533</v>
      </c>
      <c r="R248" s="14">
        <f>Table1[Total_Sales]+Table1[Shipping_Cost]</f>
        <v>24.939999999999998</v>
      </c>
    </row>
    <row r="249" spans="1:18" x14ac:dyDescent="0.35">
      <c r="A249" s="3" t="s">
        <v>580</v>
      </c>
      <c r="B249" s="2">
        <v>45082</v>
      </c>
      <c r="C249" s="1" t="s">
        <v>581</v>
      </c>
      <c r="D249" s="1" t="s">
        <v>17</v>
      </c>
      <c r="E249" s="1" t="s">
        <v>31</v>
      </c>
      <c r="F249" s="1" t="s">
        <v>19</v>
      </c>
      <c r="G249" s="1" t="s">
        <v>20</v>
      </c>
      <c r="H249" s="1" t="s">
        <v>55</v>
      </c>
      <c r="I249" s="1">
        <v>8</v>
      </c>
      <c r="J249" s="1">
        <v>64.14</v>
      </c>
      <c r="K249" s="1">
        <v>15</v>
      </c>
      <c r="L249" s="1">
        <v>436.15</v>
      </c>
      <c r="M249" s="1">
        <v>22.64</v>
      </c>
      <c r="N249" s="1">
        <v>131.29</v>
      </c>
      <c r="O249" s="6" t="s">
        <v>34</v>
      </c>
      <c r="P249" s="8">
        <f>Table1[Quantity]*Table1[Unit_Price]</f>
        <v>513.12</v>
      </c>
      <c r="Q249" s="1">
        <f>Table1[Profit]/Table1[Total_Sales]</f>
        <v>0.30102029118422563</v>
      </c>
      <c r="R249" s="14">
        <f>Table1[Total_Sales]+Table1[Shipping_Cost]</f>
        <v>458.78999999999996</v>
      </c>
    </row>
    <row r="250" spans="1:18" x14ac:dyDescent="0.35">
      <c r="A250" s="3" t="s">
        <v>582</v>
      </c>
      <c r="B250" s="2">
        <v>45083</v>
      </c>
      <c r="C250" s="1" t="s">
        <v>583</v>
      </c>
      <c r="D250" s="1" t="s">
        <v>30</v>
      </c>
      <c r="E250" s="1" t="s">
        <v>85</v>
      </c>
      <c r="F250" s="1" t="s">
        <v>60</v>
      </c>
      <c r="G250" s="1" t="s">
        <v>20</v>
      </c>
      <c r="H250" s="1" t="s">
        <v>264</v>
      </c>
      <c r="I250" s="1">
        <v>1</v>
      </c>
      <c r="J250" s="1">
        <v>29.03</v>
      </c>
      <c r="K250" s="1">
        <v>5</v>
      </c>
      <c r="L250" s="1">
        <v>27.58</v>
      </c>
      <c r="M250" s="1">
        <v>10.81</v>
      </c>
      <c r="N250" s="1">
        <v>0.8</v>
      </c>
      <c r="O250" s="6" t="s">
        <v>34</v>
      </c>
      <c r="P250" s="8">
        <f>Table1[Quantity]*Table1[Unit_Price]</f>
        <v>29.03</v>
      </c>
      <c r="Q250" s="1">
        <f>Table1[Profit]/Table1[Total_Sales]</f>
        <v>2.9006526468455404E-2</v>
      </c>
      <c r="R250" s="14">
        <f>Table1[Total_Sales]+Table1[Shipping_Cost]</f>
        <v>38.39</v>
      </c>
    </row>
    <row r="251" spans="1:18" x14ac:dyDescent="0.35">
      <c r="A251" s="3" t="s">
        <v>584</v>
      </c>
      <c r="B251" s="2">
        <v>45083</v>
      </c>
      <c r="C251" s="1" t="s">
        <v>585</v>
      </c>
      <c r="D251" s="1" t="s">
        <v>30</v>
      </c>
      <c r="E251" s="1" t="s">
        <v>92</v>
      </c>
      <c r="F251" s="1" t="s">
        <v>60</v>
      </c>
      <c r="G251" s="1" t="s">
        <v>32</v>
      </c>
      <c r="H251" s="1" t="s">
        <v>149</v>
      </c>
      <c r="I251" s="1">
        <v>1</v>
      </c>
      <c r="J251" s="1">
        <v>6.69</v>
      </c>
      <c r="K251" s="1">
        <v>0</v>
      </c>
      <c r="L251" s="1">
        <v>6.69</v>
      </c>
      <c r="M251" s="1">
        <v>10.56</v>
      </c>
      <c r="N251" s="1">
        <v>-6.88</v>
      </c>
      <c r="O251" s="6" t="s">
        <v>22</v>
      </c>
      <c r="P251" s="8">
        <f>Table1[Quantity]*Table1[Unit_Price]</f>
        <v>6.69</v>
      </c>
      <c r="Q251" s="1">
        <f>Table1[Profit]/Table1[Total_Sales]</f>
        <v>-1.0284005979073243</v>
      </c>
      <c r="R251" s="14">
        <f>Table1[Total_Sales]+Table1[Shipping_Cost]</f>
        <v>17.25</v>
      </c>
    </row>
    <row r="252" spans="1:18" x14ac:dyDescent="0.35">
      <c r="A252" s="3" t="s">
        <v>586</v>
      </c>
      <c r="B252" s="2">
        <v>45083</v>
      </c>
      <c r="C252" s="1" t="s">
        <v>587</v>
      </c>
      <c r="D252" s="1" t="s">
        <v>30</v>
      </c>
      <c r="E252" s="1" t="s">
        <v>92</v>
      </c>
      <c r="F252" s="1" t="s">
        <v>60</v>
      </c>
      <c r="G252" s="1" t="s">
        <v>20</v>
      </c>
      <c r="H252" s="1" t="s">
        <v>55</v>
      </c>
      <c r="I252" s="1">
        <v>4</v>
      </c>
      <c r="J252" s="1">
        <v>59.29</v>
      </c>
      <c r="K252" s="1">
        <v>20</v>
      </c>
      <c r="L252" s="1">
        <v>189.73</v>
      </c>
      <c r="M252" s="1">
        <v>13.59</v>
      </c>
      <c r="N252" s="1">
        <v>45.7</v>
      </c>
      <c r="O252" s="6" t="s">
        <v>22</v>
      </c>
      <c r="P252" s="8">
        <f>Table1[Quantity]*Table1[Unit_Price]</f>
        <v>237.16</v>
      </c>
      <c r="Q252" s="1">
        <f>Table1[Profit]/Table1[Total_Sales]</f>
        <v>0.24086860275127817</v>
      </c>
      <c r="R252" s="14">
        <f>Table1[Total_Sales]+Table1[Shipping_Cost]</f>
        <v>203.32</v>
      </c>
    </row>
    <row r="253" spans="1:18" x14ac:dyDescent="0.35">
      <c r="A253" s="3" t="s">
        <v>588</v>
      </c>
      <c r="B253" s="2">
        <v>45083</v>
      </c>
      <c r="C253" s="1" t="s">
        <v>589</v>
      </c>
      <c r="D253" s="1" t="s">
        <v>17</v>
      </c>
      <c r="E253" s="1" t="s">
        <v>63</v>
      </c>
      <c r="F253" s="1" t="s">
        <v>54</v>
      </c>
      <c r="G253" s="1" t="s">
        <v>69</v>
      </c>
      <c r="H253" s="1" t="s">
        <v>70</v>
      </c>
      <c r="I253" s="1">
        <v>1</v>
      </c>
      <c r="J253" s="1">
        <v>31.48</v>
      </c>
      <c r="K253" s="1">
        <v>5</v>
      </c>
      <c r="L253" s="1">
        <v>29.91</v>
      </c>
      <c r="M253" s="1">
        <v>12.24</v>
      </c>
      <c r="N253" s="1">
        <v>1.93</v>
      </c>
      <c r="O253" s="6" t="s">
        <v>39</v>
      </c>
      <c r="P253" s="8">
        <f>Table1[Quantity]*Table1[Unit_Price]</f>
        <v>31.48</v>
      </c>
      <c r="Q253" s="1">
        <f>Table1[Profit]/Table1[Total_Sales]</f>
        <v>6.4526914075560007E-2</v>
      </c>
      <c r="R253" s="14">
        <f>Table1[Total_Sales]+Table1[Shipping_Cost]</f>
        <v>42.15</v>
      </c>
    </row>
    <row r="254" spans="1:18" x14ac:dyDescent="0.35">
      <c r="A254" s="3" t="s">
        <v>590</v>
      </c>
      <c r="B254" s="2">
        <v>45083</v>
      </c>
      <c r="C254" s="1" t="s">
        <v>591</v>
      </c>
      <c r="D254" s="1" t="s">
        <v>17</v>
      </c>
      <c r="E254" s="1" t="s">
        <v>248</v>
      </c>
      <c r="F254" s="1" t="s">
        <v>26</v>
      </c>
      <c r="G254" s="1" t="s">
        <v>32</v>
      </c>
      <c r="H254" s="1" t="s">
        <v>132</v>
      </c>
      <c r="I254" s="1">
        <v>3</v>
      </c>
      <c r="J254" s="1">
        <v>7.93</v>
      </c>
      <c r="K254" s="1">
        <v>0</v>
      </c>
      <c r="L254" s="1">
        <v>23.79</v>
      </c>
      <c r="M254" s="1">
        <v>14.01</v>
      </c>
      <c r="N254" s="1">
        <v>-0.93</v>
      </c>
      <c r="O254" s="6" t="s">
        <v>39</v>
      </c>
      <c r="P254" s="8">
        <f>Table1[Quantity]*Table1[Unit_Price]</f>
        <v>23.79</v>
      </c>
      <c r="Q254" s="1">
        <f>Table1[Profit]/Table1[Total_Sales]</f>
        <v>-3.9092055485498114E-2</v>
      </c>
      <c r="R254" s="14">
        <f>Table1[Total_Sales]+Table1[Shipping_Cost]</f>
        <v>37.799999999999997</v>
      </c>
    </row>
    <row r="255" spans="1:18" x14ac:dyDescent="0.35">
      <c r="A255" s="3" t="s">
        <v>592</v>
      </c>
      <c r="B255" s="2">
        <v>45084</v>
      </c>
      <c r="C255" s="1" t="s">
        <v>593</v>
      </c>
      <c r="D255" s="1" t="s">
        <v>30</v>
      </c>
      <c r="E255" s="1" t="s">
        <v>53</v>
      </c>
      <c r="F255" s="1" t="s">
        <v>54</v>
      </c>
      <c r="G255" s="1" t="s">
        <v>20</v>
      </c>
      <c r="H255" s="1" t="s">
        <v>175</v>
      </c>
      <c r="I255" s="1">
        <v>6</v>
      </c>
      <c r="J255" s="1">
        <v>24.62</v>
      </c>
      <c r="K255" s="1">
        <v>5</v>
      </c>
      <c r="L255" s="1">
        <v>140.33000000000001</v>
      </c>
      <c r="M255" s="1">
        <v>24.76</v>
      </c>
      <c r="N255" s="1">
        <v>34.32</v>
      </c>
      <c r="O255" s="6" t="s">
        <v>34</v>
      </c>
      <c r="P255" s="8">
        <f>Table1[Quantity]*Table1[Unit_Price]</f>
        <v>147.72</v>
      </c>
      <c r="Q255" s="1">
        <f>Table1[Profit]/Table1[Total_Sales]</f>
        <v>0.24456637924891325</v>
      </c>
      <c r="R255" s="14">
        <f>Table1[Total_Sales]+Table1[Shipping_Cost]</f>
        <v>165.09</v>
      </c>
    </row>
    <row r="256" spans="1:18" x14ac:dyDescent="0.35">
      <c r="A256" s="3" t="s">
        <v>594</v>
      </c>
      <c r="B256" s="2">
        <v>45084</v>
      </c>
      <c r="C256" s="1" t="s">
        <v>555</v>
      </c>
      <c r="D256" s="1" t="s">
        <v>17</v>
      </c>
      <c r="E256" s="1" t="s">
        <v>76</v>
      </c>
      <c r="F256" s="1" t="s">
        <v>26</v>
      </c>
      <c r="G256" s="1" t="s">
        <v>20</v>
      </c>
      <c r="H256" s="1" t="s">
        <v>199</v>
      </c>
      <c r="I256" s="1">
        <v>4</v>
      </c>
      <c r="J256" s="1">
        <v>72.94</v>
      </c>
      <c r="K256" s="1">
        <v>20</v>
      </c>
      <c r="L256" s="1">
        <v>233.41</v>
      </c>
      <c r="M256" s="1">
        <v>16.18</v>
      </c>
      <c r="N256" s="1">
        <v>56.76</v>
      </c>
      <c r="O256" s="6" t="s">
        <v>22</v>
      </c>
      <c r="P256" s="8">
        <f>Table1[Quantity]*Table1[Unit_Price]</f>
        <v>291.76</v>
      </c>
      <c r="Q256" s="1">
        <f>Table1[Profit]/Table1[Total_Sales]</f>
        <v>0.24317724176342059</v>
      </c>
      <c r="R256" s="14">
        <f>Table1[Total_Sales]+Table1[Shipping_Cost]</f>
        <v>249.59</v>
      </c>
    </row>
    <row r="257" spans="1:18" x14ac:dyDescent="0.35">
      <c r="A257" s="3" t="s">
        <v>595</v>
      </c>
      <c r="B257" s="2">
        <v>45084</v>
      </c>
      <c r="C257" s="1" t="s">
        <v>596</v>
      </c>
      <c r="D257" s="1" t="s">
        <v>30</v>
      </c>
      <c r="E257" s="1" t="s">
        <v>18</v>
      </c>
      <c r="F257" s="1" t="s">
        <v>19</v>
      </c>
      <c r="G257" s="1" t="s">
        <v>20</v>
      </c>
      <c r="H257" s="1" t="s">
        <v>264</v>
      </c>
      <c r="I257" s="1">
        <v>2</v>
      </c>
      <c r="J257" s="1">
        <v>32.450000000000003</v>
      </c>
      <c r="K257" s="1">
        <v>10</v>
      </c>
      <c r="L257" s="1">
        <v>58.41</v>
      </c>
      <c r="M257" s="1">
        <v>8.6199999999999992</v>
      </c>
      <c r="N257" s="1">
        <v>14.09</v>
      </c>
      <c r="O257" s="6" t="s">
        <v>34</v>
      </c>
      <c r="P257" s="8">
        <f>Table1[Quantity]*Table1[Unit_Price]</f>
        <v>64.900000000000006</v>
      </c>
      <c r="Q257" s="1">
        <f>Table1[Profit]/Table1[Total_Sales]</f>
        <v>0.24122581749700395</v>
      </c>
      <c r="R257" s="14">
        <f>Table1[Total_Sales]+Table1[Shipping_Cost]</f>
        <v>67.03</v>
      </c>
    </row>
    <row r="258" spans="1:18" x14ac:dyDescent="0.35">
      <c r="A258" s="3" t="s">
        <v>597</v>
      </c>
      <c r="B258" s="2">
        <v>45085</v>
      </c>
      <c r="C258" s="1" t="s">
        <v>307</v>
      </c>
      <c r="D258" s="1" t="s">
        <v>17</v>
      </c>
      <c r="E258" s="1" t="s">
        <v>59</v>
      </c>
      <c r="F258" s="1" t="s">
        <v>60</v>
      </c>
      <c r="G258" s="1" t="s">
        <v>32</v>
      </c>
      <c r="H258" s="1" t="s">
        <v>348</v>
      </c>
      <c r="I258" s="1">
        <v>6</v>
      </c>
      <c r="J258" s="1">
        <v>5.73</v>
      </c>
      <c r="K258" s="1">
        <v>15</v>
      </c>
      <c r="L258" s="1">
        <v>29.22</v>
      </c>
      <c r="M258" s="1">
        <v>18.91</v>
      </c>
      <c r="N258" s="1">
        <v>-5.16</v>
      </c>
      <c r="O258" s="6" t="s">
        <v>22</v>
      </c>
      <c r="P258" s="8">
        <f>Table1[Quantity]*Table1[Unit_Price]</f>
        <v>34.380000000000003</v>
      </c>
      <c r="Q258" s="1">
        <f>Table1[Profit]/Table1[Total_Sales]</f>
        <v>-0.17659137577002054</v>
      </c>
      <c r="R258" s="14">
        <f>Table1[Total_Sales]+Table1[Shipping_Cost]</f>
        <v>48.129999999999995</v>
      </c>
    </row>
    <row r="259" spans="1:18" x14ac:dyDescent="0.35">
      <c r="A259" s="3" t="s">
        <v>598</v>
      </c>
      <c r="B259" s="2">
        <v>45085</v>
      </c>
      <c r="C259" s="1" t="s">
        <v>599</v>
      </c>
      <c r="D259" s="1" t="s">
        <v>30</v>
      </c>
      <c r="E259" s="1" t="s">
        <v>148</v>
      </c>
      <c r="F259" s="1" t="s">
        <v>60</v>
      </c>
      <c r="G259" s="1" t="s">
        <v>69</v>
      </c>
      <c r="H259" s="1" t="s">
        <v>70</v>
      </c>
      <c r="I259" s="1">
        <v>4</v>
      </c>
      <c r="J259" s="1">
        <v>38.869999999999997</v>
      </c>
      <c r="K259" s="1">
        <v>5</v>
      </c>
      <c r="L259" s="1">
        <v>147.71</v>
      </c>
      <c r="M259" s="1">
        <v>14.04</v>
      </c>
      <c r="N259" s="1">
        <v>55.93</v>
      </c>
      <c r="O259" s="6" t="s">
        <v>34</v>
      </c>
      <c r="P259" s="8">
        <f>Table1[Quantity]*Table1[Unit_Price]</f>
        <v>155.47999999999999</v>
      </c>
      <c r="Q259" s="1">
        <f>Table1[Profit]/Table1[Total_Sales]</f>
        <v>0.37864734953625345</v>
      </c>
      <c r="R259" s="14">
        <f>Table1[Total_Sales]+Table1[Shipping_Cost]</f>
        <v>161.75</v>
      </c>
    </row>
    <row r="260" spans="1:18" x14ac:dyDescent="0.35">
      <c r="A260" s="3" t="s">
        <v>600</v>
      </c>
      <c r="B260" s="2">
        <v>45085</v>
      </c>
      <c r="C260" s="1" t="s">
        <v>601</v>
      </c>
      <c r="D260" s="1" t="s">
        <v>30</v>
      </c>
      <c r="E260" s="1" t="s">
        <v>18</v>
      </c>
      <c r="F260" s="1" t="s">
        <v>19</v>
      </c>
      <c r="G260" s="1" t="s">
        <v>32</v>
      </c>
      <c r="H260" s="1" t="s">
        <v>33</v>
      </c>
      <c r="I260" s="1">
        <v>2</v>
      </c>
      <c r="J260" s="1">
        <v>6.85</v>
      </c>
      <c r="K260" s="1">
        <v>0</v>
      </c>
      <c r="L260" s="1">
        <v>13.7</v>
      </c>
      <c r="M260" s="1">
        <v>7.41</v>
      </c>
      <c r="N260" s="1">
        <v>0.12</v>
      </c>
      <c r="O260" s="6" t="s">
        <v>34</v>
      </c>
      <c r="P260" s="8">
        <f>Table1[Quantity]*Table1[Unit_Price]</f>
        <v>13.7</v>
      </c>
      <c r="Q260" s="1">
        <f>Table1[Profit]/Table1[Total_Sales]</f>
        <v>8.7591240875912416E-3</v>
      </c>
      <c r="R260" s="14">
        <f>Table1[Total_Sales]+Table1[Shipping_Cost]</f>
        <v>21.11</v>
      </c>
    </row>
    <row r="261" spans="1:18" x14ac:dyDescent="0.35">
      <c r="A261" s="3" t="s">
        <v>602</v>
      </c>
      <c r="B261" s="2">
        <v>45086</v>
      </c>
      <c r="C261" s="1" t="s">
        <v>603</v>
      </c>
      <c r="D261" s="1" t="s">
        <v>30</v>
      </c>
      <c r="E261" s="1" t="s">
        <v>18</v>
      </c>
      <c r="F261" s="1" t="s">
        <v>19</v>
      </c>
      <c r="G261" s="1" t="s">
        <v>42</v>
      </c>
      <c r="H261" s="1" t="s">
        <v>255</v>
      </c>
      <c r="I261" s="1">
        <v>2</v>
      </c>
      <c r="J261" s="1">
        <v>16.260000000000002</v>
      </c>
      <c r="K261" s="1">
        <v>5</v>
      </c>
      <c r="L261" s="1">
        <v>30.89</v>
      </c>
      <c r="M261" s="1">
        <v>6.26</v>
      </c>
      <c r="N261" s="1">
        <v>5.12</v>
      </c>
      <c r="O261" s="6" t="s">
        <v>39</v>
      </c>
      <c r="P261" s="8">
        <f>Table1[Quantity]*Table1[Unit_Price]</f>
        <v>32.520000000000003</v>
      </c>
      <c r="Q261" s="1">
        <f>Table1[Profit]/Table1[Total_Sales]</f>
        <v>0.16574943347361606</v>
      </c>
      <c r="R261" s="14">
        <f>Table1[Total_Sales]+Table1[Shipping_Cost]</f>
        <v>37.15</v>
      </c>
    </row>
    <row r="262" spans="1:18" x14ac:dyDescent="0.35">
      <c r="A262" s="3" t="s">
        <v>604</v>
      </c>
      <c r="B262" s="2">
        <v>45086</v>
      </c>
      <c r="C262" s="1" t="s">
        <v>605</v>
      </c>
      <c r="D262" s="1" t="s">
        <v>17</v>
      </c>
      <c r="E262" s="1" t="s">
        <v>63</v>
      </c>
      <c r="F262" s="1" t="s">
        <v>54</v>
      </c>
      <c r="G262" s="1" t="s">
        <v>20</v>
      </c>
      <c r="H262" s="1" t="s">
        <v>264</v>
      </c>
      <c r="I262" s="1">
        <v>1</v>
      </c>
      <c r="J262" s="1">
        <v>23.01</v>
      </c>
      <c r="K262" s="1">
        <v>5</v>
      </c>
      <c r="L262" s="1">
        <v>21.86</v>
      </c>
      <c r="M262" s="1">
        <v>13.14</v>
      </c>
      <c r="N262" s="1">
        <v>-3.94</v>
      </c>
      <c r="O262" s="6" t="s">
        <v>34</v>
      </c>
      <c r="P262" s="8">
        <f>Table1[Quantity]*Table1[Unit_Price]</f>
        <v>23.01</v>
      </c>
      <c r="Q262" s="1">
        <f>Table1[Profit]/Table1[Total_Sales]</f>
        <v>-0.18023787740164685</v>
      </c>
      <c r="R262" s="14">
        <f>Table1[Total_Sales]+Table1[Shipping_Cost]</f>
        <v>35</v>
      </c>
    </row>
    <row r="263" spans="1:18" x14ac:dyDescent="0.35">
      <c r="A263" s="3" t="s">
        <v>606</v>
      </c>
      <c r="B263" s="2">
        <v>45086</v>
      </c>
      <c r="C263" s="1" t="s">
        <v>607</v>
      </c>
      <c r="D263" s="1" t="s">
        <v>49</v>
      </c>
      <c r="E263" s="1" t="s">
        <v>63</v>
      </c>
      <c r="F263" s="1" t="s">
        <v>54</v>
      </c>
      <c r="G263" s="1" t="s">
        <v>32</v>
      </c>
      <c r="H263" s="1" t="s">
        <v>50</v>
      </c>
      <c r="I263" s="1">
        <v>4</v>
      </c>
      <c r="J263" s="1">
        <v>22.5</v>
      </c>
      <c r="K263" s="1">
        <v>15</v>
      </c>
      <c r="L263" s="1">
        <v>76.5</v>
      </c>
      <c r="M263" s="1">
        <v>20.57</v>
      </c>
      <c r="N263" s="1">
        <v>15.43</v>
      </c>
      <c r="O263" s="6" t="s">
        <v>22</v>
      </c>
      <c r="P263" s="8">
        <f>Table1[Quantity]*Table1[Unit_Price]</f>
        <v>90</v>
      </c>
      <c r="Q263" s="1">
        <f>Table1[Profit]/Table1[Total_Sales]</f>
        <v>0.20169934640522874</v>
      </c>
      <c r="R263" s="14">
        <f>Table1[Total_Sales]+Table1[Shipping_Cost]</f>
        <v>97.07</v>
      </c>
    </row>
    <row r="264" spans="1:18" x14ac:dyDescent="0.35">
      <c r="A264" s="3" t="s">
        <v>608</v>
      </c>
      <c r="B264" s="2">
        <v>45087</v>
      </c>
      <c r="C264" s="1" t="s">
        <v>609</v>
      </c>
      <c r="D264" s="1" t="s">
        <v>30</v>
      </c>
      <c r="E264" s="1" t="s">
        <v>129</v>
      </c>
      <c r="F264" s="1" t="s">
        <v>19</v>
      </c>
      <c r="G264" s="1" t="s">
        <v>42</v>
      </c>
      <c r="H264" s="1" t="s">
        <v>93</v>
      </c>
      <c r="I264" s="1">
        <v>3</v>
      </c>
      <c r="J264" s="1">
        <v>229.47</v>
      </c>
      <c r="K264" s="1">
        <v>15</v>
      </c>
      <c r="L264" s="1">
        <v>585.15</v>
      </c>
      <c r="M264" s="1">
        <v>9.83</v>
      </c>
      <c r="N264" s="1">
        <v>162.27000000000001</v>
      </c>
      <c r="O264" s="6" t="s">
        <v>34</v>
      </c>
      <c r="P264" s="8">
        <f>Table1[Quantity]*Table1[Unit_Price]</f>
        <v>688.41</v>
      </c>
      <c r="Q264" s="1">
        <f>Table1[Profit]/Table1[Total_Sales]</f>
        <v>0.27731350935657528</v>
      </c>
      <c r="R264" s="14">
        <f>Table1[Total_Sales]+Table1[Shipping_Cost]</f>
        <v>594.98</v>
      </c>
    </row>
    <row r="265" spans="1:18" x14ac:dyDescent="0.35">
      <c r="A265" s="3" t="s">
        <v>610</v>
      </c>
      <c r="B265" s="2">
        <v>45088</v>
      </c>
      <c r="C265" s="1" t="s">
        <v>611</v>
      </c>
      <c r="D265" s="1" t="s">
        <v>49</v>
      </c>
      <c r="E265" s="1" t="s">
        <v>129</v>
      </c>
      <c r="F265" s="1" t="s">
        <v>19</v>
      </c>
      <c r="G265" s="1" t="s">
        <v>42</v>
      </c>
      <c r="H265" s="1" t="s">
        <v>89</v>
      </c>
      <c r="I265" s="1">
        <v>5</v>
      </c>
      <c r="J265" s="1">
        <v>336.47</v>
      </c>
      <c r="K265" s="1">
        <v>0</v>
      </c>
      <c r="L265" s="1">
        <v>1682.35</v>
      </c>
      <c r="M265" s="1">
        <v>15.78</v>
      </c>
      <c r="N265" s="1">
        <v>657.16</v>
      </c>
      <c r="O265" s="6" t="s">
        <v>34</v>
      </c>
      <c r="P265" s="8">
        <f>Table1[Quantity]*Table1[Unit_Price]</f>
        <v>1682.3500000000001</v>
      </c>
      <c r="Q265" s="1">
        <f>Table1[Profit]/Table1[Total_Sales]</f>
        <v>0.39062026332213867</v>
      </c>
      <c r="R265" s="14">
        <f>Table1[Total_Sales]+Table1[Shipping_Cost]</f>
        <v>1698.1299999999999</v>
      </c>
    </row>
    <row r="266" spans="1:18" x14ac:dyDescent="0.35">
      <c r="A266" s="3" t="s">
        <v>612</v>
      </c>
      <c r="B266" s="2">
        <v>45088</v>
      </c>
      <c r="C266" s="1" t="s">
        <v>613</v>
      </c>
      <c r="D266" s="1" t="s">
        <v>30</v>
      </c>
      <c r="E266" s="1" t="s">
        <v>92</v>
      </c>
      <c r="F266" s="1" t="s">
        <v>60</v>
      </c>
      <c r="G266" s="1" t="s">
        <v>42</v>
      </c>
      <c r="H266" s="1" t="s">
        <v>46</v>
      </c>
      <c r="I266" s="1">
        <v>2</v>
      </c>
      <c r="J266" s="1">
        <v>122.54</v>
      </c>
      <c r="K266" s="1">
        <v>0</v>
      </c>
      <c r="L266" s="1">
        <v>245.08</v>
      </c>
      <c r="M266" s="1">
        <v>11.78</v>
      </c>
      <c r="N266" s="1">
        <v>86.25</v>
      </c>
      <c r="O266" s="6" t="s">
        <v>34</v>
      </c>
      <c r="P266" s="8">
        <f>Table1[Quantity]*Table1[Unit_Price]</f>
        <v>245.08</v>
      </c>
      <c r="Q266" s="1">
        <f>Table1[Profit]/Table1[Total_Sales]</f>
        <v>0.35192590174636851</v>
      </c>
      <c r="R266" s="14">
        <f>Table1[Total_Sales]+Table1[Shipping_Cost]</f>
        <v>256.86</v>
      </c>
    </row>
    <row r="267" spans="1:18" x14ac:dyDescent="0.35">
      <c r="A267" s="3" t="s">
        <v>614</v>
      </c>
      <c r="B267" s="2">
        <v>45088</v>
      </c>
      <c r="C267" s="1" t="s">
        <v>615</v>
      </c>
      <c r="D267" s="1" t="s">
        <v>49</v>
      </c>
      <c r="E267" s="1" t="s">
        <v>18</v>
      </c>
      <c r="F267" s="1" t="s">
        <v>19</v>
      </c>
      <c r="G267" s="1" t="s">
        <v>20</v>
      </c>
      <c r="H267" s="1" t="s">
        <v>122</v>
      </c>
      <c r="I267" s="1">
        <v>5</v>
      </c>
      <c r="J267" s="1">
        <v>88.03</v>
      </c>
      <c r="K267" s="1">
        <v>15</v>
      </c>
      <c r="L267" s="1">
        <v>374.13</v>
      </c>
      <c r="M267" s="1">
        <v>16.63</v>
      </c>
      <c r="N267" s="1">
        <v>115.42</v>
      </c>
      <c r="O267" s="6" t="s">
        <v>34</v>
      </c>
      <c r="P267" s="8">
        <f>Table1[Quantity]*Table1[Unit_Price]</f>
        <v>440.15</v>
      </c>
      <c r="Q267" s="1">
        <f>Table1[Profit]/Table1[Total_Sales]</f>
        <v>0.30850239221660919</v>
      </c>
      <c r="R267" s="14">
        <f>Table1[Total_Sales]+Table1[Shipping_Cost]</f>
        <v>390.76</v>
      </c>
    </row>
    <row r="268" spans="1:18" x14ac:dyDescent="0.35">
      <c r="A268" s="3" t="s">
        <v>616</v>
      </c>
      <c r="B268" s="2">
        <v>45088</v>
      </c>
      <c r="C268" s="1" t="s">
        <v>617</v>
      </c>
      <c r="D268" s="1" t="s">
        <v>30</v>
      </c>
      <c r="E268" s="1" t="s">
        <v>76</v>
      </c>
      <c r="F268" s="1" t="s">
        <v>26</v>
      </c>
      <c r="G268" s="1" t="s">
        <v>42</v>
      </c>
      <c r="H268" s="1" t="s">
        <v>255</v>
      </c>
      <c r="I268" s="1">
        <v>4</v>
      </c>
      <c r="J268" s="1">
        <v>24.66</v>
      </c>
      <c r="K268" s="1">
        <v>0</v>
      </c>
      <c r="L268" s="1">
        <v>98.64</v>
      </c>
      <c r="M268" s="1">
        <v>16.03</v>
      </c>
      <c r="N268" s="1">
        <v>23.43</v>
      </c>
      <c r="O268" s="6" t="s">
        <v>22</v>
      </c>
      <c r="P268" s="8">
        <f>Table1[Quantity]*Table1[Unit_Price]</f>
        <v>98.64</v>
      </c>
      <c r="Q268" s="1">
        <f>Table1[Profit]/Table1[Total_Sales]</f>
        <v>0.23753041362530414</v>
      </c>
      <c r="R268" s="14">
        <f>Table1[Total_Sales]+Table1[Shipping_Cost]</f>
        <v>114.67</v>
      </c>
    </row>
    <row r="269" spans="1:18" x14ac:dyDescent="0.35">
      <c r="A269" s="3" t="s">
        <v>618</v>
      </c>
      <c r="B269" s="2">
        <v>45088</v>
      </c>
      <c r="C269" s="1" t="s">
        <v>619</v>
      </c>
      <c r="D269" s="1" t="s">
        <v>30</v>
      </c>
      <c r="E269" s="1" t="s">
        <v>37</v>
      </c>
      <c r="F269" s="1" t="s">
        <v>26</v>
      </c>
      <c r="G269" s="1" t="s">
        <v>20</v>
      </c>
      <c r="H269" s="1" t="s">
        <v>38</v>
      </c>
      <c r="I269" s="1">
        <v>3</v>
      </c>
      <c r="J269" s="1">
        <v>60.58</v>
      </c>
      <c r="K269" s="1">
        <v>10</v>
      </c>
      <c r="L269" s="1">
        <v>163.57</v>
      </c>
      <c r="M269" s="1">
        <v>9.75</v>
      </c>
      <c r="N269" s="1">
        <v>53.86</v>
      </c>
      <c r="O269" s="6" t="s">
        <v>34</v>
      </c>
      <c r="P269" s="8">
        <f>Table1[Quantity]*Table1[Unit_Price]</f>
        <v>181.74</v>
      </c>
      <c r="Q269" s="1">
        <f>Table1[Profit]/Table1[Total_Sales]</f>
        <v>0.32927798496056737</v>
      </c>
      <c r="R269" s="14">
        <f>Table1[Total_Sales]+Table1[Shipping_Cost]</f>
        <v>173.32</v>
      </c>
    </row>
    <row r="270" spans="1:18" x14ac:dyDescent="0.35">
      <c r="A270" s="3" t="s">
        <v>620</v>
      </c>
      <c r="B270" s="2">
        <v>45089</v>
      </c>
      <c r="C270" s="1" t="s">
        <v>621</v>
      </c>
      <c r="D270" s="1" t="s">
        <v>17</v>
      </c>
      <c r="E270" s="1" t="s">
        <v>76</v>
      </c>
      <c r="F270" s="1" t="s">
        <v>26</v>
      </c>
      <c r="G270" s="1" t="s">
        <v>20</v>
      </c>
      <c r="H270" s="1" t="s">
        <v>27</v>
      </c>
      <c r="I270" s="1">
        <v>3</v>
      </c>
      <c r="J270" s="1">
        <v>158.55000000000001</v>
      </c>
      <c r="K270" s="1">
        <v>15</v>
      </c>
      <c r="L270" s="1">
        <v>404.3</v>
      </c>
      <c r="M270" s="1">
        <v>11.67</v>
      </c>
      <c r="N270" s="1">
        <v>131.02000000000001</v>
      </c>
      <c r="O270" s="6" t="s">
        <v>34</v>
      </c>
      <c r="P270" s="8">
        <f>Table1[Quantity]*Table1[Unit_Price]</f>
        <v>475.65000000000003</v>
      </c>
      <c r="Q270" s="1">
        <f>Table1[Profit]/Table1[Total_Sales]</f>
        <v>0.32406628741033888</v>
      </c>
      <c r="R270" s="14">
        <f>Table1[Total_Sales]+Table1[Shipping_Cost]</f>
        <v>415.97</v>
      </c>
    </row>
    <row r="271" spans="1:18" x14ac:dyDescent="0.35">
      <c r="A271" s="3" t="s">
        <v>622</v>
      </c>
      <c r="B271" s="2">
        <v>45089</v>
      </c>
      <c r="C271" s="1" t="s">
        <v>623</v>
      </c>
      <c r="D271" s="1" t="s">
        <v>17</v>
      </c>
      <c r="E271" s="1" t="s">
        <v>18</v>
      </c>
      <c r="F271" s="1" t="s">
        <v>19</v>
      </c>
      <c r="G271" s="1" t="s">
        <v>42</v>
      </c>
      <c r="H271" s="1" t="s">
        <v>118</v>
      </c>
      <c r="I271" s="1">
        <v>6</v>
      </c>
      <c r="J271" s="1">
        <v>43.48</v>
      </c>
      <c r="K271" s="1">
        <v>15</v>
      </c>
      <c r="L271" s="1">
        <v>221.75</v>
      </c>
      <c r="M271" s="1">
        <v>13.94</v>
      </c>
      <c r="N271" s="1">
        <v>51.28</v>
      </c>
      <c r="O271" s="6" t="s">
        <v>56</v>
      </c>
      <c r="P271" s="8">
        <f>Table1[Quantity]*Table1[Unit_Price]</f>
        <v>260.88</v>
      </c>
      <c r="Q271" s="1">
        <f>Table1[Profit]/Table1[Total_Sales]</f>
        <v>0.23125140924464488</v>
      </c>
      <c r="R271" s="14">
        <f>Table1[Total_Sales]+Table1[Shipping_Cost]</f>
        <v>235.69</v>
      </c>
    </row>
    <row r="272" spans="1:18" x14ac:dyDescent="0.35">
      <c r="A272" s="3" t="s">
        <v>624</v>
      </c>
      <c r="B272" s="2">
        <v>45089</v>
      </c>
      <c r="C272" s="1" t="s">
        <v>625</v>
      </c>
      <c r="D272" s="1" t="s">
        <v>30</v>
      </c>
      <c r="E272" s="1" t="s">
        <v>85</v>
      </c>
      <c r="F272" s="1" t="s">
        <v>60</v>
      </c>
      <c r="G272" s="1" t="s">
        <v>20</v>
      </c>
      <c r="H272" s="1" t="s">
        <v>55</v>
      </c>
      <c r="I272" s="1">
        <v>15</v>
      </c>
      <c r="J272" s="1">
        <v>33.119999999999997</v>
      </c>
      <c r="K272" s="1">
        <v>0</v>
      </c>
      <c r="L272" s="1">
        <v>496.8</v>
      </c>
      <c r="M272" s="1">
        <v>38.18</v>
      </c>
      <c r="N272" s="1">
        <v>185.38</v>
      </c>
      <c r="O272" s="6" t="s">
        <v>34</v>
      </c>
      <c r="P272" s="8">
        <f>Table1[Quantity]*Table1[Unit_Price]</f>
        <v>496.79999999999995</v>
      </c>
      <c r="Q272" s="1">
        <f>Table1[Profit]/Table1[Total_Sales]</f>
        <v>0.37314814814814812</v>
      </c>
      <c r="R272" s="14">
        <f>Table1[Total_Sales]+Table1[Shipping_Cost]</f>
        <v>534.98</v>
      </c>
    </row>
    <row r="273" spans="1:18" x14ac:dyDescent="0.35">
      <c r="A273" s="3" t="s">
        <v>626</v>
      </c>
      <c r="B273" s="2">
        <v>45090</v>
      </c>
      <c r="C273" s="1" t="s">
        <v>627</v>
      </c>
      <c r="D273" s="1" t="s">
        <v>30</v>
      </c>
      <c r="E273" s="1" t="s">
        <v>31</v>
      </c>
      <c r="F273" s="1" t="s">
        <v>19</v>
      </c>
      <c r="G273" s="1" t="s">
        <v>20</v>
      </c>
      <c r="H273" s="1" t="s">
        <v>106</v>
      </c>
      <c r="I273" s="1">
        <v>1</v>
      </c>
      <c r="J273" s="1">
        <v>30.15</v>
      </c>
      <c r="K273" s="1">
        <v>15</v>
      </c>
      <c r="L273" s="1">
        <v>25.63</v>
      </c>
      <c r="M273" s="1">
        <v>6.6</v>
      </c>
      <c r="N273" s="1">
        <v>2.4500000000000002</v>
      </c>
      <c r="O273" s="6" t="s">
        <v>34</v>
      </c>
      <c r="P273" s="8">
        <f>Table1[Quantity]*Table1[Unit_Price]</f>
        <v>30.15</v>
      </c>
      <c r="Q273" s="1">
        <f>Table1[Profit]/Table1[Total_Sales]</f>
        <v>9.5591104174795175E-2</v>
      </c>
      <c r="R273" s="14">
        <f>Table1[Total_Sales]+Table1[Shipping_Cost]</f>
        <v>32.229999999999997</v>
      </c>
    </row>
    <row r="274" spans="1:18" x14ac:dyDescent="0.35">
      <c r="A274" s="3" t="s">
        <v>628</v>
      </c>
      <c r="B274" s="2">
        <v>45090</v>
      </c>
      <c r="C274" s="1" t="s">
        <v>629</v>
      </c>
      <c r="D274" s="1" t="s">
        <v>17</v>
      </c>
      <c r="E274" s="1" t="s">
        <v>31</v>
      </c>
      <c r="F274" s="1" t="s">
        <v>19</v>
      </c>
      <c r="G274" s="1" t="s">
        <v>32</v>
      </c>
      <c r="H274" s="1" t="s">
        <v>82</v>
      </c>
      <c r="I274" s="1">
        <v>3</v>
      </c>
      <c r="J274" s="1">
        <v>18.829999999999998</v>
      </c>
      <c r="K274" s="1">
        <v>10</v>
      </c>
      <c r="L274" s="1">
        <v>50.84</v>
      </c>
      <c r="M274" s="1">
        <v>10.96</v>
      </c>
      <c r="N274" s="1">
        <v>14.46</v>
      </c>
      <c r="O274" s="6" t="s">
        <v>34</v>
      </c>
      <c r="P274" s="8">
        <f>Table1[Quantity]*Table1[Unit_Price]</f>
        <v>56.489999999999995</v>
      </c>
      <c r="Q274" s="1">
        <f>Table1[Profit]/Table1[Total_Sales]</f>
        <v>0.28442171518489379</v>
      </c>
      <c r="R274" s="14">
        <f>Table1[Total_Sales]+Table1[Shipping_Cost]</f>
        <v>61.800000000000004</v>
      </c>
    </row>
    <row r="275" spans="1:18" x14ac:dyDescent="0.35">
      <c r="A275" s="3" t="s">
        <v>630</v>
      </c>
      <c r="B275" s="2">
        <v>45091</v>
      </c>
      <c r="C275" s="1" t="s">
        <v>631</v>
      </c>
      <c r="D275" s="1" t="s">
        <v>30</v>
      </c>
      <c r="E275" s="1" t="s">
        <v>166</v>
      </c>
      <c r="F275" s="1" t="s">
        <v>60</v>
      </c>
      <c r="G275" s="1" t="s">
        <v>69</v>
      </c>
      <c r="H275" s="1" t="s">
        <v>243</v>
      </c>
      <c r="I275" s="1">
        <v>5</v>
      </c>
      <c r="J275" s="1">
        <v>17.239999999999998</v>
      </c>
      <c r="K275" s="1">
        <v>0</v>
      </c>
      <c r="L275" s="1">
        <v>86.2</v>
      </c>
      <c r="M275" s="1">
        <v>16.2</v>
      </c>
      <c r="N275" s="1">
        <v>26.9</v>
      </c>
      <c r="O275" s="6" t="s">
        <v>34</v>
      </c>
      <c r="P275" s="8">
        <f>Table1[Quantity]*Table1[Unit_Price]</f>
        <v>86.199999999999989</v>
      </c>
      <c r="Q275" s="1">
        <f>Table1[Profit]/Table1[Total_Sales]</f>
        <v>0.31206496519721577</v>
      </c>
      <c r="R275" s="14">
        <f>Table1[Total_Sales]+Table1[Shipping_Cost]</f>
        <v>102.4</v>
      </c>
    </row>
    <row r="276" spans="1:18" x14ac:dyDescent="0.35">
      <c r="A276" s="3" t="s">
        <v>632</v>
      </c>
      <c r="B276" s="2">
        <v>45091</v>
      </c>
      <c r="C276" s="1" t="s">
        <v>633</v>
      </c>
      <c r="D276" s="1" t="s">
        <v>49</v>
      </c>
      <c r="E276" s="1" t="s">
        <v>37</v>
      </c>
      <c r="F276" s="1" t="s">
        <v>26</v>
      </c>
      <c r="G276" s="1" t="s">
        <v>32</v>
      </c>
      <c r="H276" s="1" t="s">
        <v>73</v>
      </c>
      <c r="I276" s="1">
        <v>1</v>
      </c>
      <c r="J276" s="1">
        <v>6.68</v>
      </c>
      <c r="K276" s="1">
        <v>15</v>
      </c>
      <c r="L276" s="1">
        <v>5.68</v>
      </c>
      <c r="M276" s="1">
        <v>8.2200000000000006</v>
      </c>
      <c r="N276" s="1">
        <v>-5.55</v>
      </c>
      <c r="O276" s="6" t="s">
        <v>34</v>
      </c>
      <c r="P276" s="8">
        <f>Table1[Quantity]*Table1[Unit_Price]</f>
        <v>6.68</v>
      </c>
      <c r="Q276" s="1">
        <f>Table1[Profit]/Table1[Total_Sales]</f>
        <v>-0.977112676056338</v>
      </c>
      <c r="R276" s="14">
        <f>Table1[Total_Sales]+Table1[Shipping_Cost]</f>
        <v>13.9</v>
      </c>
    </row>
    <row r="277" spans="1:18" x14ac:dyDescent="0.35">
      <c r="A277" s="3" t="s">
        <v>634</v>
      </c>
      <c r="B277" s="2">
        <v>45094</v>
      </c>
      <c r="C277" s="1" t="s">
        <v>635</v>
      </c>
      <c r="D277" s="1" t="s">
        <v>17</v>
      </c>
      <c r="E277" s="1" t="s">
        <v>138</v>
      </c>
      <c r="F277" s="1" t="s">
        <v>54</v>
      </c>
      <c r="G277" s="1" t="s">
        <v>42</v>
      </c>
      <c r="H277" s="1" t="s">
        <v>118</v>
      </c>
      <c r="I277" s="1">
        <v>9</v>
      </c>
      <c r="J277" s="1">
        <v>33.65</v>
      </c>
      <c r="K277" s="1">
        <v>5</v>
      </c>
      <c r="L277" s="1">
        <v>287.70999999999998</v>
      </c>
      <c r="M277" s="1">
        <v>16.739999999999998</v>
      </c>
      <c r="N277" s="1">
        <v>89.26</v>
      </c>
      <c r="O277" s="6" t="s">
        <v>22</v>
      </c>
      <c r="P277" s="8">
        <f>Table1[Quantity]*Table1[Unit_Price]</f>
        <v>302.84999999999997</v>
      </c>
      <c r="Q277" s="1">
        <f>Table1[Profit]/Table1[Total_Sales]</f>
        <v>0.31024295297348026</v>
      </c>
      <c r="R277" s="14">
        <f>Table1[Total_Sales]+Table1[Shipping_Cost]</f>
        <v>304.45</v>
      </c>
    </row>
    <row r="278" spans="1:18" x14ac:dyDescent="0.35">
      <c r="A278" s="3" t="s">
        <v>636</v>
      </c>
      <c r="B278" s="2">
        <v>45094</v>
      </c>
      <c r="C278" s="1" t="s">
        <v>637</v>
      </c>
      <c r="D278" s="1" t="s">
        <v>30</v>
      </c>
      <c r="E278" s="1" t="s">
        <v>37</v>
      </c>
      <c r="F278" s="1" t="s">
        <v>26</v>
      </c>
      <c r="G278" s="1" t="s">
        <v>20</v>
      </c>
      <c r="H278" s="1" t="s">
        <v>106</v>
      </c>
      <c r="I278" s="1">
        <v>3</v>
      </c>
      <c r="J278" s="1">
        <v>69.430000000000007</v>
      </c>
      <c r="K278" s="1">
        <v>5</v>
      </c>
      <c r="L278" s="1">
        <v>197.88</v>
      </c>
      <c r="M278" s="1">
        <v>10.72</v>
      </c>
      <c r="N278" s="1">
        <v>72.599999999999994</v>
      </c>
      <c r="O278" s="6" t="s">
        <v>39</v>
      </c>
      <c r="P278" s="8">
        <f>Table1[Quantity]*Table1[Unit_Price]</f>
        <v>208.29000000000002</v>
      </c>
      <c r="Q278" s="1">
        <f>Table1[Profit]/Table1[Total_Sales]</f>
        <v>0.36688902365069737</v>
      </c>
      <c r="R278" s="14">
        <f>Table1[Total_Sales]+Table1[Shipping_Cost]</f>
        <v>208.6</v>
      </c>
    </row>
    <row r="279" spans="1:18" x14ac:dyDescent="0.35">
      <c r="A279" s="3" t="s">
        <v>638</v>
      </c>
      <c r="B279" s="2">
        <v>45095</v>
      </c>
      <c r="C279" s="1" t="s">
        <v>639</v>
      </c>
      <c r="D279" s="1" t="s">
        <v>30</v>
      </c>
      <c r="E279" s="1" t="s">
        <v>37</v>
      </c>
      <c r="F279" s="1" t="s">
        <v>26</v>
      </c>
      <c r="G279" s="1" t="s">
        <v>42</v>
      </c>
      <c r="H279" s="1" t="s">
        <v>89</v>
      </c>
      <c r="I279" s="1">
        <v>10</v>
      </c>
      <c r="J279" s="1">
        <v>398.27</v>
      </c>
      <c r="K279" s="1">
        <v>5</v>
      </c>
      <c r="L279" s="1">
        <v>3783.56</v>
      </c>
      <c r="M279" s="1">
        <v>20.309999999999999</v>
      </c>
      <c r="N279" s="1">
        <v>1373.63</v>
      </c>
      <c r="O279" s="6" t="s">
        <v>22</v>
      </c>
      <c r="P279" s="8">
        <f>Table1[Quantity]*Table1[Unit_Price]</f>
        <v>3982.7</v>
      </c>
      <c r="Q279" s="1">
        <f>Table1[Profit]/Table1[Total_Sales]</f>
        <v>0.36305225766209603</v>
      </c>
      <c r="R279" s="14">
        <f>Table1[Total_Sales]+Table1[Shipping_Cost]</f>
        <v>3803.87</v>
      </c>
    </row>
    <row r="280" spans="1:18" x14ac:dyDescent="0.35">
      <c r="A280" s="3" t="s">
        <v>640</v>
      </c>
      <c r="B280" s="2">
        <v>45096</v>
      </c>
      <c r="C280" s="1" t="s">
        <v>641</v>
      </c>
      <c r="D280" s="1" t="s">
        <v>17</v>
      </c>
      <c r="E280" s="1" t="s">
        <v>63</v>
      </c>
      <c r="F280" s="1" t="s">
        <v>54</v>
      </c>
      <c r="G280" s="1" t="s">
        <v>42</v>
      </c>
      <c r="H280" s="1" t="s">
        <v>43</v>
      </c>
      <c r="I280" s="1">
        <v>4</v>
      </c>
      <c r="J280" s="1">
        <v>114.01</v>
      </c>
      <c r="K280" s="1">
        <v>0</v>
      </c>
      <c r="L280" s="1">
        <v>456.04</v>
      </c>
      <c r="M280" s="1">
        <v>13.78</v>
      </c>
      <c r="N280" s="1">
        <v>168.64</v>
      </c>
      <c r="O280" s="6" t="s">
        <v>39</v>
      </c>
      <c r="P280" s="8">
        <f>Table1[Quantity]*Table1[Unit_Price]</f>
        <v>456.04</v>
      </c>
      <c r="Q280" s="1">
        <f>Table1[Profit]/Table1[Total_Sales]</f>
        <v>0.36979212349793872</v>
      </c>
      <c r="R280" s="14">
        <f>Table1[Total_Sales]+Table1[Shipping_Cost]</f>
        <v>469.82</v>
      </c>
    </row>
    <row r="281" spans="1:18" x14ac:dyDescent="0.35">
      <c r="A281" s="3" t="s">
        <v>642</v>
      </c>
      <c r="B281" s="2">
        <v>45096</v>
      </c>
      <c r="C281" s="1" t="s">
        <v>643</v>
      </c>
      <c r="D281" s="1" t="s">
        <v>30</v>
      </c>
      <c r="E281" s="1" t="s">
        <v>169</v>
      </c>
      <c r="F281" s="1" t="s">
        <v>68</v>
      </c>
      <c r="G281" s="1" t="s">
        <v>69</v>
      </c>
      <c r="H281" s="1" t="s">
        <v>305</v>
      </c>
      <c r="I281" s="1">
        <v>1</v>
      </c>
      <c r="J281" s="1">
        <v>79.09</v>
      </c>
      <c r="K281" s="1">
        <v>20</v>
      </c>
      <c r="L281" s="1">
        <v>63.27</v>
      </c>
      <c r="M281" s="1">
        <v>10.51</v>
      </c>
      <c r="N281" s="1">
        <v>13.22</v>
      </c>
      <c r="O281" s="6" t="s">
        <v>34</v>
      </c>
      <c r="P281" s="8">
        <f>Table1[Quantity]*Table1[Unit_Price]</f>
        <v>79.09</v>
      </c>
      <c r="Q281" s="1">
        <f>Table1[Profit]/Table1[Total_Sales]</f>
        <v>0.20894578789315632</v>
      </c>
      <c r="R281" s="14">
        <f>Table1[Total_Sales]+Table1[Shipping_Cost]</f>
        <v>73.78</v>
      </c>
    </row>
    <row r="282" spans="1:18" x14ac:dyDescent="0.35">
      <c r="A282" s="3" t="s">
        <v>644</v>
      </c>
      <c r="B282" s="2">
        <v>45096</v>
      </c>
      <c r="C282" s="1" t="s">
        <v>645</v>
      </c>
      <c r="D282" s="1" t="s">
        <v>49</v>
      </c>
      <c r="E282" s="1" t="s">
        <v>85</v>
      </c>
      <c r="F282" s="1" t="s">
        <v>60</v>
      </c>
      <c r="G282" s="1" t="s">
        <v>32</v>
      </c>
      <c r="H282" s="1" t="s">
        <v>115</v>
      </c>
      <c r="I282" s="1">
        <v>2</v>
      </c>
      <c r="J282" s="1">
        <v>12.13</v>
      </c>
      <c r="K282" s="1">
        <v>15</v>
      </c>
      <c r="L282" s="1">
        <v>20.62</v>
      </c>
      <c r="M282" s="1">
        <v>12.26</v>
      </c>
      <c r="N282" s="1">
        <v>-2.56</v>
      </c>
      <c r="O282" s="6" t="s">
        <v>22</v>
      </c>
      <c r="P282" s="8">
        <f>Table1[Quantity]*Table1[Unit_Price]</f>
        <v>24.26</v>
      </c>
      <c r="Q282" s="1">
        <f>Table1[Profit]/Table1[Total_Sales]</f>
        <v>-0.12415130940834142</v>
      </c>
      <c r="R282" s="14">
        <f>Table1[Total_Sales]+Table1[Shipping_Cost]</f>
        <v>32.880000000000003</v>
      </c>
    </row>
    <row r="283" spans="1:18" x14ac:dyDescent="0.35">
      <c r="A283" s="3" t="s">
        <v>646</v>
      </c>
      <c r="B283" s="2">
        <v>45097</v>
      </c>
      <c r="C283" s="1" t="s">
        <v>647</v>
      </c>
      <c r="D283" s="1" t="s">
        <v>17</v>
      </c>
      <c r="E283" s="1" t="s">
        <v>109</v>
      </c>
      <c r="F283" s="1" t="s">
        <v>54</v>
      </c>
      <c r="G283" s="1" t="s">
        <v>42</v>
      </c>
      <c r="H283" s="1" t="s">
        <v>234</v>
      </c>
      <c r="I283" s="1">
        <v>4</v>
      </c>
      <c r="J283" s="1">
        <v>42.27</v>
      </c>
      <c r="K283" s="1">
        <v>15</v>
      </c>
      <c r="L283" s="1">
        <v>143.72</v>
      </c>
      <c r="M283" s="1">
        <v>16.600000000000001</v>
      </c>
      <c r="N283" s="1">
        <v>25.67</v>
      </c>
      <c r="O283" s="6" t="s">
        <v>56</v>
      </c>
      <c r="P283" s="8">
        <f>Table1[Quantity]*Table1[Unit_Price]</f>
        <v>169.08</v>
      </c>
      <c r="Q283" s="1">
        <f>Table1[Profit]/Table1[Total_Sales]</f>
        <v>0.17861118842193155</v>
      </c>
      <c r="R283" s="14">
        <f>Table1[Total_Sales]+Table1[Shipping_Cost]</f>
        <v>160.32</v>
      </c>
    </row>
    <row r="284" spans="1:18" x14ac:dyDescent="0.35">
      <c r="A284" s="3" t="s">
        <v>648</v>
      </c>
      <c r="B284" s="2">
        <v>45098</v>
      </c>
      <c r="C284" s="1" t="s">
        <v>649</v>
      </c>
      <c r="D284" s="1" t="s">
        <v>49</v>
      </c>
      <c r="E284" s="1" t="s">
        <v>135</v>
      </c>
      <c r="F284" s="1" t="s">
        <v>26</v>
      </c>
      <c r="G284" s="1" t="s">
        <v>20</v>
      </c>
      <c r="H284" s="1" t="s">
        <v>175</v>
      </c>
      <c r="I284" s="1">
        <v>3</v>
      </c>
      <c r="J284" s="1">
        <v>48.52</v>
      </c>
      <c r="K284" s="1">
        <v>15</v>
      </c>
      <c r="L284" s="1">
        <v>123.73</v>
      </c>
      <c r="M284" s="1">
        <v>13.06</v>
      </c>
      <c r="N284" s="1">
        <v>30.61</v>
      </c>
      <c r="O284" s="6" t="s">
        <v>34</v>
      </c>
      <c r="P284" s="8">
        <f>Table1[Quantity]*Table1[Unit_Price]</f>
        <v>145.56</v>
      </c>
      <c r="Q284" s="1">
        <f>Table1[Profit]/Table1[Total_Sales]</f>
        <v>0.24739351814434654</v>
      </c>
      <c r="R284" s="14">
        <f>Table1[Total_Sales]+Table1[Shipping_Cost]</f>
        <v>136.79</v>
      </c>
    </row>
    <row r="285" spans="1:18" x14ac:dyDescent="0.35">
      <c r="A285" s="3" t="s">
        <v>650</v>
      </c>
      <c r="B285" s="2">
        <v>45099</v>
      </c>
      <c r="C285" s="1" t="s">
        <v>651</v>
      </c>
      <c r="D285" s="1" t="s">
        <v>17</v>
      </c>
      <c r="E285" s="1" t="s">
        <v>31</v>
      </c>
      <c r="F285" s="1" t="s">
        <v>19</v>
      </c>
      <c r="G285" s="1" t="s">
        <v>69</v>
      </c>
      <c r="H285" s="1" t="s">
        <v>196</v>
      </c>
      <c r="I285" s="1">
        <v>4</v>
      </c>
      <c r="J285" s="1">
        <v>27.6</v>
      </c>
      <c r="K285" s="1">
        <v>10</v>
      </c>
      <c r="L285" s="1">
        <v>99.36</v>
      </c>
      <c r="M285" s="1">
        <v>13.33</v>
      </c>
      <c r="N285" s="1">
        <v>30.83</v>
      </c>
      <c r="O285" s="6" t="s">
        <v>39</v>
      </c>
      <c r="P285" s="8">
        <f>Table1[Quantity]*Table1[Unit_Price]</f>
        <v>110.4</v>
      </c>
      <c r="Q285" s="1">
        <f>Table1[Profit]/Table1[Total_Sales]</f>
        <v>0.31028582930756843</v>
      </c>
      <c r="R285" s="14">
        <f>Table1[Total_Sales]+Table1[Shipping_Cost]</f>
        <v>112.69</v>
      </c>
    </row>
    <row r="286" spans="1:18" x14ac:dyDescent="0.35">
      <c r="A286" s="3" t="s">
        <v>652</v>
      </c>
      <c r="B286" s="2">
        <v>45100</v>
      </c>
      <c r="C286" s="1" t="s">
        <v>373</v>
      </c>
      <c r="D286" s="1" t="s">
        <v>30</v>
      </c>
      <c r="E286" s="1" t="s">
        <v>129</v>
      </c>
      <c r="F286" s="1" t="s">
        <v>19</v>
      </c>
      <c r="G286" s="1" t="s">
        <v>32</v>
      </c>
      <c r="H286" s="1" t="s">
        <v>82</v>
      </c>
      <c r="I286" s="1">
        <v>11</v>
      </c>
      <c r="J286" s="1">
        <v>23.39</v>
      </c>
      <c r="K286" s="1">
        <v>10</v>
      </c>
      <c r="L286" s="1">
        <v>231.56</v>
      </c>
      <c r="M286" s="1">
        <v>14.23</v>
      </c>
      <c r="N286" s="1">
        <v>101.55</v>
      </c>
      <c r="O286" s="6" t="s">
        <v>34</v>
      </c>
      <c r="P286" s="8">
        <f>Table1[Quantity]*Table1[Unit_Price]</f>
        <v>257.29000000000002</v>
      </c>
      <c r="Q286" s="1">
        <f>Table1[Profit]/Table1[Total_Sales]</f>
        <v>0.43854724477457246</v>
      </c>
      <c r="R286" s="14">
        <f>Table1[Total_Sales]+Table1[Shipping_Cost]</f>
        <v>245.79</v>
      </c>
    </row>
    <row r="287" spans="1:18" x14ac:dyDescent="0.35">
      <c r="A287" s="3" t="s">
        <v>653</v>
      </c>
      <c r="B287" s="2">
        <v>45100</v>
      </c>
      <c r="C287" s="1" t="s">
        <v>165</v>
      </c>
      <c r="D287" s="1" t="s">
        <v>17</v>
      </c>
      <c r="E287" s="1" t="s">
        <v>109</v>
      </c>
      <c r="F287" s="1" t="s">
        <v>54</v>
      </c>
      <c r="G287" s="1" t="s">
        <v>69</v>
      </c>
      <c r="H287" s="1" t="s">
        <v>196</v>
      </c>
      <c r="I287" s="1">
        <v>10</v>
      </c>
      <c r="J287" s="1">
        <v>14.57</v>
      </c>
      <c r="K287" s="1">
        <v>5</v>
      </c>
      <c r="L287" s="1">
        <v>138.41</v>
      </c>
      <c r="M287" s="1">
        <v>35.54</v>
      </c>
      <c r="N287" s="1">
        <v>30.02</v>
      </c>
      <c r="O287" s="6" t="s">
        <v>39</v>
      </c>
      <c r="P287" s="8">
        <f>Table1[Quantity]*Table1[Unit_Price]</f>
        <v>145.69999999999999</v>
      </c>
      <c r="Q287" s="1">
        <f>Table1[Profit]/Table1[Total_Sales]</f>
        <v>0.21689184307492235</v>
      </c>
      <c r="R287" s="14">
        <f>Table1[Total_Sales]+Table1[Shipping_Cost]</f>
        <v>173.95</v>
      </c>
    </row>
    <row r="288" spans="1:18" x14ac:dyDescent="0.35">
      <c r="A288" s="3" t="s">
        <v>654</v>
      </c>
      <c r="B288" s="2">
        <v>45100</v>
      </c>
      <c r="C288" s="1" t="s">
        <v>655</v>
      </c>
      <c r="D288" s="1" t="s">
        <v>17</v>
      </c>
      <c r="E288" s="1" t="s">
        <v>92</v>
      </c>
      <c r="F288" s="1" t="s">
        <v>60</v>
      </c>
      <c r="G288" s="1" t="s">
        <v>42</v>
      </c>
      <c r="H288" s="1" t="s">
        <v>294</v>
      </c>
      <c r="I288" s="1">
        <v>1</v>
      </c>
      <c r="J288" s="1">
        <v>250.47</v>
      </c>
      <c r="K288" s="1">
        <v>5</v>
      </c>
      <c r="L288" s="1">
        <v>237.95</v>
      </c>
      <c r="M288" s="1">
        <v>10.78</v>
      </c>
      <c r="N288" s="1">
        <v>76.89</v>
      </c>
      <c r="O288" s="6" t="s">
        <v>56</v>
      </c>
      <c r="P288" s="8">
        <f>Table1[Quantity]*Table1[Unit_Price]</f>
        <v>250.47</v>
      </c>
      <c r="Q288" s="1">
        <f>Table1[Profit]/Table1[Total_Sales]</f>
        <v>0.32313511241857534</v>
      </c>
      <c r="R288" s="14">
        <f>Table1[Total_Sales]+Table1[Shipping_Cost]</f>
        <v>248.73</v>
      </c>
    </row>
    <row r="289" spans="1:18" x14ac:dyDescent="0.35">
      <c r="A289" s="3" t="s">
        <v>656</v>
      </c>
      <c r="B289" s="2">
        <v>45101</v>
      </c>
      <c r="C289" s="1" t="s">
        <v>657</v>
      </c>
      <c r="D289" s="1" t="s">
        <v>30</v>
      </c>
      <c r="E289" s="1" t="s">
        <v>166</v>
      </c>
      <c r="F289" s="1" t="s">
        <v>60</v>
      </c>
      <c r="G289" s="1" t="s">
        <v>20</v>
      </c>
      <c r="H289" s="1" t="s">
        <v>264</v>
      </c>
      <c r="I289" s="1">
        <v>7</v>
      </c>
      <c r="J289" s="1">
        <v>57.98</v>
      </c>
      <c r="K289" s="1">
        <v>15</v>
      </c>
      <c r="L289" s="1">
        <v>344.98</v>
      </c>
      <c r="M289" s="1">
        <v>16.8</v>
      </c>
      <c r="N289" s="1">
        <v>104.96</v>
      </c>
      <c r="O289" s="6" t="s">
        <v>39</v>
      </c>
      <c r="P289" s="8">
        <f>Table1[Quantity]*Table1[Unit_Price]</f>
        <v>405.85999999999996</v>
      </c>
      <c r="Q289" s="1">
        <f>Table1[Profit]/Table1[Total_Sales]</f>
        <v>0.30424952171140351</v>
      </c>
      <c r="R289" s="14">
        <f>Table1[Total_Sales]+Table1[Shipping_Cost]</f>
        <v>361.78000000000003</v>
      </c>
    </row>
    <row r="290" spans="1:18" x14ac:dyDescent="0.35">
      <c r="A290" s="3" t="s">
        <v>658</v>
      </c>
      <c r="B290" s="2">
        <v>45103</v>
      </c>
      <c r="C290" s="1" t="s">
        <v>659</v>
      </c>
      <c r="D290" s="1" t="s">
        <v>30</v>
      </c>
      <c r="E290" s="1" t="s">
        <v>63</v>
      </c>
      <c r="F290" s="1" t="s">
        <v>54</v>
      </c>
      <c r="G290" s="1" t="s">
        <v>32</v>
      </c>
      <c r="H290" s="1" t="s">
        <v>115</v>
      </c>
      <c r="I290" s="1">
        <v>1</v>
      </c>
      <c r="J290" s="1">
        <v>19.940000000000001</v>
      </c>
      <c r="K290" s="1">
        <v>10</v>
      </c>
      <c r="L290" s="1">
        <v>17.95</v>
      </c>
      <c r="M290" s="1">
        <v>11.66</v>
      </c>
      <c r="N290" s="1">
        <v>-2.68</v>
      </c>
      <c r="O290" s="6" t="s">
        <v>34</v>
      </c>
      <c r="P290" s="8">
        <f>Table1[Quantity]*Table1[Unit_Price]</f>
        <v>19.940000000000001</v>
      </c>
      <c r="Q290" s="1">
        <f>Table1[Profit]/Table1[Total_Sales]</f>
        <v>-0.14930362116991644</v>
      </c>
      <c r="R290" s="14">
        <f>Table1[Total_Sales]+Table1[Shipping_Cost]</f>
        <v>29.61</v>
      </c>
    </row>
    <row r="291" spans="1:18" x14ac:dyDescent="0.35">
      <c r="A291" s="3" t="s">
        <v>660</v>
      </c>
      <c r="B291" s="2">
        <v>45104</v>
      </c>
      <c r="C291" s="1" t="s">
        <v>661</v>
      </c>
      <c r="D291" s="1" t="s">
        <v>17</v>
      </c>
      <c r="E291" s="1" t="s">
        <v>135</v>
      </c>
      <c r="F291" s="1" t="s">
        <v>26</v>
      </c>
      <c r="G291" s="1" t="s">
        <v>69</v>
      </c>
      <c r="H291" s="1" t="s">
        <v>243</v>
      </c>
      <c r="I291" s="1">
        <v>3</v>
      </c>
      <c r="J291" s="1">
        <v>45.1</v>
      </c>
      <c r="K291" s="1">
        <v>10</v>
      </c>
      <c r="L291" s="1">
        <v>121.77</v>
      </c>
      <c r="M291" s="1">
        <v>14.28</v>
      </c>
      <c r="N291" s="1">
        <v>39.840000000000003</v>
      </c>
      <c r="O291" s="6" t="s">
        <v>34</v>
      </c>
      <c r="P291" s="8">
        <f>Table1[Quantity]*Table1[Unit_Price]</f>
        <v>135.30000000000001</v>
      </c>
      <c r="Q291" s="1">
        <f>Table1[Profit]/Table1[Total_Sales]</f>
        <v>0.32717418083271743</v>
      </c>
      <c r="R291" s="14">
        <f>Table1[Total_Sales]+Table1[Shipping_Cost]</f>
        <v>136.04999999999998</v>
      </c>
    </row>
    <row r="292" spans="1:18" x14ac:dyDescent="0.35">
      <c r="A292" s="3" t="s">
        <v>662</v>
      </c>
      <c r="B292" s="2">
        <v>45104</v>
      </c>
      <c r="C292" s="1" t="s">
        <v>663</v>
      </c>
      <c r="D292" s="1" t="s">
        <v>17</v>
      </c>
      <c r="E292" s="1" t="s">
        <v>37</v>
      </c>
      <c r="F292" s="1" t="s">
        <v>26</v>
      </c>
      <c r="G292" s="1" t="s">
        <v>32</v>
      </c>
      <c r="H292" s="1" t="s">
        <v>115</v>
      </c>
      <c r="I292" s="1">
        <v>2</v>
      </c>
      <c r="J292" s="1">
        <v>10.66</v>
      </c>
      <c r="K292" s="1">
        <v>10</v>
      </c>
      <c r="L292" s="1">
        <v>19.190000000000001</v>
      </c>
      <c r="M292" s="1">
        <v>11.01</v>
      </c>
      <c r="N292" s="1">
        <v>-1.41</v>
      </c>
      <c r="O292" s="6" t="s">
        <v>22</v>
      </c>
      <c r="P292" s="8">
        <f>Table1[Quantity]*Table1[Unit_Price]</f>
        <v>21.32</v>
      </c>
      <c r="Q292" s="1">
        <f>Table1[Profit]/Table1[Total_Sales]</f>
        <v>-7.3475768629494523E-2</v>
      </c>
      <c r="R292" s="14">
        <f>Table1[Total_Sales]+Table1[Shipping_Cost]</f>
        <v>30.200000000000003</v>
      </c>
    </row>
    <row r="293" spans="1:18" x14ac:dyDescent="0.35">
      <c r="A293" s="3" t="s">
        <v>664</v>
      </c>
      <c r="B293" s="2">
        <v>45104</v>
      </c>
      <c r="C293" s="1" t="s">
        <v>665</v>
      </c>
      <c r="D293" s="1" t="s">
        <v>30</v>
      </c>
      <c r="E293" s="1" t="s">
        <v>109</v>
      </c>
      <c r="F293" s="1" t="s">
        <v>54</v>
      </c>
      <c r="G293" s="1" t="s">
        <v>69</v>
      </c>
      <c r="H293" s="1" t="s">
        <v>160</v>
      </c>
      <c r="I293" s="1">
        <v>1</v>
      </c>
      <c r="J293" s="1">
        <v>26.53</v>
      </c>
      <c r="K293" s="1">
        <v>0</v>
      </c>
      <c r="L293" s="1">
        <v>26.53</v>
      </c>
      <c r="M293" s="1">
        <v>13.43</v>
      </c>
      <c r="N293" s="1">
        <v>-0.16</v>
      </c>
      <c r="O293" s="6" t="s">
        <v>22</v>
      </c>
      <c r="P293" s="8">
        <f>Table1[Quantity]*Table1[Unit_Price]</f>
        <v>26.53</v>
      </c>
      <c r="Q293" s="1">
        <f>Table1[Profit]/Table1[Total_Sales]</f>
        <v>-6.0309084055785904E-3</v>
      </c>
      <c r="R293" s="14">
        <f>Table1[Total_Sales]+Table1[Shipping_Cost]</f>
        <v>39.96</v>
      </c>
    </row>
    <row r="294" spans="1:18" x14ac:dyDescent="0.35">
      <c r="A294" s="3" t="s">
        <v>666</v>
      </c>
      <c r="B294" s="2">
        <v>45104</v>
      </c>
      <c r="C294" s="1" t="s">
        <v>667</v>
      </c>
      <c r="D294" s="1" t="s">
        <v>30</v>
      </c>
      <c r="E294" s="1" t="s">
        <v>63</v>
      </c>
      <c r="F294" s="1" t="s">
        <v>54</v>
      </c>
      <c r="G294" s="1" t="s">
        <v>42</v>
      </c>
      <c r="H294" s="1" t="s">
        <v>118</v>
      </c>
      <c r="I294" s="1">
        <v>5</v>
      </c>
      <c r="J294" s="1">
        <v>94.63</v>
      </c>
      <c r="K294" s="1">
        <v>0</v>
      </c>
      <c r="L294" s="1">
        <v>473.15</v>
      </c>
      <c r="M294" s="1">
        <v>18.91</v>
      </c>
      <c r="N294" s="1">
        <v>170.35</v>
      </c>
      <c r="O294" s="6" t="s">
        <v>34</v>
      </c>
      <c r="P294" s="8">
        <f>Table1[Quantity]*Table1[Unit_Price]</f>
        <v>473.15</v>
      </c>
      <c r="Q294" s="1">
        <f>Table1[Profit]/Table1[Total_Sales]</f>
        <v>0.36003381591461481</v>
      </c>
      <c r="R294" s="14">
        <f>Table1[Total_Sales]+Table1[Shipping_Cost]</f>
        <v>492.06</v>
      </c>
    </row>
    <row r="295" spans="1:18" x14ac:dyDescent="0.35">
      <c r="A295" s="3" t="s">
        <v>668</v>
      </c>
      <c r="B295" s="2">
        <v>45105</v>
      </c>
      <c r="C295" s="1" t="s">
        <v>669</v>
      </c>
      <c r="D295" s="1" t="s">
        <v>30</v>
      </c>
      <c r="E295" s="1" t="s">
        <v>37</v>
      </c>
      <c r="F295" s="1" t="s">
        <v>26</v>
      </c>
      <c r="G295" s="1" t="s">
        <v>69</v>
      </c>
      <c r="H295" s="1" t="s">
        <v>305</v>
      </c>
      <c r="I295" s="1">
        <v>2</v>
      </c>
      <c r="J295" s="1">
        <v>30.06</v>
      </c>
      <c r="K295" s="1">
        <v>10</v>
      </c>
      <c r="L295" s="1">
        <v>54.11</v>
      </c>
      <c r="M295" s="1">
        <v>11.77</v>
      </c>
      <c r="N295" s="1">
        <v>12.28</v>
      </c>
      <c r="O295" s="6" t="s">
        <v>22</v>
      </c>
      <c r="P295" s="8">
        <f>Table1[Quantity]*Table1[Unit_Price]</f>
        <v>60.12</v>
      </c>
      <c r="Q295" s="1">
        <f>Table1[Profit]/Table1[Total_Sales]</f>
        <v>0.2269451118092774</v>
      </c>
      <c r="R295" s="14">
        <f>Table1[Total_Sales]+Table1[Shipping_Cost]</f>
        <v>65.88</v>
      </c>
    </row>
    <row r="296" spans="1:18" x14ac:dyDescent="0.35">
      <c r="A296" s="3" t="s">
        <v>670</v>
      </c>
      <c r="B296" s="2">
        <v>45105</v>
      </c>
      <c r="C296" s="1" t="s">
        <v>277</v>
      </c>
      <c r="D296" s="1" t="s">
        <v>17</v>
      </c>
      <c r="E296" s="1" t="s">
        <v>129</v>
      </c>
      <c r="F296" s="1" t="s">
        <v>19</v>
      </c>
      <c r="G296" s="1" t="s">
        <v>69</v>
      </c>
      <c r="H296" s="1" t="s">
        <v>243</v>
      </c>
      <c r="I296" s="1">
        <v>3</v>
      </c>
      <c r="J296" s="1">
        <v>40.18</v>
      </c>
      <c r="K296" s="1">
        <v>0</v>
      </c>
      <c r="L296" s="1">
        <v>120.54</v>
      </c>
      <c r="M296" s="1">
        <v>12.31</v>
      </c>
      <c r="N296" s="1">
        <v>47.96</v>
      </c>
      <c r="O296" s="6" t="s">
        <v>22</v>
      </c>
      <c r="P296" s="8">
        <f>Table1[Quantity]*Table1[Unit_Price]</f>
        <v>120.53999999999999</v>
      </c>
      <c r="Q296" s="1">
        <f>Table1[Profit]/Table1[Total_Sales]</f>
        <v>0.39787622366019576</v>
      </c>
      <c r="R296" s="14">
        <f>Table1[Total_Sales]+Table1[Shipping_Cost]</f>
        <v>132.85</v>
      </c>
    </row>
    <row r="297" spans="1:18" x14ac:dyDescent="0.35">
      <c r="A297" s="3" t="s">
        <v>671</v>
      </c>
      <c r="B297" s="2">
        <v>45106</v>
      </c>
      <c r="C297" s="1" t="s">
        <v>672</v>
      </c>
      <c r="D297" s="1" t="s">
        <v>30</v>
      </c>
      <c r="E297" s="1" t="s">
        <v>129</v>
      </c>
      <c r="F297" s="1" t="s">
        <v>19</v>
      </c>
      <c r="G297" s="1" t="s">
        <v>20</v>
      </c>
      <c r="H297" s="1" t="s">
        <v>38</v>
      </c>
      <c r="I297" s="1">
        <v>9</v>
      </c>
      <c r="J297" s="1">
        <v>74.430000000000007</v>
      </c>
      <c r="K297" s="1">
        <v>10</v>
      </c>
      <c r="L297" s="1">
        <v>602.88</v>
      </c>
      <c r="M297" s="1">
        <v>11.59</v>
      </c>
      <c r="N297" s="1">
        <v>222.86</v>
      </c>
      <c r="O297" s="6" t="s">
        <v>34</v>
      </c>
      <c r="P297" s="8">
        <f>Table1[Quantity]*Table1[Unit_Price]</f>
        <v>669.87000000000012</v>
      </c>
      <c r="Q297" s="1">
        <f>Table1[Profit]/Table1[Total_Sales]</f>
        <v>0.36965897027600852</v>
      </c>
      <c r="R297" s="14">
        <f>Table1[Total_Sales]+Table1[Shipping_Cost]</f>
        <v>614.47</v>
      </c>
    </row>
    <row r="298" spans="1:18" x14ac:dyDescent="0.35">
      <c r="A298" s="3" t="s">
        <v>673</v>
      </c>
      <c r="B298" s="2">
        <v>45106</v>
      </c>
      <c r="C298" s="1" t="s">
        <v>674</v>
      </c>
      <c r="D298" s="1" t="s">
        <v>30</v>
      </c>
      <c r="E298" s="1" t="s">
        <v>85</v>
      </c>
      <c r="F298" s="1" t="s">
        <v>60</v>
      </c>
      <c r="G298" s="1" t="s">
        <v>69</v>
      </c>
      <c r="H298" s="1" t="s">
        <v>163</v>
      </c>
      <c r="I298" s="1">
        <v>1</v>
      </c>
      <c r="J298" s="1">
        <v>24.48</v>
      </c>
      <c r="K298" s="1">
        <v>20</v>
      </c>
      <c r="L298" s="1">
        <v>19.579999999999998</v>
      </c>
      <c r="M298" s="1">
        <v>9.7100000000000009</v>
      </c>
      <c r="N298" s="1">
        <v>-2.37</v>
      </c>
      <c r="O298" s="6" t="s">
        <v>56</v>
      </c>
      <c r="P298" s="8">
        <f>Table1[Quantity]*Table1[Unit_Price]</f>
        <v>24.48</v>
      </c>
      <c r="Q298" s="1">
        <f>Table1[Profit]/Table1[Total_Sales]</f>
        <v>-0.12104187946884577</v>
      </c>
      <c r="R298" s="14">
        <f>Table1[Total_Sales]+Table1[Shipping_Cost]</f>
        <v>29.29</v>
      </c>
    </row>
    <row r="299" spans="1:18" x14ac:dyDescent="0.35">
      <c r="A299" s="3" t="s">
        <v>675</v>
      </c>
      <c r="B299" s="2">
        <v>45108</v>
      </c>
      <c r="C299" s="1" t="s">
        <v>676</v>
      </c>
      <c r="D299" s="1" t="s">
        <v>17</v>
      </c>
      <c r="E299" s="1" t="s">
        <v>25</v>
      </c>
      <c r="F299" s="1" t="s">
        <v>26</v>
      </c>
      <c r="G299" s="1" t="s">
        <v>20</v>
      </c>
      <c r="H299" s="1" t="s">
        <v>55</v>
      </c>
      <c r="I299" s="1">
        <v>3</v>
      </c>
      <c r="J299" s="1">
        <v>62.62</v>
      </c>
      <c r="K299" s="1">
        <v>10</v>
      </c>
      <c r="L299" s="1">
        <v>169.07</v>
      </c>
      <c r="M299" s="1">
        <v>12.18</v>
      </c>
      <c r="N299" s="1">
        <v>53.57</v>
      </c>
      <c r="O299" s="6" t="s">
        <v>22</v>
      </c>
      <c r="P299" s="8">
        <f>Table1[Quantity]*Table1[Unit_Price]</f>
        <v>187.85999999999999</v>
      </c>
      <c r="Q299" s="1">
        <f>Table1[Profit]/Table1[Total_Sales]</f>
        <v>0.31685100845803515</v>
      </c>
      <c r="R299" s="14">
        <f>Table1[Total_Sales]+Table1[Shipping_Cost]</f>
        <v>181.25</v>
      </c>
    </row>
    <row r="300" spans="1:18" x14ac:dyDescent="0.35">
      <c r="A300" s="3" t="s">
        <v>677</v>
      </c>
      <c r="B300" s="2">
        <v>45108</v>
      </c>
      <c r="C300" s="1" t="s">
        <v>678</v>
      </c>
      <c r="D300" s="1" t="s">
        <v>49</v>
      </c>
      <c r="E300" s="1" t="s">
        <v>92</v>
      </c>
      <c r="F300" s="1" t="s">
        <v>60</v>
      </c>
      <c r="G300" s="1" t="s">
        <v>20</v>
      </c>
      <c r="H300" s="1" t="s">
        <v>122</v>
      </c>
      <c r="I300" s="1">
        <v>3</v>
      </c>
      <c r="J300" s="1">
        <v>97.31</v>
      </c>
      <c r="K300" s="1">
        <v>10</v>
      </c>
      <c r="L300" s="1">
        <v>262.74</v>
      </c>
      <c r="M300" s="1">
        <v>15.03</v>
      </c>
      <c r="N300" s="1">
        <v>87.15</v>
      </c>
      <c r="O300" s="6" t="s">
        <v>34</v>
      </c>
      <c r="P300" s="8">
        <f>Table1[Quantity]*Table1[Unit_Price]</f>
        <v>291.93</v>
      </c>
      <c r="Q300" s="1">
        <f>Table1[Profit]/Table1[Total_Sales]</f>
        <v>0.33169673441424985</v>
      </c>
      <c r="R300" s="14">
        <f>Table1[Total_Sales]+Table1[Shipping_Cost]</f>
        <v>277.77</v>
      </c>
    </row>
    <row r="301" spans="1:18" x14ac:dyDescent="0.35">
      <c r="A301" s="3" t="s">
        <v>679</v>
      </c>
      <c r="B301" s="2">
        <v>45108</v>
      </c>
      <c r="C301" s="1" t="s">
        <v>680</v>
      </c>
      <c r="D301" s="1" t="s">
        <v>30</v>
      </c>
      <c r="E301" s="1" t="s">
        <v>92</v>
      </c>
      <c r="F301" s="1" t="s">
        <v>60</v>
      </c>
      <c r="G301" s="1" t="s">
        <v>32</v>
      </c>
      <c r="H301" s="1" t="s">
        <v>132</v>
      </c>
      <c r="I301" s="1">
        <v>5</v>
      </c>
      <c r="J301" s="1">
        <v>18.79</v>
      </c>
      <c r="K301" s="1">
        <v>10</v>
      </c>
      <c r="L301" s="1">
        <v>84.55</v>
      </c>
      <c r="M301" s="1">
        <v>15.23</v>
      </c>
      <c r="N301" s="1">
        <v>27.04</v>
      </c>
      <c r="O301" s="6" t="s">
        <v>39</v>
      </c>
      <c r="P301" s="8">
        <f>Table1[Quantity]*Table1[Unit_Price]</f>
        <v>93.949999999999989</v>
      </c>
      <c r="Q301" s="1">
        <f>Table1[Profit]/Table1[Total_Sales]</f>
        <v>0.31981076286221172</v>
      </c>
      <c r="R301" s="14">
        <f>Table1[Total_Sales]+Table1[Shipping_Cost]</f>
        <v>99.78</v>
      </c>
    </row>
    <row r="302" spans="1:18" x14ac:dyDescent="0.35">
      <c r="A302" s="3" t="s">
        <v>681</v>
      </c>
      <c r="B302" s="2">
        <v>45108</v>
      </c>
      <c r="C302" s="1" t="s">
        <v>682</v>
      </c>
      <c r="D302" s="1" t="s">
        <v>30</v>
      </c>
      <c r="E302" s="1" t="s">
        <v>109</v>
      </c>
      <c r="F302" s="1" t="s">
        <v>54</v>
      </c>
      <c r="G302" s="1" t="s">
        <v>42</v>
      </c>
      <c r="H302" s="1" t="s">
        <v>89</v>
      </c>
      <c r="I302" s="1">
        <v>1</v>
      </c>
      <c r="J302" s="1">
        <v>192.58</v>
      </c>
      <c r="K302" s="1">
        <v>20</v>
      </c>
      <c r="L302" s="1">
        <v>154.06</v>
      </c>
      <c r="M302" s="1">
        <v>12.06</v>
      </c>
      <c r="N302" s="1">
        <v>26.45</v>
      </c>
      <c r="O302" s="6" t="s">
        <v>39</v>
      </c>
      <c r="P302" s="8">
        <f>Table1[Quantity]*Table1[Unit_Price]</f>
        <v>192.58</v>
      </c>
      <c r="Q302" s="1">
        <f>Table1[Profit]/Table1[Total_Sales]</f>
        <v>0.17168635596520834</v>
      </c>
      <c r="R302" s="14">
        <f>Table1[Total_Sales]+Table1[Shipping_Cost]</f>
        <v>166.12</v>
      </c>
    </row>
    <row r="303" spans="1:18" x14ac:dyDescent="0.35">
      <c r="A303" s="3" t="s">
        <v>683</v>
      </c>
      <c r="B303" s="2">
        <v>45108</v>
      </c>
      <c r="C303" s="1" t="s">
        <v>684</v>
      </c>
      <c r="D303" s="1" t="s">
        <v>17</v>
      </c>
      <c r="E303" s="1" t="s">
        <v>31</v>
      </c>
      <c r="F303" s="1" t="s">
        <v>19</v>
      </c>
      <c r="G303" s="1" t="s">
        <v>69</v>
      </c>
      <c r="H303" s="1" t="s">
        <v>163</v>
      </c>
      <c r="I303" s="1">
        <v>3</v>
      </c>
      <c r="J303" s="1">
        <v>48.59</v>
      </c>
      <c r="K303" s="1">
        <v>15</v>
      </c>
      <c r="L303" s="1">
        <v>123.9</v>
      </c>
      <c r="M303" s="1">
        <v>9.9</v>
      </c>
      <c r="N303" s="1">
        <v>41.12</v>
      </c>
      <c r="O303" s="6" t="s">
        <v>34</v>
      </c>
      <c r="P303" s="8">
        <f>Table1[Quantity]*Table1[Unit_Price]</f>
        <v>145.77000000000001</v>
      </c>
      <c r="Q303" s="1">
        <f>Table1[Profit]/Table1[Total_Sales]</f>
        <v>0.33188054882970136</v>
      </c>
      <c r="R303" s="14">
        <f>Table1[Total_Sales]+Table1[Shipping_Cost]</f>
        <v>133.80000000000001</v>
      </c>
    </row>
    <row r="304" spans="1:18" x14ac:dyDescent="0.35">
      <c r="A304" s="3" t="s">
        <v>685</v>
      </c>
      <c r="B304" s="2">
        <v>45110</v>
      </c>
      <c r="C304" s="1" t="s">
        <v>279</v>
      </c>
      <c r="D304" s="1" t="s">
        <v>30</v>
      </c>
      <c r="E304" s="1" t="s">
        <v>166</v>
      </c>
      <c r="F304" s="1" t="s">
        <v>60</v>
      </c>
      <c r="G304" s="1" t="s">
        <v>20</v>
      </c>
      <c r="H304" s="1" t="s">
        <v>106</v>
      </c>
      <c r="I304" s="1">
        <v>2</v>
      </c>
      <c r="J304" s="1">
        <v>46.18</v>
      </c>
      <c r="K304" s="1">
        <v>5</v>
      </c>
      <c r="L304" s="1">
        <v>87.74</v>
      </c>
      <c r="M304" s="1">
        <v>12.38</v>
      </c>
      <c r="N304" s="1">
        <v>24.56</v>
      </c>
      <c r="O304" s="6" t="s">
        <v>34</v>
      </c>
      <c r="P304" s="8">
        <f>Table1[Quantity]*Table1[Unit_Price]</f>
        <v>92.36</v>
      </c>
      <c r="Q304" s="1">
        <f>Table1[Profit]/Table1[Total_Sales]</f>
        <v>0.27991793936630954</v>
      </c>
      <c r="R304" s="14">
        <f>Table1[Total_Sales]+Table1[Shipping_Cost]</f>
        <v>100.11999999999999</v>
      </c>
    </row>
    <row r="305" spans="1:18" x14ac:dyDescent="0.35">
      <c r="A305" s="3" t="s">
        <v>686</v>
      </c>
      <c r="B305" s="2">
        <v>45110</v>
      </c>
      <c r="C305" s="1" t="s">
        <v>439</v>
      </c>
      <c r="D305" s="1" t="s">
        <v>17</v>
      </c>
      <c r="E305" s="1" t="s">
        <v>63</v>
      </c>
      <c r="F305" s="1" t="s">
        <v>54</v>
      </c>
      <c r="G305" s="1" t="s">
        <v>42</v>
      </c>
      <c r="H305" s="1" t="s">
        <v>43</v>
      </c>
      <c r="I305" s="1">
        <v>7</v>
      </c>
      <c r="J305" s="1">
        <v>309.68</v>
      </c>
      <c r="K305" s="1">
        <v>20</v>
      </c>
      <c r="L305" s="1">
        <v>1734.21</v>
      </c>
      <c r="M305" s="1">
        <v>19.940000000000001</v>
      </c>
      <c r="N305" s="1">
        <v>413.61</v>
      </c>
      <c r="O305" s="6" t="s">
        <v>34</v>
      </c>
      <c r="P305" s="8">
        <f>Table1[Quantity]*Table1[Unit_Price]</f>
        <v>2167.7600000000002</v>
      </c>
      <c r="Q305" s="1">
        <f>Table1[Profit]/Table1[Total_Sales]</f>
        <v>0.23850052761776255</v>
      </c>
      <c r="R305" s="14">
        <f>Table1[Total_Sales]+Table1[Shipping_Cost]</f>
        <v>1754.15</v>
      </c>
    </row>
    <row r="306" spans="1:18" x14ac:dyDescent="0.35">
      <c r="A306" s="3" t="s">
        <v>687</v>
      </c>
      <c r="B306" s="2">
        <v>45111</v>
      </c>
      <c r="C306" s="1" t="s">
        <v>688</v>
      </c>
      <c r="D306" s="1" t="s">
        <v>49</v>
      </c>
      <c r="E306" s="1" t="s">
        <v>138</v>
      </c>
      <c r="F306" s="1" t="s">
        <v>54</v>
      </c>
      <c r="G306" s="1" t="s">
        <v>42</v>
      </c>
      <c r="H306" s="1" t="s">
        <v>255</v>
      </c>
      <c r="I306" s="1">
        <v>1</v>
      </c>
      <c r="J306" s="1">
        <v>24.14</v>
      </c>
      <c r="K306" s="1">
        <v>0</v>
      </c>
      <c r="L306" s="1">
        <v>24.14</v>
      </c>
      <c r="M306" s="1">
        <v>13.18</v>
      </c>
      <c r="N306" s="1">
        <v>-3.52</v>
      </c>
      <c r="O306" s="6" t="s">
        <v>34</v>
      </c>
      <c r="P306" s="8">
        <f>Table1[Quantity]*Table1[Unit_Price]</f>
        <v>24.14</v>
      </c>
      <c r="Q306" s="1">
        <f>Table1[Profit]/Table1[Total_Sales]</f>
        <v>-0.14581607290803644</v>
      </c>
      <c r="R306" s="14">
        <f>Table1[Total_Sales]+Table1[Shipping_Cost]</f>
        <v>37.32</v>
      </c>
    </row>
    <row r="307" spans="1:18" x14ac:dyDescent="0.35">
      <c r="A307" s="3" t="s">
        <v>689</v>
      </c>
      <c r="B307" s="2">
        <v>45112</v>
      </c>
      <c r="C307" s="1" t="s">
        <v>690</v>
      </c>
      <c r="D307" s="1" t="s">
        <v>49</v>
      </c>
      <c r="E307" s="1" t="s">
        <v>31</v>
      </c>
      <c r="F307" s="1" t="s">
        <v>19</v>
      </c>
      <c r="G307" s="1" t="s">
        <v>32</v>
      </c>
      <c r="H307" s="1" t="s">
        <v>101</v>
      </c>
      <c r="I307" s="1">
        <v>4</v>
      </c>
      <c r="J307" s="1">
        <v>15.95</v>
      </c>
      <c r="K307" s="1">
        <v>15</v>
      </c>
      <c r="L307" s="1">
        <v>54.23</v>
      </c>
      <c r="M307" s="1">
        <v>8.6199999999999992</v>
      </c>
      <c r="N307" s="1">
        <v>16.899999999999999</v>
      </c>
      <c r="O307" s="6" t="s">
        <v>22</v>
      </c>
      <c r="P307" s="8">
        <f>Table1[Quantity]*Table1[Unit_Price]</f>
        <v>63.8</v>
      </c>
      <c r="Q307" s="1">
        <f>Table1[Profit]/Table1[Total_Sales]</f>
        <v>0.31163562603724876</v>
      </c>
      <c r="R307" s="14">
        <f>Table1[Total_Sales]+Table1[Shipping_Cost]</f>
        <v>62.849999999999994</v>
      </c>
    </row>
    <row r="308" spans="1:18" x14ac:dyDescent="0.35">
      <c r="A308" s="3" t="s">
        <v>691</v>
      </c>
      <c r="B308" s="2">
        <v>45113</v>
      </c>
      <c r="C308" s="1" t="s">
        <v>692</v>
      </c>
      <c r="D308" s="1" t="s">
        <v>49</v>
      </c>
      <c r="E308" s="1" t="s">
        <v>129</v>
      </c>
      <c r="F308" s="1" t="s">
        <v>19</v>
      </c>
      <c r="G308" s="1" t="s">
        <v>32</v>
      </c>
      <c r="H308" s="1" t="s">
        <v>149</v>
      </c>
      <c r="I308" s="1">
        <v>1</v>
      </c>
      <c r="J308" s="1">
        <v>6.99</v>
      </c>
      <c r="K308" s="1">
        <v>10</v>
      </c>
      <c r="L308" s="1">
        <v>6.29</v>
      </c>
      <c r="M308" s="1">
        <v>6.69</v>
      </c>
      <c r="N308" s="1">
        <v>-3.55</v>
      </c>
      <c r="O308" s="6" t="s">
        <v>34</v>
      </c>
      <c r="P308" s="8">
        <f>Table1[Quantity]*Table1[Unit_Price]</f>
        <v>6.99</v>
      </c>
      <c r="Q308" s="1">
        <f>Table1[Profit]/Table1[Total_Sales]</f>
        <v>-0.56438791732909377</v>
      </c>
      <c r="R308" s="14">
        <f>Table1[Total_Sales]+Table1[Shipping_Cost]</f>
        <v>12.98</v>
      </c>
    </row>
    <row r="309" spans="1:18" x14ac:dyDescent="0.35">
      <c r="A309" s="3" t="s">
        <v>693</v>
      </c>
      <c r="B309" s="2">
        <v>45113</v>
      </c>
      <c r="C309" s="1" t="s">
        <v>694</v>
      </c>
      <c r="D309" s="1" t="s">
        <v>17</v>
      </c>
      <c r="E309" s="1" t="s">
        <v>18</v>
      </c>
      <c r="F309" s="1" t="s">
        <v>19</v>
      </c>
      <c r="G309" s="1" t="s">
        <v>32</v>
      </c>
      <c r="H309" s="1" t="s">
        <v>132</v>
      </c>
      <c r="I309" s="1">
        <v>2</v>
      </c>
      <c r="J309" s="1">
        <v>19.72</v>
      </c>
      <c r="K309" s="1">
        <v>10</v>
      </c>
      <c r="L309" s="1">
        <v>35.5</v>
      </c>
      <c r="M309" s="1">
        <v>6.38</v>
      </c>
      <c r="N309" s="1">
        <v>11.37</v>
      </c>
      <c r="O309" s="6" t="s">
        <v>56</v>
      </c>
      <c r="P309" s="8">
        <f>Table1[Quantity]*Table1[Unit_Price]</f>
        <v>39.44</v>
      </c>
      <c r="Q309" s="1">
        <f>Table1[Profit]/Table1[Total_Sales]</f>
        <v>0.32028169014084507</v>
      </c>
      <c r="R309" s="14">
        <f>Table1[Total_Sales]+Table1[Shipping_Cost]</f>
        <v>41.88</v>
      </c>
    </row>
    <row r="310" spans="1:18" x14ac:dyDescent="0.35">
      <c r="A310" s="3" t="s">
        <v>695</v>
      </c>
      <c r="B310" s="2">
        <v>45113</v>
      </c>
      <c r="C310" s="1" t="s">
        <v>696</v>
      </c>
      <c r="D310" s="1" t="s">
        <v>49</v>
      </c>
      <c r="E310" s="1" t="s">
        <v>85</v>
      </c>
      <c r="F310" s="1" t="s">
        <v>60</v>
      </c>
      <c r="G310" s="1" t="s">
        <v>42</v>
      </c>
      <c r="H310" s="1" t="s">
        <v>46</v>
      </c>
      <c r="I310" s="1">
        <v>4</v>
      </c>
      <c r="J310" s="1">
        <v>194.07</v>
      </c>
      <c r="K310" s="1">
        <v>0</v>
      </c>
      <c r="L310" s="1">
        <v>776.28</v>
      </c>
      <c r="M310" s="1">
        <v>11.42</v>
      </c>
      <c r="N310" s="1">
        <v>299.08999999999997</v>
      </c>
      <c r="O310" s="6" t="s">
        <v>34</v>
      </c>
      <c r="P310" s="8">
        <f>Table1[Quantity]*Table1[Unit_Price]</f>
        <v>776.28</v>
      </c>
      <c r="Q310" s="1">
        <f>Table1[Profit]/Table1[Total_Sales]</f>
        <v>0.38528623692482095</v>
      </c>
      <c r="R310" s="14">
        <f>Table1[Total_Sales]+Table1[Shipping_Cost]</f>
        <v>787.69999999999993</v>
      </c>
    </row>
    <row r="311" spans="1:18" x14ac:dyDescent="0.35">
      <c r="A311" s="3" t="s">
        <v>697</v>
      </c>
      <c r="B311" s="2">
        <v>45113</v>
      </c>
      <c r="C311" s="1" t="s">
        <v>698</v>
      </c>
      <c r="D311" s="1" t="s">
        <v>17</v>
      </c>
      <c r="E311" s="1" t="s">
        <v>31</v>
      </c>
      <c r="F311" s="1" t="s">
        <v>19</v>
      </c>
      <c r="G311" s="1" t="s">
        <v>20</v>
      </c>
      <c r="H311" s="1" t="s">
        <v>106</v>
      </c>
      <c r="I311" s="1">
        <v>2</v>
      </c>
      <c r="J311" s="1">
        <v>52.02</v>
      </c>
      <c r="K311" s="1">
        <v>15</v>
      </c>
      <c r="L311" s="1">
        <v>88.43</v>
      </c>
      <c r="M311" s="1">
        <v>7.14</v>
      </c>
      <c r="N311" s="1">
        <v>24.07</v>
      </c>
      <c r="O311" s="6" t="s">
        <v>39</v>
      </c>
      <c r="P311" s="8">
        <f>Table1[Quantity]*Table1[Unit_Price]</f>
        <v>104.04</v>
      </c>
      <c r="Q311" s="1">
        <f>Table1[Profit]/Table1[Total_Sales]</f>
        <v>0.27219269478683705</v>
      </c>
      <c r="R311" s="14">
        <f>Table1[Total_Sales]+Table1[Shipping_Cost]</f>
        <v>95.570000000000007</v>
      </c>
    </row>
    <row r="312" spans="1:18" x14ac:dyDescent="0.35">
      <c r="A312" s="3" t="s">
        <v>699</v>
      </c>
      <c r="B312" s="2">
        <v>45114</v>
      </c>
      <c r="C312" s="1" t="s">
        <v>669</v>
      </c>
      <c r="D312" s="1" t="s">
        <v>49</v>
      </c>
      <c r="E312" s="1" t="s">
        <v>121</v>
      </c>
      <c r="F312" s="1" t="s">
        <v>68</v>
      </c>
      <c r="G312" s="1" t="s">
        <v>32</v>
      </c>
      <c r="H312" s="1" t="s">
        <v>132</v>
      </c>
      <c r="I312" s="1">
        <v>1</v>
      </c>
      <c r="J312" s="1">
        <v>19.62</v>
      </c>
      <c r="K312" s="1">
        <v>5</v>
      </c>
      <c r="L312" s="1">
        <v>18.64</v>
      </c>
      <c r="M312" s="1">
        <v>12.48</v>
      </c>
      <c r="N312" s="1">
        <v>-2.67</v>
      </c>
      <c r="O312" s="6" t="s">
        <v>56</v>
      </c>
      <c r="P312" s="8">
        <f>Table1[Quantity]*Table1[Unit_Price]</f>
        <v>19.62</v>
      </c>
      <c r="Q312" s="1">
        <f>Table1[Profit]/Table1[Total_Sales]</f>
        <v>-0.14324034334763946</v>
      </c>
      <c r="R312" s="14">
        <f>Table1[Total_Sales]+Table1[Shipping_Cost]</f>
        <v>31.12</v>
      </c>
    </row>
    <row r="313" spans="1:18" x14ac:dyDescent="0.35">
      <c r="A313" s="3" t="s">
        <v>700</v>
      </c>
      <c r="B313" s="2">
        <v>45114</v>
      </c>
      <c r="C313" s="1" t="s">
        <v>701</v>
      </c>
      <c r="D313" s="1" t="s">
        <v>30</v>
      </c>
      <c r="E313" s="1" t="s">
        <v>37</v>
      </c>
      <c r="F313" s="1" t="s">
        <v>26</v>
      </c>
      <c r="G313" s="1" t="s">
        <v>69</v>
      </c>
      <c r="H313" s="1" t="s">
        <v>160</v>
      </c>
      <c r="I313" s="1">
        <v>7</v>
      </c>
      <c r="J313" s="1">
        <v>43.03</v>
      </c>
      <c r="K313" s="1">
        <v>20</v>
      </c>
      <c r="L313" s="1">
        <v>240.97</v>
      </c>
      <c r="M313" s="1">
        <v>16.309999999999999</v>
      </c>
      <c r="N313" s="1">
        <v>74.05</v>
      </c>
      <c r="O313" s="6" t="s">
        <v>34</v>
      </c>
      <c r="P313" s="8">
        <f>Table1[Quantity]*Table1[Unit_Price]</f>
        <v>301.21000000000004</v>
      </c>
      <c r="Q313" s="1">
        <f>Table1[Profit]/Table1[Total_Sales]</f>
        <v>0.3072996638585716</v>
      </c>
      <c r="R313" s="14">
        <f>Table1[Total_Sales]+Table1[Shipping_Cost]</f>
        <v>257.27999999999997</v>
      </c>
    </row>
    <row r="314" spans="1:18" x14ac:dyDescent="0.35">
      <c r="A314" s="3" t="s">
        <v>702</v>
      </c>
      <c r="B314" s="2">
        <v>45115</v>
      </c>
      <c r="C314" s="1" t="s">
        <v>703</v>
      </c>
      <c r="D314" s="1" t="s">
        <v>49</v>
      </c>
      <c r="E314" s="1" t="s">
        <v>25</v>
      </c>
      <c r="F314" s="1" t="s">
        <v>26</v>
      </c>
      <c r="G314" s="1" t="s">
        <v>20</v>
      </c>
      <c r="H314" s="1" t="s">
        <v>55</v>
      </c>
      <c r="I314" s="1">
        <v>5</v>
      </c>
      <c r="J314" s="1">
        <v>50.01</v>
      </c>
      <c r="K314" s="1">
        <v>0</v>
      </c>
      <c r="L314" s="1">
        <v>250.05</v>
      </c>
      <c r="M314" s="1">
        <v>19.34</v>
      </c>
      <c r="N314" s="1">
        <v>93.18</v>
      </c>
      <c r="O314" s="6" t="s">
        <v>34</v>
      </c>
      <c r="P314" s="8">
        <f>Table1[Quantity]*Table1[Unit_Price]</f>
        <v>250.04999999999998</v>
      </c>
      <c r="Q314" s="1">
        <f>Table1[Profit]/Table1[Total_Sales]</f>
        <v>0.37264547090581884</v>
      </c>
      <c r="R314" s="14">
        <f>Table1[Total_Sales]+Table1[Shipping_Cost]</f>
        <v>269.39</v>
      </c>
    </row>
    <row r="315" spans="1:18" x14ac:dyDescent="0.35">
      <c r="A315" s="3" t="s">
        <v>704</v>
      </c>
      <c r="B315" s="2">
        <v>45116</v>
      </c>
      <c r="C315" s="1" t="s">
        <v>266</v>
      </c>
      <c r="D315" s="1" t="s">
        <v>30</v>
      </c>
      <c r="E315" s="1" t="s">
        <v>85</v>
      </c>
      <c r="F315" s="1" t="s">
        <v>60</v>
      </c>
      <c r="G315" s="1" t="s">
        <v>42</v>
      </c>
      <c r="H315" s="1" t="s">
        <v>255</v>
      </c>
      <c r="I315" s="1">
        <v>3</v>
      </c>
      <c r="J315" s="1">
        <v>53.14</v>
      </c>
      <c r="K315" s="1">
        <v>15</v>
      </c>
      <c r="L315" s="1">
        <v>135.51</v>
      </c>
      <c r="M315" s="1">
        <v>14.88</v>
      </c>
      <c r="N315" s="1">
        <v>24.98</v>
      </c>
      <c r="O315" s="6" t="s">
        <v>39</v>
      </c>
      <c r="P315" s="8">
        <f>Table1[Quantity]*Table1[Unit_Price]</f>
        <v>159.42000000000002</v>
      </c>
      <c r="Q315" s="1">
        <f>Table1[Profit]/Table1[Total_Sales]</f>
        <v>0.18434063906722753</v>
      </c>
      <c r="R315" s="14">
        <f>Table1[Total_Sales]+Table1[Shipping_Cost]</f>
        <v>150.38999999999999</v>
      </c>
    </row>
    <row r="316" spans="1:18" x14ac:dyDescent="0.35">
      <c r="A316" s="3" t="s">
        <v>705</v>
      </c>
      <c r="B316" s="2">
        <v>45116</v>
      </c>
      <c r="C316" s="1" t="s">
        <v>706</v>
      </c>
      <c r="D316" s="1" t="s">
        <v>30</v>
      </c>
      <c r="E316" s="1" t="s">
        <v>169</v>
      </c>
      <c r="F316" s="1" t="s">
        <v>68</v>
      </c>
      <c r="G316" s="1" t="s">
        <v>32</v>
      </c>
      <c r="H316" s="1" t="s">
        <v>73</v>
      </c>
      <c r="I316" s="1">
        <v>2</v>
      </c>
      <c r="J316" s="1">
        <v>3.31</v>
      </c>
      <c r="K316" s="1">
        <v>0</v>
      </c>
      <c r="L316" s="1">
        <v>6.62</v>
      </c>
      <c r="M316" s="1">
        <v>14.92</v>
      </c>
      <c r="N316" s="1">
        <v>-11.28</v>
      </c>
      <c r="O316" s="6" t="s">
        <v>34</v>
      </c>
      <c r="P316" s="8">
        <f>Table1[Quantity]*Table1[Unit_Price]</f>
        <v>6.62</v>
      </c>
      <c r="Q316" s="1">
        <f>Table1[Profit]/Table1[Total_Sales]</f>
        <v>-1.7039274924471297</v>
      </c>
      <c r="R316" s="14">
        <f>Table1[Total_Sales]+Table1[Shipping_Cost]</f>
        <v>21.54</v>
      </c>
    </row>
    <row r="317" spans="1:18" x14ac:dyDescent="0.35">
      <c r="A317" s="3" t="s">
        <v>707</v>
      </c>
      <c r="B317" s="2">
        <v>45117</v>
      </c>
      <c r="C317" s="1" t="s">
        <v>708</v>
      </c>
      <c r="D317" s="1" t="s">
        <v>17</v>
      </c>
      <c r="E317" s="1" t="s">
        <v>76</v>
      </c>
      <c r="F317" s="1" t="s">
        <v>26</v>
      </c>
      <c r="G317" s="1" t="s">
        <v>32</v>
      </c>
      <c r="H317" s="1" t="s">
        <v>101</v>
      </c>
      <c r="I317" s="1">
        <v>2</v>
      </c>
      <c r="J317" s="1">
        <v>11.9</v>
      </c>
      <c r="K317" s="1">
        <v>0</v>
      </c>
      <c r="L317" s="1">
        <v>23.8</v>
      </c>
      <c r="M317" s="1">
        <v>9.7100000000000009</v>
      </c>
      <c r="N317" s="1">
        <v>3.38</v>
      </c>
      <c r="O317" s="6" t="s">
        <v>39</v>
      </c>
      <c r="P317" s="8">
        <f>Table1[Quantity]*Table1[Unit_Price]</f>
        <v>23.8</v>
      </c>
      <c r="Q317" s="1">
        <f>Table1[Profit]/Table1[Total_Sales]</f>
        <v>0.14201680672268907</v>
      </c>
      <c r="R317" s="14">
        <f>Table1[Total_Sales]+Table1[Shipping_Cost]</f>
        <v>33.510000000000005</v>
      </c>
    </row>
    <row r="318" spans="1:18" x14ac:dyDescent="0.35">
      <c r="A318" s="3" t="s">
        <v>709</v>
      </c>
      <c r="B318" s="2">
        <v>45117</v>
      </c>
      <c r="C318" s="1" t="s">
        <v>710</v>
      </c>
      <c r="D318" s="1" t="s">
        <v>30</v>
      </c>
      <c r="E318" s="1" t="s">
        <v>18</v>
      </c>
      <c r="F318" s="1" t="s">
        <v>19</v>
      </c>
      <c r="G318" s="1" t="s">
        <v>69</v>
      </c>
      <c r="H318" s="1" t="s">
        <v>196</v>
      </c>
      <c r="I318" s="1">
        <v>6</v>
      </c>
      <c r="J318" s="1">
        <v>21.26</v>
      </c>
      <c r="K318" s="1">
        <v>5</v>
      </c>
      <c r="L318" s="1">
        <v>121.18</v>
      </c>
      <c r="M318" s="1">
        <v>9.14</v>
      </c>
      <c r="N318" s="1">
        <v>48.26</v>
      </c>
      <c r="O318" s="6" t="s">
        <v>34</v>
      </c>
      <c r="P318" s="8">
        <f>Table1[Quantity]*Table1[Unit_Price]</f>
        <v>127.56</v>
      </c>
      <c r="Q318" s="1">
        <f>Table1[Profit]/Table1[Total_Sales]</f>
        <v>0.39825053639214386</v>
      </c>
      <c r="R318" s="14">
        <f>Table1[Total_Sales]+Table1[Shipping_Cost]</f>
        <v>130.32</v>
      </c>
    </row>
    <row r="319" spans="1:18" x14ac:dyDescent="0.35">
      <c r="A319" s="3" t="s">
        <v>711</v>
      </c>
      <c r="B319" s="2">
        <v>45117</v>
      </c>
      <c r="C319" s="1" t="s">
        <v>712</v>
      </c>
      <c r="D319" s="1" t="s">
        <v>30</v>
      </c>
      <c r="E319" s="1" t="s">
        <v>129</v>
      </c>
      <c r="F319" s="1" t="s">
        <v>19</v>
      </c>
      <c r="G319" s="1" t="s">
        <v>69</v>
      </c>
      <c r="H319" s="1" t="s">
        <v>305</v>
      </c>
      <c r="I319" s="1">
        <v>1</v>
      </c>
      <c r="J319" s="1">
        <v>59.16</v>
      </c>
      <c r="K319" s="1">
        <v>10</v>
      </c>
      <c r="L319" s="1">
        <v>53.24</v>
      </c>
      <c r="M319" s="1">
        <v>6.6</v>
      </c>
      <c r="N319" s="1">
        <v>17.059999999999999</v>
      </c>
      <c r="O319" s="6" t="s">
        <v>34</v>
      </c>
      <c r="P319" s="8">
        <f>Table1[Quantity]*Table1[Unit_Price]</f>
        <v>59.16</v>
      </c>
      <c r="Q319" s="1">
        <f>Table1[Profit]/Table1[Total_Sales]</f>
        <v>0.32043576258452289</v>
      </c>
      <c r="R319" s="14">
        <f>Table1[Total_Sales]+Table1[Shipping_Cost]</f>
        <v>59.84</v>
      </c>
    </row>
    <row r="320" spans="1:18" x14ac:dyDescent="0.35">
      <c r="A320" s="3" t="s">
        <v>713</v>
      </c>
      <c r="B320" s="2">
        <v>45118</v>
      </c>
      <c r="C320" s="1" t="s">
        <v>714</v>
      </c>
      <c r="D320" s="1" t="s">
        <v>30</v>
      </c>
      <c r="E320" s="1" t="s">
        <v>148</v>
      </c>
      <c r="F320" s="1" t="s">
        <v>60</v>
      </c>
      <c r="G320" s="1" t="s">
        <v>32</v>
      </c>
      <c r="H320" s="1" t="s">
        <v>33</v>
      </c>
      <c r="I320" s="1">
        <v>1</v>
      </c>
      <c r="J320" s="1">
        <v>10.59</v>
      </c>
      <c r="K320" s="1">
        <v>5</v>
      </c>
      <c r="L320" s="1">
        <v>10.06</v>
      </c>
      <c r="M320" s="1">
        <v>11.4</v>
      </c>
      <c r="N320" s="1">
        <v>-6.11</v>
      </c>
      <c r="O320" s="6" t="s">
        <v>34</v>
      </c>
      <c r="P320" s="8">
        <f>Table1[Quantity]*Table1[Unit_Price]</f>
        <v>10.59</v>
      </c>
      <c r="Q320" s="1">
        <f>Table1[Profit]/Table1[Total_Sales]</f>
        <v>-0.60735586481113324</v>
      </c>
      <c r="R320" s="14">
        <f>Table1[Total_Sales]+Table1[Shipping_Cost]</f>
        <v>21.46</v>
      </c>
    </row>
    <row r="321" spans="1:18" x14ac:dyDescent="0.35">
      <c r="A321" s="3" t="s">
        <v>715</v>
      </c>
      <c r="B321" s="2">
        <v>45118</v>
      </c>
      <c r="C321" s="1" t="s">
        <v>716</v>
      </c>
      <c r="D321" s="1" t="s">
        <v>17</v>
      </c>
      <c r="E321" s="1" t="s">
        <v>31</v>
      </c>
      <c r="F321" s="1" t="s">
        <v>19</v>
      </c>
      <c r="G321" s="1" t="s">
        <v>20</v>
      </c>
      <c r="H321" s="1" t="s">
        <v>38</v>
      </c>
      <c r="I321" s="1">
        <v>6</v>
      </c>
      <c r="J321" s="1">
        <v>62.93</v>
      </c>
      <c r="K321" s="1">
        <v>0</v>
      </c>
      <c r="L321" s="1">
        <v>377.58</v>
      </c>
      <c r="M321" s="1">
        <v>13.89</v>
      </c>
      <c r="N321" s="1">
        <v>156.02000000000001</v>
      </c>
      <c r="O321" s="6" t="s">
        <v>56</v>
      </c>
      <c r="P321" s="8">
        <f>Table1[Quantity]*Table1[Unit_Price]</f>
        <v>377.58</v>
      </c>
      <c r="Q321" s="1">
        <f>Table1[Profit]/Table1[Total_Sales]</f>
        <v>0.41321044546851005</v>
      </c>
      <c r="R321" s="14">
        <f>Table1[Total_Sales]+Table1[Shipping_Cost]</f>
        <v>391.46999999999997</v>
      </c>
    </row>
    <row r="322" spans="1:18" x14ac:dyDescent="0.35">
      <c r="A322" s="3" t="s">
        <v>717</v>
      </c>
      <c r="B322" s="2">
        <v>45119</v>
      </c>
      <c r="C322" s="1" t="s">
        <v>718</v>
      </c>
      <c r="D322" s="1" t="s">
        <v>30</v>
      </c>
      <c r="E322" s="1" t="s">
        <v>31</v>
      </c>
      <c r="F322" s="1" t="s">
        <v>19</v>
      </c>
      <c r="G322" s="1" t="s">
        <v>69</v>
      </c>
      <c r="H322" s="1" t="s">
        <v>98</v>
      </c>
      <c r="I322" s="1">
        <v>4</v>
      </c>
      <c r="J322" s="1">
        <v>54.62</v>
      </c>
      <c r="K322" s="1">
        <v>0</v>
      </c>
      <c r="L322" s="1">
        <v>218.48</v>
      </c>
      <c r="M322" s="1">
        <v>11.36</v>
      </c>
      <c r="N322" s="1">
        <v>97.88</v>
      </c>
      <c r="O322" s="6" t="s">
        <v>34</v>
      </c>
      <c r="P322" s="8">
        <f>Table1[Quantity]*Table1[Unit_Price]</f>
        <v>218.48</v>
      </c>
      <c r="Q322" s="1">
        <f>Table1[Profit]/Table1[Total_Sales]</f>
        <v>0.44800439399487368</v>
      </c>
      <c r="R322" s="14">
        <f>Table1[Total_Sales]+Table1[Shipping_Cost]</f>
        <v>229.83999999999997</v>
      </c>
    </row>
    <row r="323" spans="1:18" x14ac:dyDescent="0.35">
      <c r="A323" s="3" t="s">
        <v>719</v>
      </c>
      <c r="B323" s="2">
        <v>45120</v>
      </c>
      <c r="C323" s="1" t="s">
        <v>720</v>
      </c>
      <c r="D323" s="1" t="s">
        <v>17</v>
      </c>
      <c r="E323" s="1" t="s">
        <v>63</v>
      </c>
      <c r="F323" s="1" t="s">
        <v>54</v>
      </c>
      <c r="G323" s="1" t="s">
        <v>20</v>
      </c>
      <c r="H323" s="1" t="s">
        <v>106</v>
      </c>
      <c r="I323" s="1">
        <v>2</v>
      </c>
      <c r="J323" s="1">
        <v>42.71</v>
      </c>
      <c r="K323" s="1">
        <v>20</v>
      </c>
      <c r="L323" s="1">
        <v>68.34</v>
      </c>
      <c r="M323" s="1">
        <v>12.22</v>
      </c>
      <c r="N323" s="1">
        <v>9.14</v>
      </c>
      <c r="O323" s="6" t="s">
        <v>39</v>
      </c>
      <c r="P323" s="8">
        <f>Table1[Quantity]*Table1[Unit_Price]</f>
        <v>85.42</v>
      </c>
      <c r="Q323" s="1">
        <f>Table1[Profit]/Table1[Total_Sales]</f>
        <v>0.13374304945858942</v>
      </c>
      <c r="R323" s="14">
        <f>Table1[Total_Sales]+Table1[Shipping_Cost]</f>
        <v>80.56</v>
      </c>
    </row>
    <row r="324" spans="1:18" x14ac:dyDescent="0.35">
      <c r="A324" s="3" t="s">
        <v>721</v>
      </c>
      <c r="B324" s="2">
        <v>45120</v>
      </c>
      <c r="C324" s="1" t="s">
        <v>722</v>
      </c>
      <c r="D324" s="1" t="s">
        <v>17</v>
      </c>
      <c r="E324" s="1" t="s">
        <v>37</v>
      </c>
      <c r="F324" s="1" t="s">
        <v>26</v>
      </c>
      <c r="G324" s="1" t="s">
        <v>42</v>
      </c>
      <c r="H324" s="1" t="s">
        <v>64</v>
      </c>
      <c r="I324" s="1">
        <v>2</v>
      </c>
      <c r="J324" s="1">
        <v>113.15</v>
      </c>
      <c r="K324" s="1">
        <v>10</v>
      </c>
      <c r="L324" s="1">
        <v>203.67</v>
      </c>
      <c r="M324" s="1">
        <v>11.07</v>
      </c>
      <c r="N324" s="1">
        <v>56.82</v>
      </c>
      <c r="O324" s="6" t="s">
        <v>34</v>
      </c>
      <c r="P324" s="8">
        <f>Table1[Quantity]*Table1[Unit_Price]</f>
        <v>226.3</v>
      </c>
      <c r="Q324" s="1">
        <f>Table1[Profit]/Table1[Total_Sales]</f>
        <v>0.27898070408012965</v>
      </c>
      <c r="R324" s="14">
        <f>Table1[Total_Sales]+Table1[Shipping_Cost]</f>
        <v>214.73999999999998</v>
      </c>
    </row>
    <row r="325" spans="1:18" x14ac:dyDescent="0.35">
      <c r="A325" s="3" t="s">
        <v>723</v>
      </c>
      <c r="B325" s="2">
        <v>45120</v>
      </c>
      <c r="C325" s="1" t="s">
        <v>724</v>
      </c>
      <c r="D325" s="1" t="s">
        <v>17</v>
      </c>
      <c r="E325" s="1" t="s">
        <v>169</v>
      </c>
      <c r="F325" s="1" t="s">
        <v>68</v>
      </c>
      <c r="G325" s="1" t="s">
        <v>20</v>
      </c>
      <c r="H325" s="1" t="s">
        <v>264</v>
      </c>
      <c r="I325" s="1">
        <v>1</v>
      </c>
      <c r="J325" s="1">
        <v>61.5</v>
      </c>
      <c r="K325" s="1">
        <v>15</v>
      </c>
      <c r="L325" s="1">
        <v>52.27</v>
      </c>
      <c r="M325" s="1">
        <v>10.75</v>
      </c>
      <c r="N325" s="1">
        <v>7.7</v>
      </c>
      <c r="O325" s="6" t="s">
        <v>34</v>
      </c>
      <c r="P325" s="8">
        <f>Table1[Quantity]*Table1[Unit_Price]</f>
        <v>61.5</v>
      </c>
      <c r="Q325" s="1">
        <f>Table1[Profit]/Table1[Total_Sales]</f>
        <v>0.14731203367132198</v>
      </c>
      <c r="R325" s="14">
        <f>Table1[Total_Sales]+Table1[Shipping_Cost]</f>
        <v>63.02</v>
      </c>
    </row>
    <row r="326" spans="1:18" x14ac:dyDescent="0.35">
      <c r="A326" s="3" t="s">
        <v>725</v>
      </c>
      <c r="B326" s="2">
        <v>45121</v>
      </c>
      <c r="C326" s="1" t="s">
        <v>726</v>
      </c>
      <c r="D326" s="1" t="s">
        <v>30</v>
      </c>
      <c r="E326" s="1" t="s">
        <v>85</v>
      </c>
      <c r="F326" s="1" t="s">
        <v>60</v>
      </c>
      <c r="G326" s="1" t="s">
        <v>32</v>
      </c>
      <c r="H326" s="1" t="s">
        <v>73</v>
      </c>
      <c r="I326" s="1">
        <v>5</v>
      </c>
      <c r="J326" s="1">
        <v>3.47</v>
      </c>
      <c r="K326" s="1">
        <v>5</v>
      </c>
      <c r="L326" s="1">
        <v>16.48</v>
      </c>
      <c r="M326" s="1">
        <v>13.6</v>
      </c>
      <c r="N326" s="1">
        <v>-4.93</v>
      </c>
      <c r="O326" s="6" t="s">
        <v>56</v>
      </c>
      <c r="P326" s="8">
        <f>Table1[Quantity]*Table1[Unit_Price]</f>
        <v>17.350000000000001</v>
      </c>
      <c r="Q326" s="1">
        <f>Table1[Profit]/Table1[Total_Sales]</f>
        <v>-0.29915048543689315</v>
      </c>
      <c r="R326" s="14">
        <f>Table1[Total_Sales]+Table1[Shipping_Cost]</f>
        <v>30.08</v>
      </c>
    </row>
    <row r="327" spans="1:18" x14ac:dyDescent="0.35">
      <c r="A327" s="3" t="s">
        <v>727</v>
      </c>
      <c r="B327" s="2">
        <v>45121</v>
      </c>
      <c r="C327" s="1" t="s">
        <v>728</v>
      </c>
      <c r="D327" s="1" t="s">
        <v>30</v>
      </c>
      <c r="E327" s="1" t="s">
        <v>92</v>
      </c>
      <c r="F327" s="1" t="s">
        <v>60</v>
      </c>
      <c r="G327" s="1" t="s">
        <v>42</v>
      </c>
      <c r="H327" s="1" t="s">
        <v>93</v>
      </c>
      <c r="I327" s="1">
        <v>5</v>
      </c>
      <c r="J327" s="1">
        <v>394.43</v>
      </c>
      <c r="K327" s="1">
        <v>5</v>
      </c>
      <c r="L327" s="1">
        <v>1873.54</v>
      </c>
      <c r="M327" s="1">
        <v>12.1</v>
      </c>
      <c r="N327" s="1">
        <v>678.15</v>
      </c>
      <c r="O327" s="6" t="s">
        <v>56</v>
      </c>
      <c r="P327" s="8">
        <f>Table1[Quantity]*Table1[Unit_Price]</f>
        <v>1972.15</v>
      </c>
      <c r="Q327" s="1">
        <f>Table1[Profit]/Table1[Total_Sales]</f>
        <v>0.36196184762535094</v>
      </c>
      <c r="R327" s="14">
        <f>Table1[Total_Sales]+Table1[Shipping_Cost]</f>
        <v>1885.6399999999999</v>
      </c>
    </row>
    <row r="328" spans="1:18" x14ac:dyDescent="0.35">
      <c r="A328" s="3" t="s">
        <v>729</v>
      </c>
      <c r="B328" s="2">
        <v>45122</v>
      </c>
      <c r="C328" s="1" t="s">
        <v>730</v>
      </c>
      <c r="D328" s="1" t="s">
        <v>49</v>
      </c>
      <c r="E328" s="1" t="s">
        <v>25</v>
      </c>
      <c r="F328" s="1" t="s">
        <v>26</v>
      </c>
      <c r="G328" s="1" t="s">
        <v>42</v>
      </c>
      <c r="H328" s="1" t="s">
        <v>371</v>
      </c>
      <c r="I328" s="1">
        <v>4</v>
      </c>
      <c r="J328" s="1">
        <v>161.93</v>
      </c>
      <c r="K328" s="1">
        <v>10</v>
      </c>
      <c r="L328" s="1">
        <v>582.95000000000005</v>
      </c>
      <c r="M328" s="1">
        <v>10.19</v>
      </c>
      <c r="N328" s="1">
        <v>184.13</v>
      </c>
      <c r="O328" s="6" t="s">
        <v>56</v>
      </c>
      <c r="P328" s="8">
        <f>Table1[Quantity]*Table1[Unit_Price]</f>
        <v>647.72</v>
      </c>
      <c r="Q328" s="1">
        <f>Table1[Profit]/Table1[Total_Sales]</f>
        <v>0.31585899305257736</v>
      </c>
      <c r="R328" s="14">
        <f>Table1[Total_Sales]+Table1[Shipping_Cost]</f>
        <v>593.1400000000001</v>
      </c>
    </row>
    <row r="329" spans="1:18" x14ac:dyDescent="0.35">
      <c r="A329" s="3" t="s">
        <v>731</v>
      </c>
      <c r="B329" s="2">
        <v>45122</v>
      </c>
      <c r="C329" s="1" t="s">
        <v>732</v>
      </c>
      <c r="D329" s="1" t="s">
        <v>30</v>
      </c>
      <c r="E329" s="1" t="s">
        <v>148</v>
      </c>
      <c r="F329" s="1" t="s">
        <v>60</v>
      </c>
      <c r="G329" s="1" t="s">
        <v>42</v>
      </c>
      <c r="H329" s="1" t="s">
        <v>93</v>
      </c>
      <c r="I329" s="1">
        <v>7</v>
      </c>
      <c r="J329" s="1">
        <v>233.89</v>
      </c>
      <c r="K329" s="1">
        <v>0</v>
      </c>
      <c r="L329" s="1">
        <v>1637.23</v>
      </c>
      <c r="M329" s="1">
        <v>21.29</v>
      </c>
      <c r="N329" s="1">
        <v>633.6</v>
      </c>
      <c r="O329" s="6" t="s">
        <v>34</v>
      </c>
      <c r="P329" s="8">
        <f>Table1[Quantity]*Table1[Unit_Price]</f>
        <v>1637.23</v>
      </c>
      <c r="Q329" s="1">
        <f>Table1[Profit]/Table1[Total_Sales]</f>
        <v>0.38699510759025918</v>
      </c>
      <c r="R329" s="14">
        <f>Table1[Total_Sales]+Table1[Shipping_Cost]</f>
        <v>1658.52</v>
      </c>
    </row>
    <row r="330" spans="1:18" x14ac:dyDescent="0.35">
      <c r="A330" s="3" t="s">
        <v>733</v>
      </c>
      <c r="B330" s="2">
        <v>45123</v>
      </c>
      <c r="C330" s="1" t="s">
        <v>734</v>
      </c>
      <c r="D330" s="1" t="s">
        <v>30</v>
      </c>
      <c r="E330" s="1" t="s">
        <v>135</v>
      </c>
      <c r="F330" s="1" t="s">
        <v>26</v>
      </c>
      <c r="G330" s="1" t="s">
        <v>69</v>
      </c>
      <c r="H330" s="1" t="s">
        <v>305</v>
      </c>
      <c r="I330" s="1">
        <v>7</v>
      </c>
      <c r="J330" s="1">
        <v>30.7</v>
      </c>
      <c r="K330" s="1">
        <v>10</v>
      </c>
      <c r="L330" s="1">
        <v>193.41</v>
      </c>
      <c r="M330" s="1">
        <v>10.64</v>
      </c>
      <c r="N330" s="1">
        <v>75.319999999999993</v>
      </c>
      <c r="O330" s="6" t="s">
        <v>34</v>
      </c>
      <c r="P330" s="8">
        <f>Table1[Quantity]*Table1[Unit_Price]</f>
        <v>214.9</v>
      </c>
      <c r="Q330" s="1">
        <f>Table1[Profit]/Table1[Total_Sales]</f>
        <v>0.38943177705392684</v>
      </c>
      <c r="R330" s="14">
        <f>Table1[Total_Sales]+Table1[Shipping_Cost]</f>
        <v>204.05</v>
      </c>
    </row>
    <row r="331" spans="1:18" x14ac:dyDescent="0.35">
      <c r="A331" s="3" t="s">
        <v>735</v>
      </c>
      <c r="B331" s="2">
        <v>45123</v>
      </c>
      <c r="C331" s="1" t="s">
        <v>736</v>
      </c>
      <c r="D331" s="1" t="s">
        <v>49</v>
      </c>
      <c r="E331" s="1" t="s">
        <v>76</v>
      </c>
      <c r="F331" s="1" t="s">
        <v>26</v>
      </c>
      <c r="G331" s="1" t="s">
        <v>69</v>
      </c>
      <c r="H331" s="1" t="s">
        <v>243</v>
      </c>
      <c r="I331" s="1">
        <v>5</v>
      </c>
      <c r="J331" s="1">
        <v>21.72</v>
      </c>
      <c r="K331" s="1">
        <v>0</v>
      </c>
      <c r="L331" s="1">
        <v>108.6</v>
      </c>
      <c r="M331" s="1">
        <v>10.039999999999999</v>
      </c>
      <c r="N331" s="1">
        <v>44.26</v>
      </c>
      <c r="O331" s="6" t="s">
        <v>39</v>
      </c>
      <c r="P331" s="8">
        <f>Table1[Quantity]*Table1[Unit_Price]</f>
        <v>108.6</v>
      </c>
      <c r="Q331" s="1">
        <f>Table1[Profit]/Table1[Total_Sales]</f>
        <v>0.40755064456721918</v>
      </c>
      <c r="R331" s="14">
        <f>Table1[Total_Sales]+Table1[Shipping_Cost]</f>
        <v>118.63999999999999</v>
      </c>
    </row>
    <row r="332" spans="1:18" x14ac:dyDescent="0.35">
      <c r="A332" s="3" t="s">
        <v>737</v>
      </c>
      <c r="B332" s="2">
        <v>45124</v>
      </c>
      <c r="C332" s="1" t="s">
        <v>738</v>
      </c>
      <c r="D332" s="1" t="s">
        <v>30</v>
      </c>
      <c r="E332" s="1" t="s">
        <v>129</v>
      </c>
      <c r="F332" s="1" t="s">
        <v>19</v>
      </c>
      <c r="G332" s="1" t="s">
        <v>32</v>
      </c>
      <c r="H332" s="1" t="s">
        <v>101</v>
      </c>
      <c r="I332" s="1">
        <v>3</v>
      </c>
      <c r="J332" s="1">
        <v>18.989999999999998</v>
      </c>
      <c r="K332" s="1">
        <v>10</v>
      </c>
      <c r="L332" s="1">
        <v>51.27</v>
      </c>
      <c r="M332" s="1">
        <v>9.8699999999999992</v>
      </c>
      <c r="N332" s="1">
        <v>15.76</v>
      </c>
      <c r="O332" s="6" t="s">
        <v>34</v>
      </c>
      <c r="P332" s="8">
        <f>Table1[Quantity]*Table1[Unit_Price]</f>
        <v>56.97</v>
      </c>
      <c r="Q332" s="1">
        <f>Table1[Profit]/Table1[Total_Sales]</f>
        <v>0.30739223717573627</v>
      </c>
      <c r="R332" s="14">
        <f>Table1[Total_Sales]+Table1[Shipping_Cost]</f>
        <v>61.14</v>
      </c>
    </row>
    <row r="333" spans="1:18" x14ac:dyDescent="0.35">
      <c r="A333" s="3" t="s">
        <v>739</v>
      </c>
      <c r="B333" s="2">
        <v>45125</v>
      </c>
      <c r="C333" s="1" t="s">
        <v>740</v>
      </c>
      <c r="D333" s="1" t="s">
        <v>30</v>
      </c>
      <c r="E333" s="1" t="s">
        <v>166</v>
      </c>
      <c r="F333" s="1" t="s">
        <v>60</v>
      </c>
      <c r="G333" s="1" t="s">
        <v>20</v>
      </c>
      <c r="H333" s="1" t="s">
        <v>21</v>
      </c>
      <c r="I333" s="1">
        <v>1</v>
      </c>
      <c r="J333" s="1">
        <v>190.35</v>
      </c>
      <c r="K333" s="1">
        <v>10</v>
      </c>
      <c r="L333" s="1">
        <v>171.31</v>
      </c>
      <c r="M333" s="1">
        <v>10.96</v>
      </c>
      <c r="N333" s="1">
        <v>55.66</v>
      </c>
      <c r="O333" s="6" t="s">
        <v>39</v>
      </c>
      <c r="P333" s="8">
        <f>Table1[Quantity]*Table1[Unit_Price]</f>
        <v>190.35</v>
      </c>
      <c r="Q333" s="1">
        <f>Table1[Profit]/Table1[Total_Sales]</f>
        <v>0.3249080614091413</v>
      </c>
      <c r="R333" s="14">
        <f>Table1[Total_Sales]+Table1[Shipping_Cost]</f>
        <v>182.27</v>
      </c>
    </row>
    <row r="334" spans="1:18" x14ac:dyDescent="0.35">
      <c r="A334" s="3" t="s">
        <v>741</v>
      </c>
      <c r="B334" s="2">
        <v>45126</v>
      </c>
      <c r="C334" s="1" t="s">
        <v>742</v>
      </c>
      <c r="D334" s="1" t="s">
        <v>17</v>
      </c>
      <c r="E334" s="1" t="s">
        <v>166</v>
      </c>
      <c r="F334" s="1" t="s">
        <v>60</v>
      </c>
      <c r="G334" s="1" t="s">
        <v>42</v>
      </c>
      <c r="H334" s="1" t="s">
        <v>234</v>
      </c>
      <c r="I334" s="1">
        <v>3</v>
      </c>
      <c r="J334" s="1">
        <v>64.89</v>
      </c>
      <c r="K334" s="1">
        <v>25</v>
      </c>
      <c r="L334" s="1">
        <v>146</v>
      </c>
      <c r="M334" s="1">
        <v>16.18</v>
      </c>
      <c r="N334" s="1">
        <v>13.02</v>
      </c>
      <c r="O334" s="6" t="s">
        <v>22</v>
      </c>
      <c r="P334" s="8">
        <f>Table1[Quantity]*Table1[Unit_Price]</f>
        <v>194.67000000000002</v>
      </c>
      <c r="Q334" s="1">
        <f>Table1[Profit]/Table1[Total_Sales]</f>
        <v>8.9178082191780819E-2</v>
      </c>
      <c r="R334" s="14">
        <f>Table1[Total_Sales]+Table1[Shipping_Cost]</f>
        <v>162.18</v>
      </c>
    </row>
    <row r="335" spans="1:18" x14ac:dyDescent="0.35">
      <c r="A335" s="3" t="s">
        <v>743</v>
      </c>
      <c r="B335" s="2">
        <v>45126</v>
      </c>
      <c r="C335" s="1" t="s">
        <v>744</v>
      </c>
      <c r="D335" s="1" t="s">
        <v>17</v>
      </c>
      <c r="E335" s="1" t="s">
        <v>25</v>
      </c>
      <c r="F335" s="1" t="s">
        <v>26</v>
      </c>
      <c r="G335" s="1" t="s">
        <v>69</v>
      </c>
      <c r="H335" s="1" t="s">
        <v>243</v>
      </c>
      <c r="I335" s="1">
        <v>2</v>
      </c>
      <c r="J335" s="1">
        <v>27.32</v>
      </c>
      <c r="K335" s="1">
        <v>10</v>
      </c>
      <c r="L335" s="1">
        <v>49.18</v>
      </c>
      <c r="M335" s="1">
        <v>10.74</v>
      </c>
      <c r="N335" s="1">
        <v>11.12</v>
      </c>
      <c r="O335" s="6" t="s">
        <v>39</v>
      </c>
      <c r="P335" s="8">
        <f>Table1[Quantity]*Table1[Unit_Price]</f>
        <v>54.64</v>
      </c>
      <c r="Q335" s="1">
        <f>Table1[Profit]/Table1[Total_Sales]</f>
        <v>0.22610817405449368</v>
      </c>
      <c r="R335" s="14">
        <f>Table1[Total_Sales]+Table1[Shipping_Cost]</f>
        <v>59.92</v>
      </c>
    </row>
    <row r="336" spans="1:18" x14ac:dyDescent="0.35">
      <c r="A336" s="3" t="s">
        <v>745</v>
      </c>
      <c r="B336" s="2">
        <v>45126</v>
      </c>
      <c r="C336" s="1" t="s">
        <v>746</v>
      </c>
      <c r="D336" s="1" t="s">
        <v>30</v>
      </c>
      <c r="E336" s="1" t="s">
        <v>59</v>
      </c>
      <c r="F336" s="1" t="s">
        <v>60</v>
      </c>
      <c r="G336" s="1" t="s">
        <v>20</v>
      </c>
      <c r="H336" s="1" t="s">
        <v>27</v>
      </c>
      <c r="I336" s="1">
        <v>10</v>
      </c>
      <c r="J336" s="1">
        <v>133.94999999999999</v>
      </c>
      <c r="K336" s="1">
        <v>10</v>
      </c>
      <c r="L336" s="1">
        <v>1205.55</v>
      </c>
      <c r="M336" s="1">
        <v>21.46</v>
      </c>
      <c r="N336" s="1">
        <v>447.36</v>
      </c>
      <c r="O336" s="6" t="s">
        <v>34</v>
      </c>
      <c r="P336" s="8">
        <f>Table1[Quantity]*Table1[Unit_Price]</f>
        <v>1339.5</v>
      </c>
      <c r="Q336" s="1">
        <f>Table1[Profit]/Table1[Total_Sales]</f>
        <v>0.37108373771307707</v>
      </c>
      <c r="R336" s="14">
        <f>Table1[Total_Sales]+Table1[Shipping_Cost]</f>
        <v>1227.01</v>
      </c>
    </row>
    <row r="337" spans="1:18" x14ac:dyDescent="0.35">
      <c r="A337" s="3" t="s">
        <v>747</v>
      </c>
      <c r="B337" s="2">
        <v>45126</v>
      </c>
      <c r="C337" s="1" t="s">
        <v>748</v>
      </c>
      <c r="D337" s="1" t="s">
        <v>17</v>
      </c>
      <c r="E337" s="1" t="s">
        <v>129</v>
      </c>
      <c r="F337" s="1" t="s">
        <v>19</v>
      </c>
      <c r="G337" s="1" t="s">
        <v>20</v>
      </c>
      <c r="H337" s="1" t="s">
        <v>106</v>
      </c>
      <c r="I337" s="1">
        <v>2</v>
      </c>
      <c r="J337" s="1">
        <v>56.54</v>
      </c>
      <c r="K337" s="1">
        <v>5</v>
      </c>
      <c r="L337" s="1">
        <v>107.43</v>
      </c>
      <c r="M337" s="1">
        <v>7.32</v>
      </c>
      <c r="N337" s="1">
        <v>37.92</v>
      </c>
      <c r="O337" s="6" t="s">
        <v>39</v>
      </c>
      <c r="P337" s="8">
        <f>Table1[Quantity]*Table1[Unit_Price]</f>
        <v>113.08</v>
      </c>
      <c r="Q337" s="1">
        <f>Table1[Profit]/Table1[Total_Sales]</f>
        <v>0.3529740296006702</v>
      </c>
      <c r="R337" s="14">
        <f>Table1[Total_Sales]+Table1[Shipping_Cost]</f>
        <v>114.75</v>
      </c>
    </row>
    <row r="338" spans="1:18" x14ac:dyDescent="0.35">
      <c r="A338" s="3" t="s">
        <v>749</v>
      </c>
      <c r="B338" s="2">
        <v>45127</v>
      </c>
      <c r="C338" s="1" t="s">
        <v>750</v>
      </c>
      <c r="D338" s="1" t="s">
        <v>17</v>
      </c>
      <c r="E338" s="1" t="s">
        <v>25</v>
      </c>
      <c r="F338" s="1" t="s">
        <v>26</v>
      </c>
      <c r="G338" s="1" t="s">
        <v>42</v>
      </c>
      <c r="H338" s="1" t="s">
        <v>234</v>
      </c>
      <c r="I338" s="1">
        <v>1</v>
      </c>
      <c r="J338" s="1">
        <v>51.24</v>
      </c>
      <c r="K338" s="1">
        <v>20</v>
      </c>
      <c r="L338" s="1">
        <v>40.99</v>
      </c>
      <c r="M338" s="1">
        <v>8.07</v>
      </c>
      <c r="N338" s="1">
        <v>2.1800000000000002</v>
      </c>
      <c r="O338" s="6" t="s">
        <v>22</v>
      </c>
      <c r="P338" s="8">
        <f>Table1[Quantity]*Table1[Unit_Price]</f>
        <v>51.24</v>
      </c>
      <c r="Q338" s="1">
        <f>Table1[Profit]/Table1[Total_Sales]</f>
        <v>5.3183703342278607E-2</v>
      </c>
      <c r="R338" s="14">
        <f>Table1[Total_Sales]+Table1[Shipping_Cost]</f>
        <v>49.06</v>
      </c>
    </row>
    <row r="339" spans="1:18" x14ac:dyDescent="0.35">
      <c r="A339" s="3" t="s">
        <v>751</v>
      </c>
      <c r="B339" s="2">
        <v>45127</v>
      </c>
      <c r="C339" s="1" t="s">
        <v>752</v>
      </c>
      <c r="D339" s="1" t="s">
        <v>30</v>
      </c>
      <c r="E339" s="1" t="s">
        <v>121</v>
      </c>
      <c r="F339" s="1" t="s">
        <v>68</v>
      </c>
      <c r="G339" s="1" t="s">
        <v>20</v>
      </c>
      <c r="H339" s="1" t="s">
        <v>27</v>
      </c>
      <c r="I339" s="1">
        <v>13</v>
      </c>
      <c r="J339" s="1">
        <v>145.33000000000001</v>
      </c>
      <c r="K339" s="1">
        <v>5</v>
      </c>
      <c r="L339" s="1">
        <v>1794.83</v>
      </c>
      <c r="M339" s="1">
        <v>36.04</v>
      </c>
      <c r="N339" s="1">
        <v>719.68</v>
      </c>
      <c r="O339" s="6" t="s">
        <v>22</v>
      </c>
      <c r="P339" s="8">
        <f>Table1[Quantity]*Table1[Unit_Price]</f>
        <v>1889.2900000000002</v>
      </c>
      <c r="Q339" s="1">
        <f>Table1[Profit]/Table1[Total_Sales]</f>
        <v>0.40097390839243829</v>
      </c>
      <c r="R339" s="14">
        <f>Table1[Total_Sales]+Table1[Shipping_Cost]</f>
        <v>1830.87</v>
      </c>
    </row>
    <row r="340" spans="1:18" x14ac:dyDescent="0.35">
      <c r="A340" s="3" t="s">
        <v>753</v>
      </c>
      <c r="B340" s="2">
        <v>45129</v>
      </c>
      <c r="C340" s="1" t="s">
        <v>754</v>
      </c>
      <c r="D340" s="1" t="s">
        <v>17</v>
      </c>
      <c r="E340" s="1" t="s">
        <v>129</v>
      </c>
      <c r="F340" s="1" t="s">
        <v>19</v>
      </c>
      <c r="G340" s="1" t="s">
        <v>69</v>
      </c>
      <c r="H340" s="1" t="s">
        <v>243</v>
      </c>
      <c r="I340" s="1">
        <v>5</v>
      </c>
      <c r="J340" s="1">
        <v>27.72</v>
      </c>
      <c r="K340" s="1">
        <v>5</v>
      </c>
      <c r="L340" s="1">
        <v>131.66999999999999</v>
      </c>
      <c r="M340" s="1">
        <v>15.56</v>
      </c>
      <c r="N340" s="1">
        <v>46.81</v>
      </c>
      <c r="O340" s="6" t="s">
        <v>39</v>
      </c>
      <c r="P340" s="8">
        <f>Table1[Quantity]*Table1[Unit_Price]</f>
        <v>138.6</v>
      </c>
      <c r="Q340" s="1">
        <f>Table1[Profit]/Table1[Total_Sales]</f>
        <v>0.3555099870889345</v>
      </c>
      <c r="R340" s="14">
        <f>Table1[Total_Sales]+Table1[Shipping_Cost]</f>
        <v>147.22999999999999</v>
      </c>
    </row>
    <row r="341" spans="1:18" x14ac:dyDescent="0.35">
      <c r="A341" s="3" t="s">
        <v>755</v>
      </c>
      <c r="B341" s="2">
        <v>45129</v>
      </c>
      <c r="C341" s="1" t="s">
        <v>756</v>
      </c>
      <c r="D341" s="1" t="s">
        <v>30</v>
      </c>
      <c r="E341" s="1" t="s">
        <v>121</v>
      </c>
      <c r="F341" s="1" t="s">
        <v>68</v>
      </c>
      <c r="G341" s="1" t="s">
        <v>69</v>
      </c>
      <c r="H341" s="1" t="s">
        <v>163</v>
      </c>
      <c r="I341" s="1">
        <v>2</v>
      </c>
      <c r="J341" s="1">
        <v>53.18</v>
      </c>
      <c r="K341" s="1">
        <v>5</v>
      </c>
      <c r="L341" s="1">
        <v>101.04</v>
      </c>
      <c r="M341" s="1">
        <v>13.3</v>
      </c>
      <c r="N341" s="1">
        <v>34.56</v>
      </c>
      <c r="O341" s="6" t="s">
        <v>39</v>
      </c>
      <c r="P341" s="8">
        <f>Table1[Quantity]*Table1[Unit_Price]</f>
        <v>106.36</v>
      </c>
      <c r="Q341" s="1">
        <f>Table1[Profit]/Table1[Total_Sales]</f>
        <v>0.34204275534441808</v>
      </c>
      <c r="R341" s="14">
        <f>Table1[Total_Sales]+Table1[Shipping_Cost]</f>
        <v>114.34</v>
      </c>
    </row>
    <row r="342" spans="1:18" x14ac:dyDescent="0.35">
      <c r="A342" s="3" t="s">
        <v>757</v>
      </c>
      <c r="B342" s="2">
        <v>45129</v>
      </c>
      <c r="C342" s="1" t="s">
        <v>758</v>
      </c>
      <c r="D342" s="1" t="s">
        <v>30</v>
      </c>
      <c r="E342" s="1" t="s">
        <v>248</v>
      </c>
      <c r="F342" s="1" t="s">
        <v>26</v>
      </c>
      <c r="G342" s="1" t="s">
        <v>20</v>
      </c>
      <c r="H342" s="1" t="s">
        <v>199</v>
      </c>
      <c r="I342" s="1">
        <v>5</v>
      </c>
      <c r="J342" s="1">
        <v>167.91</v>
      </c>
      <c r="K342" s="1">
        <v>0</v>
      </c>
      <c r="L342" s="1">
        <v>839.55</v>
      </c>
      <c r="M342" s="1">
        <v>15.17</v>
      </c>
      <c r="N342" s="1">
        <v>362.63</v>
      </c>
      <c r="O342" s="6" t="s">
        <v>22</v>
      </c>
      <c r="P342" s="8">
        <f>Table1[Quantity]*Table1[Unit_Price]</f>
        <v>839.55</v>
      </c>
      <c r="Q342" s="1">
        <f>Table1[Profit]/Table1[Total_Sales]</f>
        <v>0.43193377404561972</v>
      </c>
      <c r="R342" s="14">
        <f>Table1[Total_Sales]+Table1[Shipping_Cost]</f>
        <v>854.71999999999991</v>
      </c>
    </row>
    <row r="343" spans="1:18" x14ac:dyDescent="0.35">
      <c r="A343" s="3" t="s">
        <v>759</v>
      </c>
      <c r="B343" s="2">
        <v>45129</v>
      </c>
      <c r="C343" s="1" t="s">
        <v>760</v>
      </c>
      <c r="D343" s="1" t="s">
        <v>30</v>
      </c>
      <c r="E343" s="1" t="s">
        <v>59</v>
      </c>
      <c r="F343" s="1" t="s">
        <v>60</v>
      </c>
      <c r="G343" s="1" t="s">
        <v>32</v>
      </c>
      <c r="H343" s="1" t="s">
        <v>132</v>
      </c>
      <c r="I343" s="1">
        <v>1</v>
      </c>
      <c r="J343" s="1">
        <v>16.43</v>
      </c>
      <c r="K343" s="1">
        <v>5</v>
      </c>
      <c r="L343" s="1">
        <v>15.61</v>
      </c>
      <c r="M343" s="1">
        <v>11.32</v>
      </c>
      <c r="N343" s="1">
        <v>-3.1</v>
      </c>
      <c r="O343" s="6" t="s">
        <v>56</v>
      </c>
      <c r="P343" s="8">
        <f>Table1[Quantity]*Table1[Unit_Price]</f>
        <v>16.43</v>
      </c>
      <c r="Q343" s="1">
        <f>Table1[Profit]/Table1[Total_Sales]</f>
        <v>-0.19859064702114032</v>
      </c>
      <c r="R343" s="14">
        <f>Table1[Total_Sales]+Table1[Shipping_Cost]</f>
        <v>26.93</v>
      </c>
    </row>
    <row r="344" spans="1:18" x14ac:dyDescent="0.35">
      <c r="A344" s="3" t="s">
        <v>761</v>
      </c>
      <c r="B344" s="2">
        <v>45131</v>
      </c>
      <c r="C344" s="1" t="s">
        <v>762</v>
      </c>
      <c r="D344" s="1" t="s">
        <v>30</v>
      </c>
      <c r="E344" s="1" t="s">
        <v>53</v>
      </c>
      <c r="F344" s="1" t="s">
        <v>54</v>
      </c>
      <c r="G344" s="1" t="s">
        <v>42</v>
      </c>
      <c r="H344" s="1" t="s">
        <v>234</v>
      </c>
      <c r="I344" s="1">
        <v>2</v>
      </c>
      <c r="J344" s="1">
        <v>71.010000000000005</v>
      </c>
      <c r="K344" s="1">
        <v>15</v>
      </c>
      <c r="L344" s="1">
        <v>120.72</v>
      </c>
      <c r="M344" s="1">
        <v>13.2</v>
      </c>
      <c r="N344" s="1">
        <v>22.31</v>
      </c>
      <c r="O344" s="6" t="s">
        <v>22</v>
      </c>
      <c r="P344" s="8">
        <f>Table1[Quantity]*Table1[Unit_Price]</f>
        <v>142.02000000000001</v>
      </c>
      <c r="Q344" s="1">
        <f>Table1[Profit]/Table1[Total_Sales]</f>
        <v>0.18480781974817759</v>
      </c>
      <c r="R344" s="14">
        <f>Table1[Total_Sales]+Table1[Shipping_Cost]</f>
        <v>133.91999999999999</v>
      </c>
    </row>
    <row r="345" spans="1:18" x14ac:dyDescent="0.35">
      <c r="A345" s="3" t="s">
        <v>763</v>
      </c>
      <c r="B345" s="2">
        <v>45132</v>
      </c>
      <c r="C345" s="1" t="s">
        <v>764</v>
      </c>
      <c r="D345" s="1" t="s">
        <v>17</v>
      </c>
      <c r="E345" s="1" t="s">
        <v>67</v>
      </c>
      <c r="F345" s="1" t="s">
        <v>68</v>
      </c>
      <c r="G345" s="1" t="s">
        <v>69</v>
      </c>
      <c r="H345" s="1" t="s">
        <v>139</v>
      </c>
      <c r="I345" s="1">
        <v>1</v>
      </c>
      <c r="J345" s="1">
        <v>41.08</v>
      </c>
      <c r="K345" s="1">
        <v>0</v>
      </c>
      <c r="L345" s="1">
        <v>41.08</v>
      </c>
      <c r="M345" s="1">
        <v>11.71</v>
      </c>
      <c r="N345" s="1">
        <v>8.83</v>
      </c>
      <c r="O345" s="6" t="s">
        <v>22</v>
      </c>
      <c r="P345" s="8">
        <f>Table1[Quantity]*Table1[Unit_Price]</f>
        <v>41.08</v>
      </c>
      <c r="Q345" s="1">
        <f>Table1[Profit]/Table1[Total_Sales]</f>
        <v>0.2149464459591042</v>
      </c>
      <c r="R345" s="14">
        <f>Table1[Total_Sales]+Table1[Shipping_Cost]</f>
        <v>52.79</v>
      </c>
    </row>
    <row r="346" spans="1:18" x14ac:dyDescent="0.35">
      <c r="A346" s="3" t="s">
        <v>765</v>
      </c>
      <c r="B346" s="2">
        <v>45133</v>
      </c>
      <c r="C346" s="1" t="s">
        <v>766</v>
      </c>
      <c r="D346" s="1" t="s">
        <v>30</v>
      </c>
      <c r="E346" s="1" t="s">
        <v>121</v>
      </c>
      <c r="F346" s="1" t="s">
        <v>68</v>
      </c>
      <c r="G346" s="1" t="s">
        <v>42</v>
      </c>
      <c r="H346" s="1" t="s">
        <v>255</v>
      </c>
      <c r="I346" s="1">
        <v>1</v>
      </c>
      <c r="J346" s="1">
        <v>21.14</v>
      </c>
      <c r="K346" s="1">
        <v>20</v>
      </c>
      <c r="L346" s="1">
        <v>16.91</v>
      </c>
      <c r="M346" s="1">
        <v>12.08</v>
      </c>
      <c r="N346" s="1">
        <v>-7.85</v>
      </c>
      <c r="O346" s="6" t="s">
        <v>22</v>
      </c>
      <c r="P346" s="8">
        <f>Table1[Quantity]*Table1[Unit_Price]</f>
        <v>21.14</v>
      </c>
      <c r="Q346" s="1">
        <f>Table1[Profit]/Table1[Total_Sales]</f>
        <v>-0.46422235363690123</v>
      </c>
      <c r="R346" s="14">
        <f>Table1[Total_Sales]+Table1[Shipping_Cost]</f>
        <v>28.990000000000002</v>
      </c>
    </row>
    <row r="347" spans="1:18" x14ac:dyDescent="0.35">
      <c r="A347" s="3" t="s">
        <v>767</v>
      </c>
      <c r="B347" s="2">
        <v>45133</v>
      </c>
      <c r="C347" s="1" t="s">
        <v>768</v>
      </c>
      <c r="D347" s="1" t="s">
        <v>17</v>
      </c>
      <c r="E347" s="1" t="s">
        <v>18</v>
      </c>
      <c r="F347" s="1" t="s">
        <v>19</v>
      </c>
      <c r="G347" s="1" t="s">
        <v>20</v>
      </c>
      <c r="H347" s="1" t="s">
        <v>175</v>
      </c>
      <c r="I347" s="1">
        <v>1</v>
      </c>
      <c r="J347" s="1">
        <v>52.78</v>
      </c>
      <c r="K347" s="1">
        <v>0</v>
      </c>
      <c r="L347" s="1">
        <v>52.78</v>
      </c>
      <c r="M347" s="1">
        <v>6.2</v>
      </c>
      <c r="N347" s="1">
        <v>17.55</v>
      </c>
      <c r="O347" s="6" t="s">
        <v>34</v>
      </c>
      <c r="P347" s="8">
        <f>Table1[Quantity]*Table1[Unit_Price]</f>
        <v>52.78</v>
      </c>
      <c r="Q347" s="1">
        <f>Table1[Profit]/Table1[Total_Sales]</f>
        <v>0.33251231527093594</v>
      </c>
      <c r="R347" s="14">
        <f>Table1[Total_Sales]+Table1[Shipping_Cost]</f>
        <v>58.980000000000004</v>
      </c>
    </row>
    <row r="348" spans="1:18" x14ac:dyDescent="0.35">
      <c r="A348" s="3" t="s">
        <v>769</v>
      </c>
      <c r="B348" s="2">
        <v>45134</v>
      </c>
      <c r="C348" s="1" t="s">
        <v>770</v>
      </c>
      <c r="D348" s="1" t="s">
        <v>30</v>
      </c>
      <c r="E348" s="1" t="s">
        <v>109</v>
      </c>
      <c r="F348" s="1" t="s">
        <v>54</v>
      </c>
      <c r="G348" s="1" t="s">
        <v>32</v>
      </c>
      <c r="H348" s="1" t="s">
        <v>132</v>
      </c>
      <c r="I348" s="1">
        <v>1</v>
      </c>
      <c r="J348" s="1">
        <v>13.41</v>
      </c>
      <c r="K348" s="1">
        <v>10</v>
      </c>
      <c r="L348" s="1">
        <v>12.07</v>
      </c>
      <c r="M348" s="1">
        <v>12.56</v>
      </c>
      <c r="N348" s="1">
        <v>-6.52</v>
      </c>
      <c r="O348" s="6" t="s">
        <v>39</v>
      </c>
      <c r="P348" s="8">
        <f>Table1[Quantity]*Table1[Unit_Price]</f>
        <v>13.41</v>
      </c>
      <c r="Q348" s="1">
        <f>Table1[Profit]/Table1[Total_Sales]</f>
        <v>-0.54018227009113495</v>
      </c>
      <c r="R348" s="14">
        <f>Table1[Total_Sales]+Table1[Shipping_Cost]</f>
        <v>24.630000000000003</v>
      </c>
    </row>
    <row r="349" spans="1:18" x14ac:dyDescent="0.35">
      <c r="A349" s="3" t="s">
        <v>771</v>
      </c>
      <c r="B349" s="2">
        <v>45134</v>
      </c>
      <c r="C349" s="1" t="s">
        <v>772</v>
      </c>
      <c r="D349" s="1" t="s">
        <v>30</v>
      </c>
      <c r="E349" s="1" t="s">
        <v>109</v>
      </c>
      <c r="F349" s="1" t="s">
        <v>54</v>
      </c>
      <c r="G349" s="1" t="s">
        <v>42</v>
      </c>
      <c r="H349" s="1" t="s">
        <v>118</v>
      </c>
      <c r="I349" s="1">
        <v>4</v>
      </c>
      <c r="J349" s="1">
        <v>75.900000000000006</v>
      </c>
      <c r="K349" s="1">
        <v>0</v>
      </c>
      <c r="L349" s="1">
        <v>303.60000000000002</v>
      </c>
      <c r="M349" s="1">
        <v>14.96</v>
      </c>
      <c r="N349" s="1">
        <v>106.48</v>
      </c>
      <c r="O349" s="6" t="s">
        <v>39</v>
      </c>
      <c r="P349" s="8">
        <f>Table1[Quantity]*Table1[Unit_Price]</f>
        <v>303.60000000000002</v>
      </c>
      <c r="Q349" s="1">
        <f>Table1[Profit]/Table1[Total_Sales]</f>
        <v>0.35072463768115941</v>
      </c>
      <c r="R349" s="14">
        <f>Table1[Total_Sales]+Table1[Shipping_Cost]</f>
        <v>318.56</v>
      </c>
    </row>
    <row r="350" spans="1:18" x14ac:dyDescent="0.35">
      <c r="A350" s="3" t="s">
        <v>773</v>
      </c>
      <c r="B350" s="2">
        <v>45135</v>
      </c>
      <c r="C350" s="1" t="s">
        <v>774</v>
      </c>
      <c r="D350" s="1" t="s">
        <v>17</v>
      </c>
      <c r="E350" s="1" t="s">
        <v>63</v>
      </c>
      <c r="F350" s="1" t="s">
        <v>54</v>
      </c>
      <c r="G350" s="1" t="s">
        <v>32</v>
      </c>
      <c r="H350" s="1" t="s">
        <v>73</v>
      </c>
      <c r="I350" s="1">
        <v>3</v>
      </c>
      <c r="J350" s="1">
        <v>8.9499999999999993</v>
      </c>
      <c r="K350" s="1">
        <v>0</v>
      </c>
      <c r="L350" s="1">
        <v>26.85</v>
      </c>
      <c r="M350" s="1">
        <v>18.399999999999999</v>
      </c>
      <c r="N350" s="1">
        <v>-3.63</v>
      </c>
      <c r="O350" s="6" t="s">
        <v>56</v>
      </c>
      <c r="P350" s="8">
        <f>Table1[Quantity]*Table1[Unit_Price]</f>
        <v>26.849999999999998</v>
      </c>
      <c r="Q350" s="1">
        <f>Table1[Profit]/Table1[Total_Sales]</f>
        <v>-0.13519553072625698</v>
      </c>
      <c r="R350" s="14">
        <f>Table1[Total_Sales]+Table1[Shipping_Cost]</f>
        <v>45.25</v>
      </c>
    </row>
    <row r="351" spans="1:18" x14ac:dyDescent="0.35">
      <c r="A351" s="3" t="s">
        <v>775</v>
      </c>
      <c r="B351" s="2">
        <v>45135</v>
      </c>
      <c r="C351" s="1" t="s">
        <v>776</v>
      </c>
      <c r="D351" s="1" t="s">
        <v>30</v>
      </c>
      <c r="E351" s="1" t="s">
        <v>169</v>
      </c>
      <c r="F351" s="1" t="s">
        <v>68</v>
      </c>
      <c r="G351" s="1" t="s">
        <v>20</v>
      </c>
      <c r="H351" s="1" t="s">
        <v>170</v>
      </c>
      <c r="I351" s="1">
        <v>1</v>
      </c>
      <c r="J351" s="1">
        <v>20.02</v>
      </c>
      <c r="K351" s="1">
        <v>15</v>
      </c>
      <c r="L351" s="1">
        <v>17.02</v>
      </c>
      <c r="M351" s="1">
        <v>10.98</v>
      </c>
      <c r="N351" s="1">
        <v>-4.97</v>
      </c>
      <c r="O351" s="6" t="s">
        <v>39</v>
      </c>
      <c r="P351" s="8">
        <f>Table1[Quantity]*Table1[Unit_Price]</f>
        <v>20.02</v>
      </c>
      <c r="Q351" s="1">
        <f>Table1[Profit]/Table1[Total_Sales]</f>
        <v>-0.29200940070505288</v>
      </c>
      <c r="R351" s="14">
        <f>Table1[Total_Sales]+Table1[Shipping_Cost]</f>
        <v>28</v>
      </c>
    </row>
    <row r="352" spans="1:18" x14ac:dyDescent="0.35">
      <c r="A352" s="3" t="s">
        <v>777</v>
      </c>
      <c r="B352" s="2">
        <v>45135</v>
      </c>
      <c r="C352" s="1" t="s">
        <v>778</v>
      </c>
      <c r="D352" s="1" t="s">
        <v>30</v>
      </c>
      <c r="E352" s="1" t="s">
        <v>18</v>
      </c>
      <c r="F352" s="1" t="s">
        <v>19</v>
      </c>
      <c r="G352" s="1" t="s">
        <v>32</v>
      </c>
      <c r="H352" s="1" t="s">
        <v>115</v>
      </c>
      <c r="I352" s="1">
        <v>1</v>
      </c>
      <c r="J352" s="1">
        <v>10.76</v>
      </c>
      <c r="K352" s="1">
        <v>10</v>
      </c>
      <c r="L352" s="1">
        <v>9.68</v>
      </c>
      <c r="M352" s="1">
        <v>6.28</v>
      </c>
      <c r="N352" s="1">
        <v>-1.44</v>
      </c>
      <c r="O352" s="6" t="s">
        <v>39</v>
      </c>
      <c r="P352" s="8">
        <f>Table1[Quantity]*Table1[Unit_Price]</f>
        <v>10.76</v>
      </c>
      <c r="Q352" s="1">
        <f>Table1[Profit]/Table1[Total_Sales]</f>
        <v>-0.1487603305785124</v>
      </c>
      <c r="R352" s="14">
        <f>Table1[Total_Sales]+Table1[Shipping_Cost]</f>
        <v>15.96</v>
      </c>
    </row>
    <row r="353" spans="1:18" x14ac:dyDescent="0.35">
      <c r="A353" s="3" t="s">
        <v>779</v>
      </c>
      <c r="B353" s="2">
        <v>45136</v>
      </c>
      <c r="C353" s="1" t="s">
        <v>780</v>
      </c>
      <c r="D353" s="1" t="s">
        <v>17</v>
      </c>
      <c r="E353" s="1" t="s">
        <v>18</v>
      </c>
      <c r="F353" s="1" t="s">
        <v>19</v>
      </c>
      <c r="G353" s="1" t="s">
        <v>32</v>
      </c>
      <c r="H353" s="1" t="s">
        <v>82</v>
      </c>
      <c r="I353" s="1">
        <v>2</v>
      </c>
      <c r="J353" s="1">
        <v>9.48</v>
      </c>
      <c r="K353" s="1">
        <v>0</v>
      </c>
      <c r="L353" s="1">
        <v>18.96</v>
      </c>
      <c r="M353" s="1">
        <v>6.87</v>
      </c>
      <c r="N353" s="1">
        <v>3.56</v>
      </c>
      <c r="O353" s="6" t="s">
        <v>39</v>
      </c>
      <c r="P353" s="8">
        <f>Table1[Quantity]*Table1[Unit_Price]</f>
        <v>18.96</v>
      </c>
      <c r="Q353" s="1">
        <f>Table1[Profit]/Table1[Total_Sales]</f>
        <v>0.18776371308016876</v>
      </c>
      <c r="R353" s="14">
        <f>Table1[Total_Sales]+Table1[Shipping_Cost]</f>
        <v>25.830000000000002</v>
      </c>
    </row>
    <row r="354" spans="1:18" x14ac:dyDescent="0.35">
      <c r="A354" s="3" t="s">
        <v>781</v>
      </c>
      <c r="B354" s="2">
        <v>45136</v>
      </c>
      <c r="C354" s="1" t="s">
        <v>782</v>
      </c>
      <c r="D354" s="1" t="s">
        <v>30</v>
      </c>
      <c r="E354" s="1" t="s">
        <v>59</v>
      </c>
      <c r="F354" s="1" t="s">
        <v>60</v>
      </c>
      <c r="G354" s="1" t="s">
        <v>20</v>
      </c>
      <c r="H354" s="1" t="s">
        <v>175</v>
      </c>
      <c r="I354" s="1">
        <v>3</v>
      </c>
      <c r="J354" s="1">
        <v>33.19</v>
      </c>
      <c r="K354" s="1">
        <v>15</v>
      </c>
      <c r="L354" s="1">
        <v>84.63</v>
      </c>
      <c r="M354" s="1">
        <v>11.24</v>
      </c>
      <c r="N354" s="1">
        <v>18.63</v>
      </c>
      <c r="O354" s="6" t="s">
        <v>34</v>
      </c>
      <c r="P354" s="8">
        <f>Table1[Quantity]*Table1[Unit_Price]</f>
        <v>99.57</v>
      </c>
      <c r="Q354" s="1">
        <f>Table1[Profit]/Table1[Total_Sales]</f>
        <v>0.22013470400567176</v>
      </c>
      <c r="R354" s="14">
        <f>Table1[Total_Sales]+Table1[Shipping_Cost]</f>
        <v>95.86999999999999</v>
      </c>
    </row>
    <row r="355" spans="1:18" x14ac:dyDescent="0.35">
      <c r="A355" s="3" t="s">
        <v>783</v>
      </c>
      <c r="B355" s="2">
        <v>45137</v>
      </c>
      <c r="C355" s="1" t="s">
        <v>784</v>
      </c>
      <c r="D355" s="1" t="s">
        <v>17</v>
      </c>
      <c r="E355" s="1" t="s">
        <v>109</v>
      </c>
      <c r="F355" s="1" t="s">
        <v>54</v>
      </c>
      <c r="G355" s="1" t="s">
        <v>42</v>
      </c>
      <c r="H355" s="1" t="s">
        <v>234</v>
      </c>
      <c r="I355" s="1">
        <v>3</v>
      </c>
      <c r="J355" s="1">
        <v>73.540000000000006</v>
      </c>
      <c r="K355" s="1">
        <v>15</v>
      </c>
      <c r="L355" s="1">
        <v>187.53</v>
      </c>
      <c r="M355" s="1">
        <v>13.35</v>
      </c>
      <c r="N355" s="1">
        <v>41.81</v>
      </c>
      <c r="O355" s="6" t="s">
        <v>56</v>
      </c>
      <c r="P355" s="8">
        <f>Table1[Quantity]*Table1[Unit_Price]</f>
        <v>220.62</v>
      </c>
      <c r="Q355" s="1">
        <f>Table1[Profit]/Table1[Total_Sales]</f>
        <v>0.22295099450754546</v>
      </c>
      <c r="R355" s="14">
        <f>Table1[Total_Sales]+Table1[Shipping_Cost]</f>
        <v>200.88</v>
      </c>
    </row>
    <row r="356" spans="1:18" x14ac:dyDescent="0.35">
      <c r="A356" s="3" t="s">
        <v>785</v>
      </c>
      <c r="B356" s="2">
        <v>45138</v>
      </c>
      <c r="C356" s="1" t="s">
        <v>786</v>
      </c>
      <c r="D356" s="1" t="s">
        <v>17</v>
      </c>
      <c r="E356" s="1" t="s">
        <v>148</v>
      </c>
      <c r="F356" s="1" t="s">
        <v>60</v>
      </c>
      <c r="G356" s="1" t="s">
        <v>20</v>
      </c>
      <c r="H356" s="1" t="s">
        <v>175</v>
      </c>
      <c r="I356" s="1">
        <v>1</v>
      </c>
      <c r="J356" s="1">
        <v>19.91</v>
      </c>
      <c r="K356" s="1">
        <v>5</v>
      </c>
      <c r="L356" s="1">
        <v>18.91</v>
      </c>
      <c r="M356" s="1">
        <v>9.86</v>
      </c>
      <c r="N356" s="1">
        <v>-1.9</v>
      </c>
      <c r="O356" s="6" t="s">
        <v>34</v>
      </c>
      <c r="P356" s="8">
        <f>Table1[Quantity]*Table1[Unit_Price]</f>
        <v>19.91</v>
      </c>
      <c r="Q356" s="1">
        <f>Table1[Profit]/Table1[Total_Sales]</f>
        <v>-0.10047593865679534</v>
      </c>
      <c r="R356" s="14">
        <f>Table1[Total_Sales]+Table1[Shipping_Cost]</f>
        <v>28.77</v>
      </c>
    </row>
    <row r="357" spans="1:18" x14ac:dyDescent="0.35">
      <c r="A357" s="3" t="s">
        <v>787</v>
      </c>
      <c r="B357" s="2">
        <v>45138</v>
      </c>
      <c r="C357" s="1" t="s">
        <v>788</v>
      </c>
      <c r="D357" s="1" t="s">
        <v>49</v>
      </c>
      <c r="E357" s="1" t="s">
        <v>63</v>
      </c>
      <c r="F357" s="1" t="s">
        <v>54</v>
      </c>
      <c r="G357" s="1" t="s">
        <v>42</v>
      </c>
      <c r="H357" s="1" t="s">
        <v>46</v>
      </c>
      <c r="I357" s="1">
        <v>4</v>
      </c>
      <c r="J357" s="1">
        <v>96.5</v>
      </c>
      <c r="K357" s="1">
        <v>20</v>
      </c>
      <c r="L357" s="1">
        <v>308.8</v>
      </c>
      <c r="M357" s="1">
        <v>14.49</v>
      </c>
      <c r="N357" s="1">
        <v>62.71</v>
      </c>
      <c r="O357" s="6" t="s">
        <v>56</v>
      </c>
      <c r="P357" s="8">
        <f>Table1[Quantity]*Table1[Unit_Price]</f>
        <v>386</v>
      </c>
      <c r="Q357" s="1">
        <f>Table1[Profit]/Table1[Total_Sales]</f>
        <v>0.20307642487046632</v>
      </c>
      <c r="R357" s="14">
        <f>Table1[Total_Sales]+Table1[Shipping_Cost]</f>
        <v>323.29000000000002</v>
      </c>
    </row>
    <row r="358" spans="1:18" x14ac:dyDescent="0.35">
      <c r="A358" s="3" t="s">
        <v>789</v>
      </c>
      <c r="B358" s="2">
        <v>45139</v>
      </c>
      <c r="C358" s="1" t="s">
        <v>790</v>
      </c>
      <c r="D358" s="1" t="s">
        <v>17</v>
      </c>
      <c r="E358" s="1" t="s">
        <v>248</v>
      </c>
      <c r="F358" s="1" t="s">
        <v>26</v>
      </c>
      <c r="G358" s="1" t="s">
        <v>20</v>
      </c>
      <c r="H358" s="1" t="s">
        <v>27</v>
      </c>
      <c r="I358" s="1">
        <v>10</v>
      </c>
      <c r="J358" s="1">
        <v>104.58</v>
      </c>
      <c r="K358" s="1">
        <v>30</v>
      </c>
      <c r="L358" s="1">
        <v>732.06</v>
      </c>
      <c r="M358" s="1">
        <v>14.85</v>
      </c>
      <c r="N358" s="1">
        <v>142.02000000000001</v>
      </c>
      <c r="O358" s="6" t="s">
        <v>34</v>
      </c>
      <c r="P358" s="8">
        <f>Table1[Quantity]*Table1[Unit_Price]</f>
        <v>1045.8</v>
      </c>
      <c r="Q358" s="1">
        <f>Table1[Profit]/Table1[Total_Sales]</f>
        <v>0.19400049176297027</v>
      </c>
      <c r="R358" s="14">
        <f>Table1[Total_Sales]+Table1[Shipping_Cost]</f>
        <v>746.91</v>
      </c>
    </row>
    <row r="359" spans="1:18" x14ac:dyDescent="0.35">
      <c r="A359" s="3" t="s">
        <v>791</v>
      </c>
      <c r="B359" s="2">
        <v>45139</v>
      </c>
      <c r="C359" s="1" t="s">
        <v>375</v>
      </c>
      <c r="D359" s="1" t="s">
        <v>17</v>
      </c>
      <c r="E359" s="1" t="s">
        <v>169</v>
      </c>
      <c r="F359" s="1" t="s">
        <v>68</v>
      </c>
      <c r="G359" s="1" t="s">
        <v>42</v>
      </c>
      <c r="H359" s="1" t="s">
        <v>64</v>
      </c>
      <c r="I359" s="1">
        <v>3</v>
      </c>
      <c r="J359" s="1">
        <v>83.44</v>
      </c>
      <c r="K359" s="1">
        <v>10</v>
      </c>
      <c r="L359" s="1">
        <v>225.29</v>
      </c>
      <c r="M359" s="1">
        <v>15.17</v>
      </c>
      <c r="N359" s="1">
        <v>59.93</v>
      </c>
      <c r="O359" s="6" t="s">
        <v>56</v>
      </c>
      <c r="P359" s="8">
        <f>Table1[Quantity]*Table1[Unit_Price]</f>
        <v>250.32</v>
      </c>
      <c r="Q359" s="1">
        <f>Table1[Profit]/Table1[Total_Sales]</f>
        <v>0.2660126947489902</v>
      </c>
      <c r="R359" s="14">
        <f>Table1[Total_Sales]+Table1[Shipping_Cost]</f>
        <v>240.45999999999998</v>
      </c>
    </row>
    <row r="360" spans="1:18" x14ac:dyDescent="0.35">
      <c r="A360" s="3" t="s">
        <v>792</v>
      </c>
      <c r="B360" s="2">
        <v>45139</v>
      </c>
      <c r="C360" s="1" t="s">
        <v>793</v>
      </c>
      <c r="D360" s="1" t="s">
        <v>30</v>
      </c>
      <c r="E360" s="1" t="s">
        <v>129</v>
      </c>
      <c r="F360" s="1" t="s">
        <v>19</v>
      </c>
      <c r="G360" s="1" t="s">
        <v>69</v>
      </c>
      <c r="H360" s="1" t="s">
        <v>139</v>
      </c>
      <c r="I360" s="1">
        <v>10</v>
      </c>
      <c r="J360" s="1">
        <v>64.87</v>
      </c>
      <c r="K360" s="1">
        <v>5</v>
      </c>
      <c r="L360" s="1">
        <v>616.26</v>
      </c>
      <c r="M360" s="1">
        <v>14.5</v>
      </c>
      <c r="N360" s="1">
        <v>277.41000000000003</v>
      </c>
      <c r="O360" s="6" t="s">
        <v>56</v>
      </c>
      <c r="P360" s="8">
        <f>Table1[Quantity]*Table1[Unit_Price]</f>
        <v>648.70000000000005</v>
      </c>
      <c r="Q360" s="1">
        <f>Table1[Profit]/Table1[Total_Sales]</f>
        <v>0.45015091033005555</v>
      </c>
      <c r="R360" s="14">
        <f>Table1[Total_Sales]+Table1[Shipping_Cost]</f>
        <v>630.76</v>
      </c>
    </row>
    <row r="361" spans="1:18" x14ac:dyDescent="0.35">
      <c r="A361" s="3" t="s">
        <v>794</v>
      </c>
      <c r="B361" s="2">
        <v>45139</v>
      </c>
      <c r="C361" s="1" t="s">
        <v>795</v>
      </c>
      <c r="D361" s="1" t="s">
        <v>30</v>
      </c>
      <c r="E361" s="1" t="s">
        <v>76</v>
      </c>
      <c r="F361" s="1" t="s">
        <v>26</v>
      </c>
      <c r="G361" s="1" t="s">
        <v>42</v>
      </c>
      <c r="H361" s="1" t="s">
        <v>294</v>
      </c>
      <c r="I361" s="1">
        <v>3</v>
      </c>
      <c r="J361" s="1">
        <v>182.51</v>
      </c>
      <c r="K361" s="1">
        <v>5</v>
      </c>
      <c r="L361" s="1">
        <v>520.15</v>
      </c>
      <c r="M361" s="1">
        <v>8.9</v>
      </c>
      <c r="N361" s="1">
        <v>182.73</v>
      </c>
      <c r="O361" s="6" t="s">
        <v>39</v>
      </c>
      <c r="P361" s="8">
        <f>Table1[Quantity]*Table1[Unit_Price]</f>
        <v>547.53</v>
      </c>
      <c r="Q361" s="1">
        <f>Table1[Profit]/Table1[Total_Sales]</f>
        <v>0.35130250889166587</v>
      </c>
      <c r="R361" s="14">
        <f>Table1[Total_Sales]+Table1[Shipping_Cost]</f>
        <v>529.04999999999995</v>
      </c>
    </row>
    <row r="362" spans="1:18" x14ac:dyDescent="0.35">
      <c r="A362" s="3" t="s">
        <v>796</v>
      </c>
      <c r="B362" s="2">
        <v>45140</v>
      </c>
      <c r="C362" s="1" t="s">
        <v>797</v>
      </c>
      <c r="D362" s="1" t="s">
        <v>49</v>
      </c>
      <c r="E362" s="1" t="s">
        <v>85</v>
      </c>
      <c r="F362" s="1" t="s">
        <v>60</v>
      </c>
      <c r="G362" s="1" t="s">
        <v>32</v>
      </c>
      <c r="H362" s="1" t="s">
        <v>82</v>
      </c>
      <c r="I362" s="1">
        <v>5</v>
      </c>
      <c r="J362" s="1">
        <v>10.99</v>
      </c>
      <c r="K362" s="1">
        <v>5</v>
      </c>
      <c r="L362" s="1">
        <v>52.2</v>
      </c>
      <c r="M362" s="1">
        <v>12.66</v>
      </c>
      <c r="N362" s="1">
        <v>14.81</v>
      </c>
      <c r="O362" s="6" t="s">
        <v>22</v>
      </c>
      <c r="P362" s="8">
        <f>Table1[Quantity]*Table1[Unit_Price]</f>
        <v>54.95</v>
      </c>
      <c r="Q362" s="1">
        <f>Table1[Profit]/Table1[Total_Sales]</f>
        <v>0.28371647509578546</v>
      </c>
      <c r="R362" s="14">
        <f>Table1[Total_Sales]+Table1[Shipping_Cost]</f>
        <v>64.86</v>
      </c>
    </row>
    <row r="363" spans="1:18" x14ac:dyDescent="0.35">
      <c r="A363" s="3" t="s">
        <v>798</v>
      </c>
      <c r="B363" s="2">
        <v>45141</v>
      </c>
      <c r="C363" s="1" t="s">
        <v>799</v>
      </c>
      <c r="D363" s="1" t="s">
        <v>17</v>
      </c>
      <c r="E363" s="1" t="s">
        <v>31</v>
      </c>
      <c r="F363" s="1" t="s">
        <v>19</v>
      </c>
      <c r="G363" s="1" t="s">
        <v>32</v>
      </c>
      <c r="H363" s="1" t="s">
        <v>50</v>
      </c>
      <c r="I363" s="1">
        <v>3</v>
      </c>
      <c r="J363" s="1">
        <v>10.7</v>
      </c>
      <c r="K363" s="1">
        <v>5</v>
      </c>
      <c r="L363" s="1">
        <v>30.49</v>
      </c>
      <c r="M363" s="1">
        <v>11.92</v>
      </c>
      <c r="N363" s="1">
        <v>4.13</v>
      </c>
      <c r="O363" s="6" t="s">
        <v>34</v>
      </c>
      <c r="P363" s="8">
        <f>Table1[Quantity]*Table1[Unit_Price]</f>
        <v>32.099999999999994</v>
      </c>
      <c r="Q363" s="1">
        <f>Table1[Profit]/Table1[Total_Sales]</f>
        <v>0.13545424729419484</v>
      </c>
      <c r="R363" s="14">
        <f>Table1[Total_Sales]+Table1[Shipping_Cost]</f>
        <v>42.41</v>
      </c>
    </row>
    <row r="364" spans="1:18" x14ac:dyDescent="0.35">
      <c r="A364" s="3" t="s">
        <v>800</v>
      </c>
      <c r="B364" s="2">
        <v>45142</v>
      </c>
      <c r="C364" s="1" t="s">
        <v>801</v>
      </c>
      <c r="D364" s="1" t="s">
        <v>30</v>
      </c>
      <c r="E364" s="1" t="s">
        <v>121</v>
      </c>
      <c r="F364" s="1" t="s">
        <v>68</v>
      </c>
      <c r="G364" s="1" t="s">
        <v>32</v>
      </c>
      <c r="H364" s="1" t="s">
        <v>149</v>
      </c>
      <c r="I364" s="1">
        <v>5</v>
      </c>
      <c r="J364" s="1">
        <v>7.28</v>
      </c>
      <c r="K364" s="1">
        <v>5</v>
      </c>
      <c r="L364" s="1">
        <v>34.58</v>
      </c>
      <c r="M364" s="1">
        <v>20.71</v>
      </c>
      <c r="N364" s="1">
        <v>-2.5099999999999998</v>
      </c>
      <c r="O364" s="6" t="s">
        <v>39</v>
      </c>
      <c r="P364" s="8">
        <f>Table1[Quantity]*Table1[Unit_Price]</f>
        <v>36.4</v>
      </c>
      <c r="Q364" s="1">
        <f>Table1[Profit]/Table1[Total_Sales]</f>
        <v>-7.2585309427414688E-2</v>
      </c>
      <c r="R364" s="14">
        <f>Table1[Total_Sales]+Table1[Shipping_Cost]</f>
        <v>55.29</v>
      </c>
    </row>
    <row r="365" spans="1:18" x14ac:dyDescent="0.35">
      <c r="A365" s="3" t="s">
        <v>802</v>
      </c>
      <c r="B365" s="2">
        <v>45142</v>
      </c>
      <c r="C365" s="1" t="s">
        <v>803</v>
      </c>
      <c r="D365" s="1" t="s">
        <v>30</v>
      </c>
      <c r="E365" s="1" t="s">
        <v>63</v>
      </c>
      <c r="F365" s="1" t="s">
        <v>54</v>
      </c>
      <c r="G365" s="1" t="s">
        <v>42</v>
      </c>
      <c r="H365" s="1" t="s">
        <v>64</v>
      </c>
      <c r="I365" s="1">
        <v>2</v>
      </c>
      <c r="J365" s="1">
        <v>44.23</v>
      </c>
      <c r="K365" s="1">
        <v>10</v>
      </c>
      <c r="L365" s="1">
        <v>79.61</v>
      </c>
      <c r="M365" s="1">
        <v>13.7</v>
      </c>
      <c r="N365" s="1">
        <v>12.83</v>
      </c>
      <c r="O365" s="6" t="s">
        <v>39</v>
      </c>
      <c r="P365" s="8">
        <f>Table1[Quantity]*Table1[Unit_Price]</f>
        <v>88.46</v>
      </c>
      <c r="Q365" s="1">
        <f>Table1[Profit]/Table1[Total_Sales]</f>
        <v>0.16116065820876774</v>
      </c>
      <c r="R365" s="14">
        <f>Table1[Total_Sales]+Table1[Shipping_Cost]</f>
        <v>93.31</v>
      </c>
    </row>
    <row r="366" spans="1:18" x14ac:dyDescent="0.35">
      <c r="A366" s="3" t="s">
        <v>804</v>
      </c>
      <c r="B366" s="2">
        <v>45142</v>
      </c>
      <c r="C366" s="1" t="s">
        <v>805</v>
      </c>
      <c r="D366" s="1" t="s">
        <v>17</v>
      </c>
      <c r="E366" s="1" t="s">
        <v>31</v>
      </c>
      <c r="F366" s="1" t="s">
        <v>19</v>
      </c>
      <c r="G366" s="1" t="s">
        <v>20</v>
      </c>
      <c r="H366" s="1" t="s">
        <v>21</v>
      </c>
      <c r="I366" s="1">
        <v>2</v>
      </c>
      <c r="J366" s="1">
        <v>151.07</v>
      </c>
      <c r="K366" s="1">
        <v>25</v>
      </c>
      <c r="L366" s="1">
        <v>226.6</v>
      </c>
      <c r="M366" s="1">
        <v>7.84</v>
      </c>
      <c r="N366" s="1">
        <v>52.58</v>
      </c>
      <c r="O366" s="6" t="s">
        <v>34</v>
      </c>
      <c r="P366" s="8">
        <f>Table1[Quantity]*Table1[Unit_Price]</f>
        <v>302.14</v>
      </c>
      <c r="Q366" s="1">
        <f>Table1[Profit]/Table1[Total_Sales]</f>
        <v>0.2320388349514563</v>
      </c>
      <c r="R366" s="14">
        <f>Table1[Total_Sales]+Table1[Shipping_Cost]</f>
        <v>234.44</v>
      </c>
    </row>
    <row r="367" spans="1:18" x14ac:dyDescent="0.35">
      <c r="A367" s="3" t="s">
        <v>806</v>
      </c>
      <c r="B367" s="2">
        <v>45143</v>
      </c>
      <c r="C367" s="1" t="s">
        <v>807</v>
      </c>
      <c r="D367" s="1" t="s">
        <v>17</v>
      </c>
      <c r="E367" s="1" t="s">
        <v>59</v>
      </c>
      <c r="F367" s="1" t="s">
        <v>60</v>
      </c>
      <c r="G367" s="1" t="s">
        <v>20</v>
      </c>
      <c r="H367" s="1" t="s">
        <v>264</v>
      </c>
      <c r="I367" s="1">
        <v>1</v>
      </c>
      <c r="J367" s="1">
        <v>35.700000000000003</v>
      </c>
      <c r="K367" s="1">
        <v>10</v>
      </c>
      <c r="L367" s="1">
        <v>32.130000000000003</v>
      </c>
      <c r="M367" s="1">
        <v>11.04</v>
      </c>
      <c r="N367" s="1">
        <v>1.46</v>
      </c>
      <c r="O367" s="6" t="s">
        <v>39</v>
      </c>
      <c r="P367" s="8">
        <f>Table1[Quantity]*Table1[Unit_Price]</f>
        <v>35.700000000000003</v>
      </c>
      <c r="Q367" s="1">
        <f>Table1[Profit]/Table1[Total_Sales]</f>
        <v>4.5440398381574848E-2</v>
      </c>
      <c r="R367" s="14">
        <f>Table1[Total_Sales]+Table1[Shipping_Cost]</f>
        <v>43.17</v>
      </c>
    </row>
    <row r="368" spans="1:18" x14ac:dyDescent="0.35">
      <c r="A368" s="3" t="s">
        <v>808</v>
      </c>
      <c r="B368" s="2">
        <v>45143</v>
      </c>
      <c r="C368" s="1" t="s">
        <v>809</v>
      </c>
      <c r="D368" s="1" t="s">
        <v>17</v>
      </c>
      <c r="E368" s="1" t="s">
        <v>85</v>
      </c>
      <c r="F368" s="1" t="s">
        <v>60</v>
      </c>
      <c r="G368" s="1" t="s">
        <v>32</v>
      </c>
      <c r="H368" s="1" t="s">
        <v>149</v>
      </c>
      <c r="I368" s="1">
        <v>7</v>
      </c>
      <c r="J368" s="1">
        <v>15.21</v>
      </c>
      <c r="K368" s="1">
        <v>20</v>
      </c>
      <c r="L368" s="1">
        <v>85.18</v>
      </c>
      <c r="M368" s="1">
        <v>24.79</v>
      </c>
      <c r="N368" s="1">
        <v>12.48</v>
      </c>
      <c r="O368" s="6" t="s">
        <v>34</v>
      </c>
      <c r="P368" s="8">
        <f>Table1[Quantity]*Table1[Unit_Price]</f>
        <v>106.47</v>
      </c>
      <c r="Q368" s="1">
        <f>Table1[Profit]/Table1[Total_Sales]</f>
        <v>0.14651326602488846</v>
      </c>
      <c r="R368" s="14">
        <f>Table1[Total_Sales]+Table1[Shipping_Cost]</f>
        <v>109.97</v>
      </c>
    </row>
    <row r="369" spans="1:18" x14ac:dyDescent="0.35">
      <c r="A369" s="3" t="s">
        <v>810</v>
      </c>
      <c r="B369" s="2">
        <v>45143</v>
      </c>
      <c r="C369" s="1" t="s">
        <v>811</v>
      </c>
      <c r="D369" s="1" t="s">
        <v>30</v>
      </c>
      <c r="E369" s="1" t="s">
        <v>169</v>
      </c>
      <c r="F369" s="1" t="s">
        <v>68</v>
      </c>
      <c r="G369" s="1" t="s">
        <v>42</v>
      </c>
      <c r="H369" s="1" t="s">
        <v>43</v>
      </c>
      <c r="I369" s="1">
        <v>1</v>
      </c>
      <c r="J369" s="1">
        <v>206.62</v>
      </c>
      <c r="K369" s="1">
        <v>10</v>
      </c>
      <c r="L369" s="1">
        <v>185.96</v>
      </c>
      <c r="M369" s="1">
        <v>11.69</v>
      </c>
      <c r="N369" s="1">
        <v>50.3</v>
      </c>
      <c r="O369" s="6" t="s">
        <v>56</v>
      </c>
      <c r="P369" s="8">
        <f>Table1[Quantity]*Table1[Unit_Price]</f>
        <v>206.62</v>
      </c>
      <c r="Q369" s="1">
        <f>Table1[Profit]/Table1[Total_Sales]</f>
        <v>0.27048827704882766</v>
      </c>
      <c r="R369" s="14">
        <f>Table1[Total_Sales]+Table1[Shipping_Cost]</f>
        <v>197.65</v>
      </c>
    </row>
    <row r="370" spans="1:18" x14ac:dyDescent="0.35">
      <c r="A370" s="3" t="s">
        <v>812</v>
      </c>
      <c r="B370" s="2">
        <v>45144</v>
      </c>
      <c r="C370" s="1" t="s">
        <v>813</v>
      </c>
      <c r="D370" s="1" t="s">
        <v>30</v>
      </c>
      <c r="E370" s="1" t="s">
        <v>67</v>
      </c>
      <c r="F370" s="1" t="s">
        <v>68</v>
      </c>
      <c r="G370" s="1" t="s">
        <v>69</v>
      </c>
      <c r="H370" s="1" t="s">
        <v>139</v>
      </c>
      <c r="I370" s="1">
        <v>1</v>
      </c>
      <c r="J370" s="1">
        <v>34.17</v>
      </c>
      <c r="K370" s="1">
        <v>15</v>
      </c>
      <c r="L370" s="1">
        <v>29.04</v>
      </c>
      <c r="M370" s="1">
        <v>12.01</v>
      </c>
      <c r="N370" s="1">
        <v>-0.06</v>
      </c>
      <c r="O370" s="6" t="s">
        <v>34</v>
      </c>
      <c r="P370" s="8">
        <f>Table1[Quantity]*Table1[Unit_Price]</f>
        <v>34.17</v>
      </c>
      <c r="Q370" s="1">
        <f>Table1[Profit]/Table1[Total_Sales]</f>
        <v>-2.0661157024793389E-3</v>
      </c>
      <c r="R370" s="14">
        <f>Table1[Total_Sales]+Table1[Shipping_Cost]</f>
        <v>41.05</v>
      </c>
    </row>
    <row r="371" spans="1:18" x14ac:dyDescent="0.35">
      <c r="A371" s="3" t="s">
        <v>814</v>
      </c>
      <c r="B371" s="2">
        <v>45144</v>
      </c>
      <c r="C371" s="1" t="s">
        <v>815</v>
      </c>
      <c r="D371" s="1" t="s">
        <v>17</v>
      </c>
      <c r="E371" s="1" t="s">
        <v>138</v>
      </c>
      <c r="F371" s="1" t="s">
        <v>54</v>
      </c>
      <c r="G371" s="1" t="s">
        <v>32</v>
      </c>
      <c r="H371" s="1" t="s">
        <v>115</v>
      </c>
      <c r="I371" s="1">
        <v>5</v>
      </c>
      <c r="J371" s="1">
        <v>9.43</v>
      </c>
      <c r="K371" s="1">
        <v>5</v>
      </c>
      <c r="L371" s="1">
        <v>44.79</v>
      </c>
      <c r="M371" s="1">
        <v>22.42</v>
      </c>
      <c r="N371" s="1">
        <v>1.1499999999999999</v>
      </c>
      <c r="O371" s="6" t="s">
        <v>34</v>
      </c>
      <c r="P371" s="8">
        <f>Table1[Quantity]*Table1[Unit_Price]</f>
        <v>47.15</v>
      </c>
      <c r="Q371" s="1">
        <f>Table1[Profit]/Table1[Total_Sales]</f>
        <v>2.5675373967403436E-2</v>
      </c>
      <c r="R371" s="14">
        <f>Table1[Total_Sales]+Table1[Shipping_Cost]</f>
        <v>67.210000000000008</v>
      </c>
    </row>
    <row r="372" spans="1:18" x14ac:dyDescent="0.35">
      <c r="A372" s="3" t="s">
        <v>816</v>
      </c>
      <c r="B372" s="2">
        <v>45144</v>
      </c>
      <c r="C372" s="1" t="s">
        <v>817</v>
      </c>
      <c r="D372" s="1" t="s">
        <v>30</v>
      </c>
      <c r="E372" s="1" t="s">
        <v>166</v>
      </c>
      <c r="F372" s="1" t="s">
        <v>60</v>
      </c>
      <c r="G372" s="1" t="s">
        <v>20</v>
      </c>
      <c r="H372" s="1" t="s">
        <v>38</v>
      </c>
      <c r="I372" s="1">
        <v>3</v>
      </c>
      <c r="J372" s="1">
        <v>67.349999999999994</v>
      </c>
      <c r="K372" s="1">
        <v>0</v>
      </c>
      <c r="L372" s="1">
        <v>202.05</v>
      </c>
      <c r="M372" s="1">
        <v>12.44</v>
      </c>
      <c r="N372" s="1">
        <v>78.48</v>
      </c>
      <c r="O372" s="6" t="s">
        <v>39</v>
      </c>
      <c r="P372" s="8">
        <f>Table1[Quantity]*Table1[Unit_Price]</f>
        <v>202.04999999999998</v>
      </c>
      <c r="Q372" s="1">
        <f>Table1[Profit]/Table1[Total_Sales]</f>
        <v>0.38841870824053454</v>
      </c>
      <c r="R372" s="14">
        <f>Table1[Total_Sales]+Table1[Shipping_Cost]</f>
        <v>214.49</v>
      </c>
    </row>
    <row r="373" spans="1:18" x14ac:dyDescent="0.35">
      <c r="A373" s="3" t="s">
        <v>818</v>
      </c>
      <c r="B373" s="2">
        <v>45145</v>
      </c>
      <c r="C373" s="1" t="s">
        <v>819</v>
      </c>
      <c r="D373" s="1" t="s">
        <v>17</v>
      </c>
      <c r="E373" s="1" t="s">
        <v>25</v>
      </c>
      <c r="F373" s="1" t="s">
        <v>26</v>
      </c>
      <c r="G373" s="1" t="s">
        <v>69</v>
      </c>
      <c r="H373" s="1" t="s">
        <v>139</v>
      </c>
      <c r="I373" s="1">
        <v>3</v>
      </c>
      <c r="J373" s="1">
        <v>75.47</v>
      </c>
      <c r="K373" s="1">
        <v>5</v>
      </c>
      <c r="L373" s="1">
        <v>215.09</v>
      </c>
      <c r="M373" s="1">
        <v>10.4</v>
      </c>
      <c r="N373" s="1">
        <v>91.48</v>
      </c>
      <c r="O373" s="6" t="s">
        <v>56</v>
      </c>
      <c r="P373" s="8">
        <f>Table1[Quantity]*Table1[Unit_Price]</f>
        <v>226.41</v>
      </c>
      <c r="Q373" s="1">
        <f>Table1[Profit]/Table1[Total_Sales]</f>
        <v>0.42531033520851735</v>
      </c>
      <c r="R373" s="14">
        <f>Table1[Total_Sales]+Table1[Shipping_Cost]</f>
        <v>225.49</v>
      </c>
    </row>
    <row r="374" spans="1:18" x14ac:dyDescent="0.35">
      <c r="A374" s="3" t="s">
        <v>820</v>
      </c>
      <c r="B374" s="2">
        <v>45146</v>
      </c>
      <c r="C374" s="1" t="s">
        <v>821</v>
      </c>
      <c r="D374" s="1" t="s">
        <v>30</v>
      </c>
      <c r="E374" s="1" t="s">
        <v>31</v>
      </c>
      <c r="F374" s="1" t="s">
        <v>19</v>
      </c>
      <c r="G374" s="1" t="s">
        <v>20</v>
      </c>
      <c r="H374" s="1" t="s">
        <v>27</v>
      </c>
      <c r="I374" s="1">
        <v>3</v>
      </c>
      <c r="J374" s="1">
        <v>91.18</v>
      </c>
      <c r="K374" s="1">
        <v>10</v>
      </c>
      <c r="L374" s="1">
        <v>246.19</v>
      </c>
      <c r="M374" s="1">
        <v>8.58</v>
      </c>
      <c r="N374" s="1">
        <v>87.16</v>
      </c>
      <c r="O374" s="6" t="s">
        <v>22</v>
      </c>
      <c r="P374" s="8">
        <f>Table1[Quantity]*Table1[Unit_Price]</f>
        <v>273.54000000000002</v>
      </c>
      <c r="Q374" s="1">
        <f>Table1[Profit]/Table1[Total_Sales]</f>
        <v>0.35403550103578535</v>
      </c>
      <c r="R374" s="14">
        <f>Table1[Total_Sales]+Table1[Shipping_Cost]</f>
        <v>254.77</v>
      </c>
    </row>
    <row r="375" spans="1:18" x14ac:dyDescent="0.35">
      <c r="A375" s="3" t="s">
        <v>822</v>
      </c>
      <c r="B375" s="2">
        <v>45146</v>
      </c>
      <c r="C375" s="1" t="s">
        <v>823</v>
      </c>
      <c r="D375" s="1" t="s">
        <v>17</v>
      </c>
      <c r="E375" s="1" t="s">
        <v>31</v>
      </c>
      <c r="F375" s="1" t="s">
        <v>19</v>
      </c>
      <c r="G375" s="1" t="s">
        <v>20</v>
      </c>
      <c r="H375" s="1" t="s">
        <v>38</v>
      </c>
      <c r="I375" s="1">
        <v>2</v>
      </c>
      <c r="J375" s="1">
        <v>88.88</v>
      </c>
      <c r="K375" s="1">
        <v>10</v>
      </c>
      <c r="L375" s="1">
        <v>159.97999999999999</v>
      </c>
      <c r="M375" s="1">
        <v>7.63</v>
      </c>
      <c r="N375" s="1">
        <v>54.58</v>
      </c>
      <c r="O375" s="6" t="s">
        <v>56</v>
      </c>
      <c r="P375" s="8">
        <f>Table1[Quantity]*Table1[Unit_Price]</f>
        <v>177.76</v>
      </c>
      <c r="Q375" s="1">
        <f>Table1[Profit]/Table1[Total_Sales]</f>
        <v>0.3411676459557445</v>
      </c>
      <c r="R375" s="14">
        <f>Table1[Total_Sales]+Table1[Shipping_Cost]</f>
        <v>167.60999999999999</v>
      </c>
    </row>
    <row r="376" spans="1:18" x14ac:dyDescent="0.35">
      <c r="A376" s="3" t="s">
        <v>824</v>
      </c>
      <c r="B376" s="2">
        <v>45146</v>
      </c>
      <c r="C376" s="1" t="s">
        <v>825</v>
      </c>
      <c r="D376" s="1" t="s">
        <v>49</v>
      </c>
      <c r="E376" s="1" t="s">
        <v>76</v>
      </c>
      <c r="F376" s="1" t="s">
        <v>26</v>
      </c>
      <c r="G376" s="1" t="s">
        <v>42</v>
      </c>
      <c r="H376" s="1" t="s">
        <v>294</v>
      </c>
      <c r="I376" s="1">
        <v>3</v>
      </c>
      <c r="J376" s="1">
        <v>120.89</v>
      </c>
      <c r="K376" s="1">
        <v>20</v>
      </c>
      <c r="L376" s="1">
        <v>290.14</v>
      </c>
      <c r="M376" s="1">
        <v>14.12</v>
      </c>
      <c r="N376" s="1">
        <v>58.42</v>
      </c>
      <c r="O376" s="6" t="s">
        <v>39</v>
      </c>
      <c r="P376" s="8">
        <f>Table1[Quantity]*Table1[Unit_Price]</f>
        <v>362.67</v>
      </c>
      <c r="Q376" s="1">
        <f>Table1[Profit]/Table1[Total_Sales]</f>
        <v>0.20135107189632592</v>
      </c>
      <c r="R376" s="14">
        <f>Table1[Total_Sales]+Table1[Shipping_Cost]</f>
        <v>304.26</v>
      </c>
    </row>
    <row r="377" spans="1:18" x14ac:dyDescent="0.35">
      <c r="A377" s="3" t="s">
        <v>826</v>
      </c>
      <c r="B377" s="2">
        <v>45147</v>
      </c>
      <c r="C377" s="1" t="s">
        <v>827</v>
      </c>
      <c r="D377" s="1" t="s">
        <v>30</v>
      </c>
      <c r="E377" s="1" t="s">
        <v>248</v>
      </c>
      <c r="F377" s="1" t="s">
        <v>26</v>
      </c>
      <c r="G377" s="1" t="s">
        <v>69</v>
      </c>
      <c r="H377" s="1" t="s">
        <v>86</v>
      </c>
      <c r="I377" s="1">
        <v>8</v>
      </c>
      <c r="J377" s="1">
        <v>48.11</v>
      </c>
      <c r="K377" s="1">
        <v>20</v>
      </c>
      <c r="L377" s="1">
        <v>307.89999999999998</v>
      </c>
      <c r="M377" s="1">
        <v>25.57</v>
      </c>
      <c r="N377" s="1">
        <v>89.89</v>
      </c>
      <c r="O377" s="6" t="s">
        <v>39</v>
      </c>
      <c r="P377" s="8">
        <f>Table1[Quantity]*Table1[Unit_Price]</f>
        <v>384.88</v>
      </c>
      <c r="Q377" s="1">
        <f>Table1[Profit]/Table1[Total_Sales]</f>
        <v>0.29194543683013968</v>
      </c>
      <c r="R377" s="14">
        <f>Table1[Total_Sales]+Table1[Shipping_Cost]</f>
        <v>333.46999999999997</v>
      </c>
    </row>
    <row r="378" spans="1:18" x14ac:dyDescent="0.35">
      <c r="A378" s="3" t="s">
        <v>828</v>
      </c>
      <c r="B378" s="2">
        <v>45148</v>
      </c>
      <c r="C378" s="1" t="s">
        <v>829</v>
      </c>
      <c r="D378" s="1" t="s">
        <v>17</v>
      </c>
      <c r="E378" s="1" t="s">
        <v>92</v>
      </c>
      <c r="F378" s="1" t="s">
        <v>60</v>
      </c>
      <c r="G378" s="1" t="s">
        <v>42</v>
      </c>
      <c r="H378" s="1" t="s">
        <v>64</v>
      </c>
      <c r="I378" s="1">
        <v>5</v>
      </c>
      <c r="J378" s="1">
        <v>79.11</v>
      </c>
      <c r="K378" s="1">
        <v>10</v>
      </c>
      <c r="L378" s="1">
        <v>356</v>
      </c>
      <c r="M378" s="1">
        <v>16.05</v>
      </c>
      <c r="N378" s="1">
        <v>102.62</v>
      </c>
      <c r="O378" s="6" t="s">
        <v>34</v>
      </c>
      <c r="P378" s="8">
        <f>Table1[Quantity]*Table1[Unit_Price]</f>
        <v>395.55</v>
      </c>
      <c r="Q378" s="1">
        <f>Table1[Profit]/Table1[Total_Sales]</f>
        <v>0.28825842696629217</v>
      </c>
      <c r="R378" s="14">
        <f>Table1[Total_Sales]+Table1[Shipping_Cost]</f>
        <v>372.05</v>
      </c>
    </row>
    <row r="379" spans="1:18" x14ac:dyDescent="0.35">
      <c r="A379" s="3" t="s">
        <v>830</v>
      </c>
      <c r="B379" s="2">
        <v>45149</v>
      </c>
      <c r="C379" s="1" t="s">
        <v>831</v>
      </c>
      <c r="D379" s="1" t="s">
        <v>17</v>
      </c>
      <c r="E379" s="1" t="s">
        <v>169</v>
      </c>
      <c r="F379" s="1" t="s">
        <v>68</v>
      </c>
      <c r="G379" s="1" t="s">
        <v>32</v>
      </c>
      <c r="H379" s="1" t="s">
        <v>101</v>
      </c>
      <c r="I379" s="1">
        <v>2</v>
      </c>
      <c r="J379" s="1">
        <v>17.66</v>
      </c>
      <c r="K379" s="1">
        <v>15</v>
      </c>
      <c r="L379" s="1">
        <v>30.02</v>
      </c>
      <c r="M379" s="1">
        <v>13.05</v>
      </c>
      <c r="N379" s="1">
        <v>1.08</v>
      </c>
      <c r="O379" s="6" t="s">
        <v>34</v>
      </c>
      <c r="P379" s="8">
        <f>Table1[Quantity]*Table1[Unit_Price]</f>
        <v>35.32</v>
      </c>
      <c r="Q379" s="1">
        <f>Table1[Profit]/Table1[Total_Sales]</f>
        <v>3.5976015989340443E-2</v>
      </c>
      <c r="R379" s="14">
        <f>Table1[Total_Sales]+Table1[Shipping_Cost]</f>
        <v>43.07</v>
      </c>
    </row>
    <row r="380" spans="1:18" x14ac:dyDescent="0.35">
      <c r="A380" s="3" t="s">
        <v>832</v>
      </c>
      <c r="B380" s="2">
        <v>45149</v>
      </c>
      <c r="C380" s="1" t="s">
        <v>833</v>
      </c>
      <c r="D380" s="1" t="s">
        <v>30</v>
      </c>
      <c r="E380" s="1" t="s">
        <v>135</v>
      </c>
      <c r="F380" s="1" t="s">
        <v>26</v>
      </c>
      <c r="G380" s="1" t="s">
        <v>32</v>
      </c>
      <c r="H380" s="1" t="s">
        <v>33</v>
      </c>
      <c r="I380" s="1">
        <v>5</v>
      </c>
      <c r="J380" s="1">
        <v>7.76</v>
      </c>
      <c r="K380" s="1">
        <v>10</v>
      </c>
      <c r="L380" s="1">
        <v>34.92</v>
      </c>
      <c r="M380" s="1">
        <v>15.79</v>
      </c>
      <c r="N380" s="1">
        <v>1.67</v>
      </c>
      <c r="O380" s="6" t="s">
        <v>39</v>
      </c>
      <c r="P380" s="8">
        <f>Table1[Quantity]*Table1[Unit_Price]</f>
        <v>38.799999999999997</v>
      </c>
      <c r="Q380" s="1">
        <f>Table1[Profit]/Table1[Total_Sales]</f>
        <v>4.7823596792668954E-2</v>
      </c>
      <c r="R380" s="14">
        <f>Table1[Total_Sales]+Table1[Shipping_Cost]</f>
        <v>50.71</v>
      </c>
    </row>
    <row r="381" spans="1:18" x14ac:dyDescent="0.35">
      <c r="A381" s="3" t="s">
        <v>834</v>
      </c>
      <c r="B381" s="2">
        <v>45149</v>
      </c>
      <c r="C381" s="1" t="s">
        <v>835</v>
      </c>
      <c r="D381" s="1" t="s">
        <v>30</v>
      </c>
      <c r="E381" s="1" t="s">
        <v>129</v>
      </c>
      <c r="F381" s="1" t="s">
        <v>19</v>
      </c>
      <c r="G381" s="1" t="s">
        <v>42</v>
      </c>
      <c r="H381" s="1" t="s">
        <v>46</v>
      </c>
      <c r="I381" s="1">
        <v>3</v>
      </c>
      <c r="J381" s="1">
        <v>97.26</v>
      </c>
      <c r="K381" s="1">
        <v>10</v>
      </c>
      <c r="L381" s="1">
        <v>262.60000000000002</v>
      </c>
      <c r="M381" s="1">
        <v>10.56</v>
      </c>
      <c r="N381" s="1">
        <v>76.97</v>
      </c>
      <c r="O381" s="6" t="s">
        <v>22</v>
      </c>
      <c r="P381" s="8">
        <f>Table1[Quantity]*Table1[Unit_Price]</f>
        <v>291.78000000000003</v>
      </c>
      <c r="Q381" s="1">
        <f>Table1[Profit]/Table1[Total_Sales]</f>
        <v>0.29310738766184308</v>
      </c>
      <c r="R381" s="14">
        <f>Table1[Total_Sales]+Table1[Shipping_Cost]</f>
        <v>273.16000000000003</v>
      </c>
    </row>
    <row r="382" spans="1:18" x14ac:dyDescent="0.35">
      <c r="A382" s="3" t="s">
        <v>836</v>
      </c>
      <c r="B382" s="2">
        <v>45150</v>
      </c>
      <c r="C382" s="1" t="s">
        <v>837</v>
      </c>
      <c r="D382" s="1" t="s">
        <v>30</v>
      </c>
      <c r="E382" s="1" t="s">
        <v>148</v>
      </c>
      <c r="F382" s="1" t="s">
        <v>60</v>
      </c>
      <c r="G382" s="1" t="s">
        <v>69</v>
      </c>
      <c r="H382" s="1" t="s">
        <v>243</v>
      </c>
      <c r="I382" s="1">
        <v>1</v>
      </c>
      <c r="J382" s="1">
        <v>18.190000000000001</v>
      </c>
      <c r="K382" s="1">
        <v>0</v>
      </c>
      <c r="L382" s="1">
        <v>18.190000000000001</v>
      </c>
      <c r="M382" s="1">
        <v>9.6300000000000008</v>
      </c>
      <c r="N382" s="1">
        <v>-0.54</v>
      </c>
      <c r="O382" s="6" t="s">
        <v>34</v>
      </c>
      <c r="P382" s="8">
        <f>Table1[Quantity]*Table1[Unit_Price]</f>
        <v>18.190000000000001</v>
      </c>
      <c r="Q382" s="1">
        <f>Table1[Profit]/Table1[Total_Sales]</f>
        <v>-2.9686641011544803E-2</v>
      </c>
      <c r="R382" s="14">
        <f>Table1[Total_Sales]+Table1[Shipping_Cost]</f>
        <v>27.82</v>
      </c>
    </row>
    <row r="383" spans="1:18" x14ac:dyDescent="0.35">
      <c r="A383" s="3" t="s">
        <v>838</v>
      </c>
      <c r="B383" s="2">
        <v>45150</v>
      </c>
      <c r="C383" s="1" t="s">
        <v>839</v>
      </c>
      <c r="D383" s="1" t="s">
        <v>30</v>
      </c>
      <c r="E383" s="1" t="s">
        <v>92</v>
      </c>
      <c r="F383" s="1" t="s">
        <v>60</v>
      </c>
      <c r="G383" s="1" t="s">
        <v>20</v>
      </c>
      <c r="H383" s="1" t="s">
        <v>55</v>
      </c>
      <c r="I383" s="1">
        <v>8</v>
      </c>
      <c r="J383" s="1">
        <v>75.459999999999994</v>
      </c>
      <c r="K383" s="1">
        <v>15</v>
      </c>
      <c r="L383" s="1">
        <v>513.13</v>
      </c>
      <c r="M383" s="1">
        <v>16.190000000000001</v>
      </c>
      <c r="N383" s="1">
        <v>164.92</v>
      </c>
      <c r="O383" s="6" t="s">
        <v>34</v>
      </c>
      <c r="P383" s="8">
        <f>Table1[Quantity]*Table1[Unit_Price]</f>
        <v>603.67999999999995</v>
      </c>
      <c r="Q383" s="1">
        <f>Table1[Profit]/Table1[Total_Sales]</f>
        <v>0.32140003507882992</v>
      </c>
      <c r="R383" s="14">
        <f>Table1[Total_Sales]+Table1[Shipping_Cost]</f>
        <v>529.32000000000005</v>
      </c>
    </row>
    <row r="384" spans="1:18" x14ac:dyDescent="0.35">
      <c r="A384" s="3" t="s">
        <v>840</v>
      </c>
      <c r="B384" s="2">
        <v>45151</v>
      </c>
      <c r="C384" s="1" t="s">
        <v>841</v>
      </c>
      <c r="D384" s="1" t="s">
        <v>49</v>
      </c>
      <c r="E384" s="1" t="s">
        <v>166</v>
      </c>
      <c r="F384" s="1" t="s">
        <v>60</v>
      </c>
      <c r="G384" s="1" t="s">
        <v>32</v>
      </c>
      <c r="H384" s="1" t="s">
        <v>50</v>
      </c>
      <c r="I384" s="1">
        <v>2</v>
      </c>
      <c r="J384" s="1">
        <v>16.46</v>
      </c>
      <c r="K384" s="1">
        <v>10</v>
      </c>
      <c r="L384" s="1">
        <v>29.63</v>
      </c>
      <c r="M384" s="1">
        <v>13.64</v>
      </c>
      <c r="N384" s="1">
        <v>1.18</v>
      </c>
      <c r="O384" s="6" t="s">
        <v>34</v>
      </c>
      <c r="P384" s="8">
        <f>Table1[Quantity]*Table1[Unit_Price]</f>
        <v>32.92</v>
      </c>
      <c r="Q384" s="1">
        <f>Table1[Profit]/Table1[Total_Sales]</f>
        <v>3.9824502193722577E-2</v>
      </c>
      <c r="R384" s="14">
        <f>Table1[Total_Sales]+Table1[Shipping_Cost]</f>
        <v>43.269999999999996</v>
      </c>
    </row>
    <row r="385" spans="1:18" x14ac:dyDescent="0.35">
      <c r="A385" s="3" t="s">
        <v>842</v>
      </c>
      <c r="B385" s="2">
        <v>45151</v>
      </c>
      <c r="C385" s="1" t="s">
        <v>843</v>
      </c>
      <c r="D385" s="1" t="s">
        <v>49</v>
      </c>
      <c r="E385" s="1" t="s">
        <v>31</v>
      </c>
      <c r="F385" s="1" t="s">
        <v>19</v>
      </c>
      <c r="G385" s="1" t="s">
        <v>42</v>
      </c>
      <c r="H385" s="1" t="s">
        <v>234</v>
      </c>
      <c r="I385" s="1">
        <v>1</v>
      </c>
      <c r="J385" s="1">
        <v>55.59</v>
      </c>
      <c r="K385" s="1">
        <v>5</v>
      </c>
      <c r="L385" s="1">
        <v>52.81</v>
      </c>
      <c r="M385" s="1">
        <v>6.11</v>
      </c>
      <c r="N385" s="1">
        <v>13.35</v>
      </c>
      <c r="O385" s="6" t="s">
        <v>34</v>
      </c>
      <c r="P385" s="8">
        <f>Table1[Quantity]*Table1[Unit_Price]</f>
        <v>55.59</v>
      </c>
      <c r="Q385" s="1">
        <f>Table1[Profit]/Table1[Total_Sales]</f>
        <v>0.2527930316227987</v>
      </c>
      <c r="R385" s="14">
        <f>Table1[Total_Sales]+Table1[Shipping_Cost]</f>
        <v>58.92</v>
      </c>
    </row>
    <row r="386" spans="1:18" x14ac:dyDescent="0.35">
      <c r="A386" s="3" t="s">
        <v>844</v>
      </c>
      <c r="B386" s="2">
        <v>45152</v>
      </c>
      <c r="C386" s="1" t="s">
        <v>845</v>
      </c>
      <c r="D386" s="1" t="s">
        <v>17</v>
      </c>
      <c r="E386" s="1" t="s">
        <v>18</v>
      </c>
      <c r="F386" s="1" t="s">
        <v>19</v>
      </c>
      <c r="G386" s="1" t="s">
        <v>69</v>
      </c>
      <c r="H386" s="1" t="s">
        <v>79</v>
      </c>
      <c r="I386" s="1">
        <v>1</v>
      </c>
      <c r="J386" s="1">
        <v>78.86</v>
      </c>
      <c r="K386" s="1">
        <v>10</v>
      </c>
      <c r="L386" s="1">
        <v>70.97</v>
      </c>
      <c r="M386" s="1">
        <v>7.4</v>
      </c>
      <c r="N386" s="1">
        <v>24.14</v>
      </c>
      <c r="O386" s="6" t="s">
        <v>34</v>
      </c>
      <c r="P386" s="8">
        <f>Table1[Quantity]*Table1[Unit_Price]</f>
        <v>78.86</v>
      </c>
      <c r="Q386" s="1">
        <f>Table1[Profit]/Table1[Total_Sales]</f>
        <v>0.34014372269973231</v>
      </c>
      <c r="R386" s="14">
        <f>Table1[Total_Sales]+Table1[Shipping_Cost]</f>
        <v>78.37</v>
      </c>
    </row>
    <row r="387" spans="1:18" x14ac:dyDescent="0.35">
      <c r="A387" s="3" t="s">
        <v>846</v>
      </c>
      <c r="B387" s="2">
        <v>45152</v>
      </c>
      <c r="C387" s="1" t="s">
        <v>847</v>
      </c>
      <c r="D387" s="1" t="s">
        <v>30</v>
      </c>
      <c r="E387" s="1" t="s">
        <v>135</v>
      </c>
      <c r="F387" s="1" t="s">
        <v>26</v>
      </c>
      <c r="G387" s="1" t="s">
        <v>20</v>
      </c>
      <c r="H387" s="1" t="s">
        <v>199</v>
      </c>
      <c r="I387" s="1">
        <v>1</v>
      </c>
      <c r="J387" s="1">
        <v>89.29</v>
      </c>
      <c r="K387" s="1">
        <v>5</v>
      </c>
      <c r="L387" s="1">
        <v>84.83</v>
      </c>
      <c r="M387" s="1">
        <v>9.18</v>
      </c>
      <c r="N387" s="1">
        <v>26.54</v>
      </c>
      <c r="O387" s="6" t="s">
        <v>39</v>
      </c>
      <c r="P387" s="8">
        <f>Table1[Quantity]*Table1[Unit_Price]</f>
        <v>89.29</v>
      </c>
      <c r="Q387" s="1">
        <f>Table1[Profit]/Table1[Total_Sales]</f>
        <v>0.31286101614994694</v>
      </c>
      <c r="R387" s="14">
        <f>Table1[Total_Sales]+Table1[Shipping_Cost]</f>
        <v>94.009999999999991</v>
      </c>
    </row>
    <row r="388" spans="1:18" x14ac:dyDescent="0.35">
      <c r="A388" s="3" t="s">
        <v>848</v>
      </c>
      <c r="B388" s="2">
        <v>45153</v>
      </c>
      <c r="C388" s="1" t="s">
        <v>849</v>
      </c>
      <c r="D388" s="1" t="s">
        <v>30</v>
      </c>
      <c r="E388" s="1" t="s">
        <v>18</v>
      </c>
      <c r="F388" s="1" t="s">
        <v>19</v>
      </c>
      <c r="G388" s="1" t="s">
        <v>69</v>
      </c>
      <c r="H388" s="1" t="s">
        <v>70</v>
      </c>
      <c r="I388" s="1">
        <v>1</v>
      </c>
      <c r="J388" s="1">
        <v>22.46</v>
      </c>
      <c r="K388" s="1">
        <v>5</v>
      </c>
      <c r="L388" s="1">
        <v>21.34</v>
      </c>
      <c r="M388" s="1">
        <v>6.95</v>
      </c>
      <c r="N388" s="1">
        <v>3.16</v>
      </c>
      <c r="O388" s="6" t="s">
        <v>34</v>
      </c>
      <c r="P388" s="8">
        <f>Table1[Quantity]*Table1[Unit_Price]</f>
        <v>22.46</v>
      </c>
      <c r="Q388" s="1">
        <f>Table1[Profit]/Table1[Total_Sales]</f>
        <v>0.14807872539831304</v>
      </c>
      <c r="R388" s="14">
        <f>Table1[Total_Sales]+Table1[Shipping_Cost]</f>
        <v>28.29</v>
      </c>
    </row>
    <row r="389" spans="1:18" x14ac:dyDescent="0.35">
      <c r="A389" s="3" t="s">
        <v>850</v>
      </c>
      <c r="B389" s="2">
        <v>45153</v>
      </c>
      <c r="C389" s="1" t="s">
        <v>851</v>
      </c>
      <c r="D389" s="1" t="s">
        <v>49</v>
      </c>
      <c r="E389" s="1" t="s">
        <v>129</v>
      </c>
      <c r="F389" s="1" t="s">
        <v>19</v>
      </c>
      <c r="G389" s="1" t="s">
        <v>32</v>
      </c>
      <c r="H389" s="1" t="s">
        <v>132</v>
      </c>
      <c r="I389" s="1">
        <v>4</v>
      </c>
      <c r="J389" s="1">
        <v>12.89</v>
      </c>
      <c r="K389" s="1">
        <v>5</v>
      </c>
      <c r="L389" s="1">
        <v>48.98</v>
      </c>
      <c r="M389" s="1">
        <v>9.57</v>
      </c>
      <c r="N389" s="1">
        <v>16.21</v>
      </c>
      <c r="O389" s="6" t="s">
        <v>34</v>
      </c>
      <c r="P389" s="8">
        <f>Table1[Quantity]*Table1[Unit_Price]</f>
        <v>51.56</v>
      </c>
      <c r="Q389" s="1">
        <f>Table1[Profit]/Table1[Total_Sales]</f>
        <v>0.33095140873826057</v>
      </c>
      <c r="R389" s="14">
        <f>Table1[Total_Sales]+Table1[Shipping_Cost]</f>
        <v>58.55</v>
      </c>
    </row>
    <row r="390" spans="1:18" x14ac:dyDescent="0.35">
      <c r="A390" s="3" t="s">
        <v>852</v>
      </c>
      <c r="B390" s="2">
        <v>45153</v>
      </c>
      <c r="C390" s="1" t="s">
        <v>853</v>
      </c>
      <c r="D390" s="1" t="s">
        <v>30</v>
      </c>
      <c r="E390" s="1" t="s">
        <v>248</v>
      </c>
      <c r="F390" s="1" t="s">
        <v>26</v>
      </c>
      <c r="G390" s="1" t="s">
        <v>20</v>
      </c>
      <c r="H390" s="1" t="s">
        <v>55</v>
      </c>
      <c r="I390" s="1">
        <v>9</v>
      </c>
      <c r="J390" s="1">
        <v>27.41</v>
      </c>
      <c r="K390" s="1">
        <v>0</v>
      </c>
      <c r="L390" s="1">
        <v>246.69</v>
      </c>
      <c r="M390" s="1">
        <v>12.06</v>
      </c>
      <c r="N390" s="1">
        <v>98.95</v>
      </c>
      <c r="O390" s="6" t="s">
        <v>34</v>
      </c>
      <c r="P390" s="8">
        <f>Table1[Quantity]*Table1[Unit_Price]</f>
        <v>246.69</v>
      </c>
      <c r="Q390" s="1">
        <f>Table1[Profit]/Table1[Total_Sales]</f>
        <v>0.40111070574405128</v>
      </c>
      <c r="R390" s="14">
        <f>Table1[Total_Sales]+Table1[Shipping_Cost]</f>
        <v>258.75</v>
      </c>
    </row>
    <row r="391" spans="1:18" x14ac:dyDescent="0.35">
      <c r="A391" s="3" t="s">
        <v>854</v>
      </c>
      <c r="B391" s="2">
        <v>45154</v>
      </c>
      <c r="C391" s="1" t="s">
        <v>855</v>
      </c>
      <c r="D391" s="1" t="s">
        <v>30</v>
      </c>
      <c r="E391" s="1" t="s">
        <v>121</v>
      </c>
      <c r="F391" s="1" t="s">
        <v>68</v>
      </c>
      <c r="G391" s="1" t="s">
        <v>69</v>
      </c>
      <c r="H391" s="1" t="s">
        <v>79</v>
      </c>
      <c r="I391" s="1">
        <v>6</v>
      </c>
      <c r="J391" s="1">
        <v>78.77</v>
      </c>
      <c r="K391" s="1">
        <v>0</v>
      </c>
      <c r="L391" s="1">
        <v>472.62</v>
      </c>
      <c r="M391" s="1">
        <v>19.75</v>
      </c>
      <c r="N391" s="1">
        <v>216.56</v>
      </c>
      <c r="O391" s="6" t="s">
        <v>39</v>
      </c>
      <c r="P391" s="8">
        <f>Table1[Quantity]*Table1[Unit_Price]</f>
        <v>472.62</v>
      </c>
      <c r="Q391" s="1">
        <f>Table1[Profit]/Table1[Total_Sales]</f>
        <v>0.45821167110998268</v>
      </c>
      <c r="R391" s="14">
        <f>Table1[Total_Sales]+Table1[Shipping_Cost]</f>
        <v>492.37</v>
      </c>
    </row>
    <row r="392" spans="1:18" x14ac:dyDescent="0.35">
      <c r="A392" s="3" t="s">
        <v>856</v>
      </c>
      <c r="B392" s="2">
        <v>45154</v>
      </c>
      <c r="C392" s="1" t="s">
        <v>857</v>
      </c>
      <c r="D392" s="1" t="s">
        <v>49</v>
      </c>
      <c r="E392" s="1" t="s">
        <v>31</v>
      </c>
      <c r="F392" s="1" t="s">
        <v>19</v>
      </c>
      <c r="G392" s="1" t="s">
        <v>69</v>
      </c>
      <c r="H392" s="1" t="s">
        <v>86</v>
      </c>
      <c r="I392" s="1">
        <v>1</v>
      </c>
      <c r="J392" s="1">
        <v>62.43</v>
      </c>
      <c r="K392" s="1">
        <v>10</v>
      </c>
      <c r="L392" s="1">
        <v>56.19</v>
      </c>
      <c r="M392" s="1">
        <v>7.27</v>
      </c>
      <c r="N392" s="1">
        <v>17.7</v>
      </c>
      <c r="O392" s="6" t="s">
        <v>34</v>
      </c>
      <c r="P392" s="8">
        <f>Table1[Quantity]*Table1[Unit_Price]</f>
        <v>62.43</v>
      </c>
      <c r="Q392" s="1">
        <f>Table1[Profit]/Table1[Total_Sales]</f>
        <v>0.3150026695141484</v>
      </c>
      <c r="R392" s="14">
        <f>Table1[Total_Sales]+Table1[Shipping_Cost]</f>
        <v>63.459999999999994</v>
      </c>
    </row>
    <row r="393" spans="1:18" x14ac:dyDescent="0.35">
      <c r="A393" s="3" t="s">
        <v>858</v>
      </c>
      <c r="B393" s="2">
        <v>45154</v>
      </c>
      <c r="C393" s="1" t="s">
        <v>859</v>
      </c>
      <c r="D393" s="1" t="s">
        <v>17</v>
      </c>
      <c r="E393" s="1" t="s">
        <v>67</v>
      </c>
      <c r="F393" s="1" t="s">
        <v>68</v>
      </c>
      <c r="G393" s="1" t="s">
        <v>69</v>
      </c>
      <c r="H393" s="1" t="s">
        <v>86</v>
      </c>
      <c r="I393" s="1">
        <v>1</v>
      </c>
      <c r="J393" s="1">
        <v>59.71</v>
      </c>
      <c r="K393" s="1">
        <v>15</v>
      </c>
      <c r="L393" s="1">
        <v>50.75</v>
      </c>
      <c r="M393" s="1">
        <v>11.43</v>
      </c>
      <c r="N393" s="1">
        <v>9.4600000000000009</v>
      </c>
      <c r="O393" s="6" t="s">
        <v>39</v>
      </c>
      <c r="P393" s="8">
        <f>Table1[Quantity]*Table1[Unit_Price]</f>
        <v>59.71</v>
      </c>
      <c r="Q393" s="1">
        <f>Table1[Profit]/Table1[Total_Sales]</f>
        <v>0.18640394088669954</v>
      </c>
      <c r="R393" s="14">
        <f>Table1[Total_Sales]+Table1[Shipping_Cost]</f>
        <v>62.18</v>
      </c>
    </row>
    <row r="394" spans="1:18" x14ac:dyDescent="0.35">
      <c r="A394" s="3" t="s">
        <v>860</v>
      </c>
      <c r="B394" s="2">
        <v>45154</v>
      </c>
      <c r="C394" s="1" t="s">
        <v>712</v>
      </c>
      <c r="D394" s="1" t="s">
        <v>30</v>
      </c>
      <c r="E394" s="1" t="s">
        <v>121</v>
      </c>
      <c r="F394" s="1" t="s">
        <v>68</v>
      </c>
      <c r="G394" s="1" t="s">
        <v>69</v>
      </c>
      <c r="H394" s="1" t="s">
        <v>86</v>
      </c>
      <c r="I394" s="1">
        <v>2</v>
      </c>
      <c r="J394" s="1">
        <v>148.55000000000001</v>
      </c>
      <c r="K394" s="1">
        <v>10</v>
      </c>
      <c r="L394" s="1">
        <v>267.39</v>
      </c>
      <c r="M394" s="1">
        <v>14.84</v>
      </c>
      <c r="N394" s="1">
        <v>104</v>
      </c>
      <c r="O394" s="6" t="s">
        <v>22</v>
      </c>
      <c r="P394" s="8">
        <f>Table1[Quantity]*Table1[Unit_Price]</f>
        <v>297.10000000000002</v>
      </c>
      <c r="Q394" s="1">
        <f>Table1[Profit]/Table1[Total_Sales]</f>
        <v>0.38894498672351246</v>
      </c>
      <c r="R394" s="14">
        <f>Table1[Total_Sales]+Table1[Shipping_Cost]</f>
        <v>282.22999999999996</v>
      </c>
    </row>
    <row r="395" spans="1:18" x14ac:dyDescent="0.35">
      <c r="A395" s="3" t="s">
        <v>861</v>
      </c>
      <c r="B395" s="2">
        <v>45155</v>
      </c>
      <c r="C395" s="1" t="s">
        <v>862</v>
      </c>
      <c r="D395" s="1" t="s">
        <v>17</v>
      </c>
      <c r="E395" s="1" t="s">
        <v>129</v>
      </c>
      <c r="F395" s="1" t="s">
        <v>19</v>
      </c>
      <c r="G395" s="1" t="s">
        <v>32</v>
      </c>
      <c r="H395" s="1" t="s">
        <v>101</v>
      </c>
      <c r="I395" s="1">
        <v>2</v>
      </c>
      <c r="J395" s="1">
        <v>12.61</v>
      </c>
      <c r="K395" s="1">
        <v>25</v>
      </c>
      <c r="L395" s="1">
        <v>18.91</v>
      </c>
      <c r="M395" s="1">
        <v>9.18</v>
      </c>
      <c r="N395" s="1">
        <v>-1.62</v>
      </c>
      <c r="O395" s="6" t="s">
        <v>34</v>
      </c>
      <c r="P395" s="8">
        <f>Table1[Quantity]*Table1[Unit_Price]</f>
        <v>25.22</v>
      </c>
      <c r="Q395" s="1">
        <f>Table1[Profit]/Table1[Total_Sales]</f>
        <v>-8.5668958223162353E-2</v>
      </c>
      <c r="R395" s="14">
        <f>Table1[Total_Sales]+Table1[Shipping_Cost]</f>
        <v>28.09</v>
      </c>
    </row>
    <row r="396" spans="1:18" x14ac:dyDescent="0.35">
      <c r="A396" s="3" t="s">
        <v>863</v>
      </c>
      <c r="B396" s="2">
        <v>45156</v>
      </c>
      <c r="C396" s="1" t="s">
        <v>864</v>
      </c>
      <c r="D396" s="1" t="s">
        <v>17</v>
      </c>
      <c r="E396" s="1" t="s">
        <v>129</v>
      </c>
      <c r="F396" s="1" t="s">
        <v>19</v>
      </c>
      <c r="G396" s="1" t="s">
        <v>69</v>
      </c>
      <c r="H396" s="1" t="s">
        <v>196</v>
      </c>
      <c r="I396" s="1">
        <v>1</v>
      </c>
      <c r="J396" s="1">
        <v>8.92</v>
      </c>
      <c r="K396" s="1">
        <v>0</v>
      </c>
      <c r="L396" s="1">
        <v>8.92</v>
      </c>
      <c r="M396" s="1">
        <v>7.37</v>
      </c>
      <c r="N396" s="1">
        <v>-2.91</v>
      </c>
      <c r="O396" s="6" t="s">
        <v>39</v>
      </c>
      <c r="P396" s="8">
        <f>Table1[Quantity]*Table1[Unit_Price]</f>
        <v>8.92</v>
      </c>
      <c r="Q396" s="1">
        <f>Table1[Profit]/Table1[Total_Sales]</f>
        <v>-0.32623318385650224</v>
      </c>
      <c r="R396" s="14">
        <f>Table1[Total_Sales]+Table1[Shipping_Cost]</f>
        <v>16.29</v>
      </c>
    </row>
    <row r="397" spans="1:18" x14ac:dyDescent="0.35">
      <c r="A397" s="3" t="s">
        <v>865</v>
      </c>
      <c r="B397" s="2">
        <v>45156</v>
      </c>
      <c r="C397" s="1" t="s">
        <v>866</v>
      </c>
      <c r="D397" s="1" t="s">
        <v>49</v>
      </c>
      <c r="E397" s="1" t="s">
        <v>92</v>
      </c>
      <c r="F397" s="1" t="s">
        <v>60</v>
      </c>
      <c r="G397" s="1" t="s">
        <v>69</v>
      </c>
      <c r="H397" s="1" t="s">
        <v>163</v>
      </c>
      <c r="I397" s="1">
        <v>3</v>
      </c>
      <c r="J397" s="1">
        <v>48.47</v>
      </c>
      <c r="K397" s="1">
        <v>20</v>
      </c>
      <c r="L397" s="1">
        <v>116.33</v>
      </c>
      <c r="M397" s="1">
        <v>10.91</v>
      </c>
      <c r="N397" s="1">
        <v>32.72</v>
      </c>
      <c r="O397" s="6" t="s">
        <v>56</v>
      </c>
      <c r="P397" s="8">
        <f>Table1[Quantity]*Table1[Unit_Price]</f>
        <v>145.41</v>
      </c>
      <c r="Q397" s="1">
        <f>Table1[Profit]/Table1[Total_Sales]</f>
        <v>0.28126880426373246</v>
      </c>
      <c r="R397" s="14">
        <f>Table1[Total_Sales]+Table1[Shipping_Cost]</f>
        <v>127.24</v>
      </c>
    </row>
    <row r="398" spans="1:18" x14ac:dyDescent="0.35">
      <c r="A398" s="3" t="s">
        <v>867</v>
      </c>
      <c r="B398" s="2">
        <v>45157</v>
      </c>
      <c r="C398" s="1" t="s">
        <v>868</v>
      </c>
      <c r="D398" s="1" t="s">
        <v>17</v>
      </c>
      <c r="E398" s="1" t="s">
        <v>53</v>
      </c>
      <c r="F398" s="1" t="s">
        <v>54</v>
      </c>
      <c r="G398" s="1" t="s">
        <v>20</v>
      </c>
      <c r="H398" s="1" t="s">
        <v>199</v>
      </c>
      <c r="I398" s="1">
        <v>1</v>
      </c>
      <c r="J398" s="1">
        <v>156.51</v>
      </c>
      <c r="K398" s="1">
        <v>30</v>
      </c>
      <c r="L398" s="1">
        <v>109.56</v>
      </c>
      <c r="M398" s="1">
        <v>13.21</v>
      </c>
      <c r="N398" s="1">
        <v>10.27</v>
      </c>
      <c r="O398" s="6" t="s">
        <v>39</v>
      </c>
      <c r="P398" s="8">
        <f>Table1[Quantity]*Table1[Unit_Price]</f>
        <v>156.51</v>
      </c>
      <c r="Q398" s="1">
        <f>Table1[Profit]/Table1[Total_Sales]</f>
        <v>9.3738590726542531E-2</v>
      </c>
      <c r="R398" s="14">
        <f>Table1[Total_Sales]+Table1[Shipping_Cost]</f>
        <v>122.77000000000001</v>
      </c>
    </row>
    <row r="399" spans="1:18" x14ac:dyDescent="0.35">
      <c r="A399" s="3" t="s">
        <v>869</v>
      </c>
      <c r="B399" s="2">
        <v>45157</v>
      </c>
      <c r="C399" s="1" t="s">
        <v>870</v>
      </c>
      <c r="D399" s="1" t="s">
        <v>49</v>
      </c>
      <c r="E399" s="1" t="s">
        <v>18</v>
      </c>
      <c r="F399" s="1" t="s">
        <v>19</v>
      </c>
      <c r="G399" s="1" t="s">
        <v>69</v>
      </c>
      <c r="H399" s="1" t="s">
        <v>70</v>
      </c>
      <c r="I399" s="1">
        <v>6</v>
      </c>
      <c r="J399" s="1">
        <v>64.17</v>
      </c>
      <c r="K399" s="1">
        <v>10</v>
      </c>
      <c r="L399" s="1">
        <v>346.52</v>
      </c>
      <c r="M399" s="1">
        <v>9.61</v>
      </c>
      <c r="N399" s="1">
        <v>144.4</v>
      </c>
      <c r="O399" s="6" t="s">
        <v>39</v>
      </c>
      <c r="P399" s="8">
        <f>Table1[Quantity]*Table1[Unit_Price]</f>
        <v>385.02</v>
      </c>
      <c r="Q399" s="1">
        <f>Table1[Profit]/Table1[Total_Sales]</f>
        <v>0.41671476393858942</v>
      </c>
      <c r="R399" s="14">
        <f>Table1[Total_Sales]+Table1[Shipping_Cost]</f>
        <v>356.13</v>
      </c>
    </row>
    <row r="400" spans="1:18" x14ac:dyDescent="0.35">
      <c r="A400" s="3" t="s">
        <v>871</v>
      </c>
      <c r="B400" s="2">
        <v>45157</v>
      </c>
      <c r="C400" s="1" t="s">
        <v>179</v>
      </c>
      <c r="D400" s="1" t="s">
        <v>30</v>
      </c>
      <c r="E400" s="1" t="s">
        <v>76</v>
      </c>
      <c r="F400" s="1" t="s">
        <v>26</v>
      </c>
      <c r="G400" s="1" t="s">
        <v>42</v>
      </c>
      <c r="H400" s="1" t="s">
        <v>234</v>
      </c>
      <c r="I400" s="1">
        <v>1</v>
      </c>
      <c r="J400" s="1">
        <v>57.21</v>
      </c>
      <c r="K400" s="1">
        <v>15</v>
      </c>
      <c r="L400" s="1">
        <v>48.63</v>
      </c>
      <c r="M400" s="1">
        <v>7.77</v>
      </c>
      <c r="N400" s="1">
        <v>6.53</v>
      </c>
      <c r="O400" s="6" t="s">
        <v>22</v>
      </c>
      <c r="P400" s="8">
        <f>Table1[Quantity]*Table1[Unit_Price]</f>
        <v>57.21</v>
      </c>
      <c r="Q400" s="1">
        <f>Table1[Profit]/Table1[Total_Sales]</f>
        <v>0.13427925149084927</v>
      </c>
      <c r="R400" s="14">
        <f>Table1[Total_Sales]+Table1[Shipping_Cost]</f>
        <v>56.400000000000006</v>
      </c>
    </row>
    <row r="401" spans="1:18" x14ac:dyDescent="0.35">
      <c r="A401" s="3" t="s">
        <v>872</v>
      </c>
      <c r="B401" s="2">
        <v>45157</v>
      </c>
      <c r="C401" s="1" t="s">
        <v>873</v>
      </c>
      <c r="D401" s="1" t="s">
        <v>30</v>
      </c>
      <c r="E401" s="1" t="s">
        <v>31</v>
      </c>
      <c r="F401" s="1" t="s">
        <v>19</v>
      </c>
      <c r="G401" s="1" t="s">
        <v>32</v>
      </c>
      <c r="H401" s="1" t="s">
        <v>33</v>
      </c>
      <c r="I401" s="1">
        <v>1</v>
      </c>
      <c r="J401" s="1">
        <v>14.44</v>
      </c>
      <c r="K401" s="1">
        <v>5</v>
      </c>
      <c r="L401" s="1">
        <v>13.72</v>
      </c>
      <c r="M401" s="1">
        <v>6.28</v>
      </c>
      <c r="N401" s="1">
        <v>0.94</v>
      </c>
      <c r="O401" s="6" t="s">
        <v>34</v>
      </c>
      <c r="P401" s="8">
        <f>Table1[Quantity]*Table1[Unit_Price]</f>
        <v>14.44</v>
      </c>
      <c r="Q401" s="1">
        <f>Table1[Profit]/Table1[Total_Sales]</f>
        <v>6.8513119533527692E-2</v>
      </c>
      <c r="R401" s="14">
        <f>Table1[Total_Sales]+Table1[Shipping_Cost]</f>
        <v>20</v>
      </c>
    </row>
    <row r="402" spans="1:18" x14ac:dyDescent="0.35">
      <c r="A402" s="3" t="s">
        <v>874</v>
      </c>
      <c r="B402" s="2">
        <v>45160</v>
      </c>
      <c r="C402" s="1" t="s">
        <v>875</v>
      </c>
      <c r="D402" s="1" t="s">
        <v>49</v>
      </c>
      <c r="E402" s="1" t="s">
        <v>92</v>
      </c>
      <c r="F402" s="1" t="s">
        <v>60</v>
      </c>
      <c r="G402" s="1" t="s">
        <v>20</v>
      </c>
      <c r="H402" s="1" t="s">
        <v>21</v>
      </c>
      <c r="I402" s="1">
        <v>3</v>
      </c>
      <c r="J402" s="1">
        <v>100.41</v>
      </c>
      <c r="K402" s="1">
        <v>5</v>
      </c>
      <c r="L402" s="1">
        <v>286.17</v>
      </c>
      <c r="M402" s="1">
        <v>16.29</v>
      </c>
      <c r="N402" s="1">
        <v>104.2</v>
      </c>
      <c r="O402" s="6" t="s">
        <v>34</v>
      </c>
      <c r="P402" s="8">
        <f>Table1[Quantity]*Table1[Unit_Price]</f>
        <v>301.23</v>
      </c>
      <c r="Q402" s="1">
        <f>Table1[Profit]/Table1[Total_Sales]</f>
        <v>0.36411922982842365</v>
      </c>
      <c r="R402" s="14">
        <f>Table1[Total_Sales]+Table1[Shipping_Cost]</f>
        <v>302.46000000000004</v>
      </c>
    </row>
    <row r="403" spans="1:18" x14ac:dyDescent="0.35">
      <c r="A403" s="3" t="s">
        <v>876</v>
      </c>
      <c r="B403" s="2">
        <v>45160</v>
      </c>
      <c r="C403" s="1" t="s">
        <v>877</v>
      </c>
      <c r="D403" s="1" t="s">
        <v>30</v>
      </c>
      <c r="E403" s="1" t="s">
        <v>63</v>
      </c>
      <c r="F403" s="1" t="s">
        <v>54</v>
      </c>
      <c r="G403" s="1" t="s">
        <v>32</v>
      </c>
      <c r="H403" s="1" t="s">
        <v>50</v>
      </c>
      <c r="I403" s="1">
        <v>2</v>
      </c>
      <c r="J403" s="1">
        <v>8.3000000000000007</v>
      </c>
      <c r="K403" s="1">
        <v>5</v>
      </c>
      <c r="L403" s="1">
        <v>15.77</v>
      </c>
      <c r="M403" s="1">
        <v>15.44</v>
      </c>
      <c r="N403" s="1">
        <v>-7.14</v>
      </c>
      <c r="O403" s="6" t="s">
        <v>39</v>
      </c>
      <c r="P403" s="8">
        <f>Table1[Quantity]*Table1[Unit_Price]</f>
        <v>16.600000000000001</v>
      </c>
      <c r="Q403" s="1">
        <f>Table1[Profit]/Table1[Total_Sales]</f>
        <v>-0.45275840202916928</v>
      </c>
      <c r="R403" s="14">
        <f>Table1[Total_Sales]+Table1[Shipping_Cost]</f>
        <v>31.21</v>
      </c>
    </row>
    <row r="404" spans="1:18" x14ac:dyDescent="0.35">
      <c r="A404" s="3" t="s">
        <v>878</v>
      </c>
      <c r="B404" s="2">
        <v>45160</v>
      </c>
      <c r="C404" s="1" t="s">
        <v>879</v>
      </c>
      <c r="D404" s="1" t="s">
        <v>17</v>
      </c>
      <c r="E404" s="1" t="s">
        <v>37</v>
      </c>
      <c r="F404" s="1" t="s">
        <v>26</v>
      </c>
      <c r="G404" s="1" t="s">
        <v>32</v>
      </c>
      <c r="H404" s="1" t="s">
        <v>132</v>
      </c>
      <c r="I404" s="1">
        <v>12</v>
      </c>
      <c r="J404" s="1">
        <v>10.19</v>
      </c>
      <c r="K404" s="1">
        <v>10</v>
      </c>
      <c r="L404" s="1">
        <v>110.05</v>
      </c>
      <c r="M404" s="1">
        <v>25.93</v>
      </c>
      <c r="N404" s="1">
        <v>29.09</v>
      </c>
      <c r="O404" s="6" t="s">
        <v>34</v>
      </c>
      <c r="P404" s="8">
        <f>Table1[Quantity]*Table1[Unit_Price]</f>
        <v>122.28</v>
      </c>
      <c r="Q404" s="1">
        <f>Table1[Profit]/Table1[Total_Sales]</f>
        <v>0.2643343934575193</v>
      </c>
      <c r="R404" s="14">
        <f>Table1[Total_Sales]+Table1[Shipping_Cost]</f>
        <v>135.97999999999999</v>
      </c>
    </row>
    <row r="405" spans="1:18" x14ac:dyDescent="0.35">
      <c r="A405" s="3" t="s">
        <v>880</v>
      </c>
      <c r="B405" s="2">
        <v>45161</v>
      </c>
      <c r="C405" s="1" t="s">
        <v>881</v>
      </c>
      <c r="D405" s="1" t="s">
        <v>30</v>
      </c>
      <c r="E405" s="1" t="s">
        <v>85</v>
      </c>
      <c r="F405" s="1" t="s">
        <v>60</v>
      </c>
      <c r="G405" s="1" t="s">
        <v>32</v>
      </c>
      <c r="H405" s="1" t="s">
        <v>82</v>
      </c>
      <c r="I405" s="1">
        <v>5</v>
      </c>
      <c r="J405" s="1">
        <v>20.76</v>
      </c>
      <c r="K405" s="1">
        <v>5</v>
      </c>
      <c r="L405" s="1">
        <v>98.61</v>
      </c>
      <c r="M405" s="1">
        <v>14.44</v>
      </c>
      <c r="N405" s="1">
        <v>37.46</v>
      </c>
      <c r="O405" s="6" t="s">
        <v>34</v>
      </c>
      <c r="P405" s="8">
        <f>Table1[Quantity]*Table1[Unit_Price]</f>
        <v>103.80000000000001</v>
      </c>
      <c r="Q405" s="1">
        <f>Table1[Profit]/Table1[Total_Sales]</f>
        <v>0.37988033667984994</v>
      </c>
      <c r="R405" s="14">
        <f>Table1[Total_Sales]+Table1[Shipping_Cost]</f>
        <v>113.05</v>
      </c>
    </row>
    <row r="406" spans="1:18" x14ac:dyDescent="0.35">
      <c r="A406" s="3" t="s">
        <v>882</v>
      </c>
      <c r="B406" s="2">
        <v>45161</v>
      </c>
      <c r="C406" s="1" t="s">
        <v>883</v>
      </c>
      <c r="D406" s="1" t="s">
        <v>49</v>
      </c>
      <c r="E406" s="1" t="s">
        <v>169</v>
      </c>
      <c r="F406" s="1" t="s">
        <v>68</v>
      </c>
      <c r="G406" s="1" t="s">
        <v>32</v>
      </c>
      <c r="H406" s="1" t="s">
        <v>348</v>
      </c>
      <c r="I406" s="1">
        <v>4</v>
      </c>
      <c r="J406" s="1">
        <v>6.4</v>
      </c>
      <c r="K406" s="1">
        <v>20</v>
      </c>
      <c r="L406" s="1">
        <v>20.48</v>
      </c>
      <c r="M406" s="1">
        <v>13.95</v>
      </c>
      <c r="N406" s="1">
        <v>-4.99</v>
      </c>
      <c r="O406" s="6" t="s">
        <v>34</v>
      </c>
      <c r="P406" s="8">
        <f>Table1[Quantity]*Table1[Unit_Price]</f>
        <v>25.6</v>
      </c>
      <c r="Q406" s="1">
        <f>Table1[Profit]/Table1[Total_Sales]</f>
        <v>-0.24365234375</v>
      </c>
      <c r="R406" s="14">
        <f>Table1[Total_Sales]+Table1[Shipping_Cost]</f>
        <v>34.43</v>
      </c>
    </row>
    <row r="407" spans="1:18" x14ac:dyDescent="0.35">
      <c r="A407" s="3" t="s">
        <v>884</v>
      </c>
      <c r="B407" s="2">
        <v>45161</v>
      </c>
      <c r="C407" s="1" t="s">
        <v>885</v>
      </c>
      <c r="D407" s="1" t="s">
        <v>49</v>
      </c>
      <c r="E407" s="1" t="s">
        <v>37</v>
      </c>
      <c r="F407" s="1" t="s">
        <v>26</v>
      </c>
      <c r="G407" s="1" t="s">
        <v>20</v>
      </c>
      <c r="H407" s="1" t="s">
        <v>21</v>
      </c>
      <c r="I407" s="1">
        <v>9</v>
      </c>
      <c r="J407" s="1">
        <v>156.74</v>
      </c>
      <c r="K407" s="1">
        <v>0</v>
      </c>
      <c r="L407" s="1">
        <v>1410.66</v>
      </c>
      <c r="M407" s="1">
        <v>15.34</v>
      </c>
      <c r="N407" s="1">
        <v>619.46</v>
      </c>
      <c r="O407" s="6" t="s">
        <v>39</v>
      </c>
      <c r="P407" s="8">
        <f>Table1[Quantity]*Table1[Unit_Price]</f>
        <v>1410.66</v>
      </c>
      <c r="Q407" s="1">
        <f>Table1[Profit]/Table1[Total_Sales]</f>
        <v>0.4391277841577701</v>
      </c>
      <c r="R407" s="14">
        <f>Table1[Total_Sales]+Table1[Shipping_Cost]</f>
        <v>1426</v>
      </c>
    </row>
    <row r="408" spans="1:18" x14ac:dyDescent="0.35">
      <c r="A408" s="3" t="s">
        <v>886</v>
      </c>
      <c r="B408" s="2">
        <v>45161</v>
      </c>
      <c r="C408" s="1" t="s">
        <v>302</v>
      </c>
      <c r="D408" s="1" t="s">
        <v>30</v>
      </c>
      <c r="E408" s="1" t="s">
        <v>169</v>
      </c>
      <c r="F408" s="1" t="s">
        <v>68</v>
      </c>
      <c r="G408" s="1" t="s">
        <v>42</v>
      </c>
      <c r="H408" s="1" t="s">
        <v>64</v>
      </c>
      <c r="I408" s="1">
        <v>2</v>
      </c>
      <c r="J408" s="1">
        <v>127.96</v>
      </c>
      <c r="K408" s="1">
        <v>0</v>
      </c>
      <c r="L408" s="1">
        <v>255.92</v>
      </c>
      <c r="M408" s="1">
        <v>12.79</v>
      </c>
      <c r="N408" s="1">
        <v>89.58</v>
      </c>
      <c r="O408" s="6" t="s">
        <v>34</v>
      </c>
      <c r="P408" s="8">
        <f>Table1[Quantity]*Table1[Unit_Price]</f>
        <v>255.92</v>
      </c>
      <c r="Q408" s="1">
        <f>Table1[Profit]/Table1[Total_Sales]</f>
        <v>0.35003125976867772</v>
      </c>
      <c r="R408" s="14">
        <f>Table1[Total_Sales]+Table1[Shipping_Cost]</f>
        <v>268.70999999999998</v>
      </c>
    </row>
    <row r="409" spans="1:18" x14ac:dyDescent="0.35">
      <c r="A409" s="3" t="s">
        <v>887</v>
      </c>
      <c r="B409" s="2">
        <v>45162</v>
      </c>
      <c r="C409" s="1" t="s">
        <v>888</v>
      </c>
      <c r="D409" s="1" t="s">
        <v>49</v>
      </c>
      <c r="E409" s="1" t="s">
        <v>63</v>
      </c>
      <c r="F409" s="1" t="s">
        <v>54</v>
      </c>
      <c r="G409" s="1" t="s">
        <v>69</v>
      </c>
      <c r="H409" s="1" t="s">
        <v>243</v>
      </c>
      <c r="I409" s="1">
        <v>14</v>
      </c>
      <c r="J409" s="1">
        <v>36.74</v>
      </c>
      <c r="K409" s="1">
        <v>5</v>
      </c>
      <c r="L409" s="1">
        <v>488.64</v>
      </c>
      <c r="M409" s="1">
        <v>27.48</v>
      </c>
      <c r="N409" s="1">
        <v>203.98</v>
      </c>
      <c r="O409" s="6" t="s">
        <v>39</v>
      </c>
      <c r="P409" s="8">
        <f>Table1[Quantity]*Table1[Unit_Price]</f>
        <v>514.36</v>
      </c>
      <c r="Q409" s="1">
        <f>Table1[Profit]/Table1[Total_Sales]</f>
        <v>0.41744433529796987</v>
      </c>
      <c r="R409" s="14">
        <f>Table1[Total_Sales]+Table1[Shipping_Cost]</f>
        <v>516.12</v>
      </c>
    </row>
    <row r="410" spans="1:18" x14ac:dyDescent="0.35">
      <c r="A410" s="3" t="s">
        <v>889</v>
      </c>
      <c r="B410" s="2">
        <v>45163</v>
      </c>
      <c r="C410" s="1" t="s">
        <v>890</v>
      </c>
      <c r="D410" s="1" t="s">
        <v>30</v>
      </c>
      <c r="E410" s="1" t="s">
        <v>138</v>
      </c>
      <c r="F410" s="1" t="s">
        <v>54</v>
      </c>
      <c r="G410" s="1" t="s">
        <v>69</v>
      </c>
      <c r="H410" s="1" t="s">
        <v>196</v>
      </c>
      <c r="I410" s="1">
        <v>2</v>
      </c>
      <c r="J410" s="1">
        <v>11.42</v>
      </c>
      <c r="K410" s="1">
        <v>0</v>
      </c>
      <c r="L410" s="1">
        <v>22.84</v>
      </c>
      <c r="M410" s="1">
        <v>13.37</v>
      </c>
      <c r="N410" s="1">
        <v>-1.95</v>
      </c>
      <c r="O410" s="6" t="s">
        <v>39</v>
      </c>
      <c r="P410" s="8">
        <f>Table1[Quantity]*Table1[Unit_Price]</f>
        <v>22.84</v>
      </c>
      <c r="Q410" s="1">
        <f>Table1[Profit]/Table1[Total_Sales]</f>
        <v>-8.5376532399299473E-2</v>
      </c>
      <c r="R410" s="14">
        <f>Table1[Total_Sales]+Table1[Shipping_Cost]</f>
        <v>36.21</v>
      </c>
    </row>
    <row r="411" spans="1:18" x14ac:dyDescent="0.35">
      <c r="A411" s="3" t="s">
        <v>891</v>
      </c>
      <c r="B411" s="2">
        <v>45163</v>
      </c>
      <c r="C411" s="1" t="s">
        <v>892</v>
      </c>
      <c r="D411" s="1" t="s">
        <v>17</v>
      </c>
      <c r="E411" s="1" t="s">
        <v>37</v>
      </c>
      <c r="F411" s="1" t="s">
        <v>26</v>
      </c>
      <c r="G411" s="1" t="s">
        <v>69</v>
      </c>
      <c r="H411" s="1" t="s">
        <v>98</v>
      </c>
      <c r="I411" s="1">
        <v>4</v>
      </c>
      <c r="J411" s="1">
        <v>37.020000000000003</v>
      </c>
      <c r="K411" s="1">
        <v>10</v>
      </c>
      <c r="L411" s="1">
        <v>133.27000000000001</v>
      </c>
      <c r="M411" s="1">
        <v>9.44</v>
      </c>
      <c r="N411" s="1">
        <v>49.79</v>
      </c>
      <c r="O411" s="6" t="s">
        <v>22</v>
      </c>
      <c r="P411" s="8">
        <f>Table1[Quantity]*Table1[Unit_Price]</f>
        <v>148.08000000000001</v>
      </c>
      <c r="Q411" s="1">
        <f>Table1[Profit]/Table1[Total_Sales]</f>
        <v>0.37360246116905527</v>
      </c>
      <c r="R411" s="14">
        <f>Table1[Total_Sales]+Table1[Shipping_Cost]</f>
        <v>142.71</v>
      </c>
    </row>
    <row r="412" spans="1:18" x14ac:dyDescent="0.35">
      <c r="A412" s="3" t="s">
        <v>893</v>
      </c>
      <c r="B412" s="2">
        <v>45163</v>
      </c>
      <c r="C412" s="1" t="s">
        <v>894</v>
      </c>
      <c r="D412" s="1" t="s">
        <v>30</v>
      </c>
      <c r="E412" s="1" t="s">
        <v>129</v>
      </c>
      <c r="F412" s="1" t="s">
        <v>19</v>
      </c>
      <c r="G412" s="1" t="s">
        <v>20</v>
      </c>
      <c r="H412" s="1" t="s">
        <v>122</v>
      </c>
      <c r="I412" s="1">
        <v>9</v>
      </c>
      <c r="J412" s="1">
        <v>82.15</v>
      </c>
      <c r="K412" s="1">
        <v>10</v>
      </c>
      <c r="L412" s="1">
        <v>665.42</v>
      </c>
      <c r="M412" s="1">
        <v>21.38</v>
      </c>
      <c r="N412" s="1">
        <v>237.4</v>
      </c>
      <c r="O412" s="6" t="s">
        <v>56</v>
      </c>
      <c r="P412" s="8">
        <f>Table1[Quantity]*Table1[Unit_Price]</f>
        <v>739.35</v>
      </c>
      <c r="Q412" s="1">
        <f>Table1[Profit]/Table1[Total_Sales]</f>
        <v>0.35676715457906288</v>
      </c>
      <c r="R412" s="14">
        <f>Table1[Total_Sales]+Table1[Shipping_Cost]</f>
        <v>686.8</v>
      </c>
    </row>
    <row r="413" spans="1:18" x14ac:dyDescent="0.35">
      <c r="A413" s="3" t="s">
        <v>895</v>
      </c>
      <c r="B413" s="2">
        <v>45165</v>
      </c>
      <c r="C413" s="1" t="s">
        <v>896</v>
      </c>
      <c r="D413" s="1" t="s">
        <v>30</v>
      </c>
      <c r="E413" s="1" t="s">
        <v>76</v>
      </c>
      <c r="F413" s="1" t="s">
        <v>26</v>
      </c>
      <c r="G413" s="1" t="s">
        <v>20</v>
      </c>
      <c r="H413" s="1" t="s">
        <v>170</v>
      </c>
      <c r="I413" s="1">
        <v>2</v>
      </c>
      <c r="J413" s="1">
        <v>53.25</v>
      </c>
      <c r="K413" s="1">
        <v>5</v>
      </c>
      <c r="L413" s="1">
        <v>101.17</v>
      </c>
      <c r="M413" s="1">
        <v>8.08</v>
      </c>
      <c r="N413" s="1">
        <v>34.520000000000003</v>
      </c>
      <c r="O413" s="6" t="s">
        <v>39</v>
      </c>
      <c r="P413" s="8">
        <f>Table1[Quantity]*Table1[Unit_Price]</f>
        <v>106.5</v>
      </c>
      <c r="Q413" s="1">
        <f>Table1[Profit]/Table1[Total_Sales]</f>
        <v>0.34120786794504304</v>
      </c>
      <c r="R413" s="14">
        <f>Table1[Total_Sales]+Table1[Shipping_Cost]</f>
        <v>109.25</v>
      </c>
    </row>
    <row r="414" spans="1:18" x14ac:dyDescent="0.35">
      <c r="A414" s="3" t="s">
        <v>897</v>
      </c>
      <c r="B414" s="2">
        <v>45165</v>
      </c>
      <c r="C414" s="1" t="s">
        <v>629</v>
      </c>
      <c r="D414" s="1" t="s">
        <v>17</v>
      </c>
      <c r="E414" s="1" t="s">
        <v>129</v>
      </c>
      <c r="F414" s="1" t="s">
        <v>19</v>
      </c>
      <c r="G414" s="1" t="s">
        <v>42</v>
      </c>
      <c r="H414" s="1" t="s">
        <v>89</v>
      </c>
      <c r="I414" s="1">
        <v>3</v>
      </c>
      <c r="J414" s="1">
        <v>185.14</v>
      </c>
      <c r="K414" s="1">
        <v>5</v>
      </c>
      <c r="L414" s="1">
        <v>527.65</v>
      </c>
      <c r="M414" s="1">
        <v>9.42</v>
      </c>
      <c r="N414" s="1">
        <v>184.98</v>
      </c>
      <c r="O414" s="6" t="s">
        <v>39</v>
      </c>
      <c r="P414" s="8">
        <f>Table1[Quantity]*Table1[Unit_Price]</f>
        <v>555.41999999999996</v>
      </c>
      <c r="Q414" s="1">
        <f>Table1[Profit]/Table1[Total_Sales]</f>
        <v>0.35057329669288356</v>
      </c>
      <c r="R414" s="14">
        <f>Table1[Total_Sales]+Table1[Shipping_Cost]</f>
        <v>537.06999999999994</v>
      </c>
    </row>
    <row r="415" spans="1:18" x14ac:dyDescent="0.35">
      <c r="A415" s="3" t="s">
        <v>898</v>
      </c>
      <c r="B415" s="2">
        <v>45165</v>
      </c>
      <c r="C415" s="1" t="s">
        <v>899</v>
      </c>
      <c r="D415" s="1" t="s">
        <v>30</v>
      </c>
      <c r="E415" s="1" t="s">
        <v>138</v>
      </c>
      <c r="F415" s="1" t="s">
        <v>54</v>
      </c>
      <c r="G415" s="1" t="s">
        <v>69</v>
      </c>
      <c r="H415" s="1" t="s">
        <v>160</v>
      </c>
      <c r="I415" s="1">
        <v>3</v>
      </c>
      <c r="J415" s="1">
        <v>29.47</v>
      </c>
      <c r="K415" s="1">
        <v>10</v>
      </c>
      <c r="L415" s="1">
        <v>79.569999999999993</v>
      </c>
      <c r="M415" s="1">
        <v>14.83</v>
      </c>
      <c r="N415" s="1">
        <v>20.53</v>
      </c>
      <c r="O415" s="6" t="s">
        <v>34</v>
      </c>
      <c r="P415" s="8">
        <f>Table1[Quantity]*Table1[Unit_Price]</f>
        <v>88.41</v>
      </c>
      <c r="Q415" s="1">
        <f>Table1[Profit]/Table1[Total_Sales]</f>
        <v>0.25801181349754937</v>
      </c>
      <c r="R415" s="14">
        <f>Table1[Total_Sales]+Table1[Shipping_Cost]</f>
        <v>94.399999999999991</v>
      </c>
    </row>
    <row r="416" spans="1:18" x14ac:dyDescent="0.35">
      <c r="A416" s="3" t="s">
        <v>900</v>
      </c>
      <c r="B416" s="2">
        <v>45167</v>
      </c>
      <c r="C416" s="1" t="s">
        <v>901</v>
      </c>
      <c r="D416" s="1" t="s">
        <v>30</v>
      </c>
      <c r="E416" s="1" t="s">
        <v>53</v>
      </c>
      <c r="F416" s="1" t="s">
        <v>54</v>
      </c>
      <c r="G416" s="1" t="s">
        <v>32</v>
      </c>
      <c r="H416" s="1" t="s">
        <v>110</v>
      </c>
      <c r="I416" s="1">
        <v>5</v>
      </c>
      <c r="J416" s="1">
        <v>6.31</v>
      </c>
      <c r="K416" s="1">
        <v>10</v>
      </c>
      <c r="L416" s="1">
        <v>28.39</v>
      </c>
      <c r="M416" s="1">
        <v>22.11</v>
      </c>
      <c r="N416" s="1">
        <v>-7.92</v>
      </c>
      <c r="O416" s="6" t="s">
        <v>39</v>
      </c>
      <c r="P416" s="8">
        <f>Table1[Quantity]*Table1[Unit_Price]</f>
        <v>31.549999999999997</v>
      </c>
      <c r="Q416" s="1">
        <f>Table1[Profit]/Table1[Total_Sales]</f>
        <v>-0.27897146882705176</v>
      </c>
      <c r="R416" s="14">
        <f>Table1[Total_Sales]+Table1[Shipping_Cost]</f>
        <v>50.5</v>
      </c>
    </row>
    <row r="417" spans="1:18" x14ac:dyDescent="0.35">
      <c r="A417" s="3" t="s">
        <v>902</v>
      </c>
      <c r="B417" s="2">
        <v>45167</v>
      </c>
      <c r="C417" s="1" t="s">
        <v>903</v>
      </c>
      <c r="D417" s="1" t="s">
        <v>30</v>
      </c>
      <c r="E417" s="1" t="s">
        <v>59</v>
      </c>
      <c r="F417" s="1" t="s">
        <v>60</v>
      </c>
      <c r="G417" s="1" t="s">
        <v>69</v>
      </c>
      <c r="H417" s="1" t="s">
        <v>163</v>
      </c>
      <c r="I417" s="1">
        <v>6</v>
      </c>
      <c r="J417" s="1">
        <v>50.95</v>
      </c>
      <c r="K417" s="1">
        <v>25</v>
      </c>
      <c r="L417" s="1">
        <v>229.28</v>
      </c>
      <c r="M417" s="1">
        <v>18.09</v>
      </c>
      <c r="N417" s="1">
        <v>58.34</v>
      </c>
      <c r="O417" s="6" t="s">
        <v>39</v>
      </c>
      <c r="P417" s="8">
        <f>Table1[Quantity]*Table1[Unit_Price]</f>
        <v>305.70000000000005</v>
      </c>
      <c r="Q417" s="1">
        <f>Table1[Profit]/Table1[Total_Sales]</f>
        <v>0.25444870900209354</v>
      </c>
      <c r="R417" s="14">
        <f>Table1[Total_Sales]+Table1[Shipping_Cost]</f>
        <v>247.37</v>
      </c>
    </row>
    <row r="418" spans="1:18" x14ac:dyDescent="0.35">
      <c r="A418" s="3" t="s">
        <v>904</v>
      </c>
      <c r="B418" s="2">
        <v>45168</v>
      </c>
      <c r="C418" s="1" t="s">
        <v>905</v>
      </c>
      <c r="D418" s="1" t="s">
        <v>30</v>
      </c>
      <c r="E418" s="1" t="s">
        <v>166</v>
      </c>
      <c r="F418" s="1" t="s">
        <v>60</v>
      </c>
      <c r="G418" s="1" t="s">
        <v>32</v>
      </c>
      <c r="H418" s="1" t="s">
        <v>50</v>
      </c>
      <c r="I418" s="1">
        <v>2</v>
      </c>
      <c r="J418" s="1">
        <v>13.7</v>
      </c>
      <c r="K418" s="1">
        <v>5</v>
      </c>
      <c r="L418" s="1">
        <v>26.03</v>
      </c>
      <c r="M418" s="1">
        <v>11.05</v>
      </c>
      <c r="N418" s="1">
        <v>2.65</v>
      </c>
      <c r="O418" s="6" t="s">
        <v>22</v>
      </c>
      <c r="P418" s="8">
        <f>Table1[Quantity]*Table1[Unit_Price]</f>
        <v>27.4</v>
      </c>
      <c r="Q418" s="1">
        <f>Table1[Profit]/Table1[Total_Sales]</f>
        <v>0.10180560891279292</v>
      </c>
      <c r="R418" s="14">
        <f>Table1[Total_Sales]+Table1[Shipping_Cost]</f>
        <v>37.08</v>
      </c>
    </row>
    <row r="419" spans="1:18" x14ac:dyDescent="0.35">
      <c r="A419" s="3" t="s">
        <v>906</v>
      </c>
      <c r="B419" s="2">
        <v>45168</v>
      </c>
      <c r="C419" s="1" t="s">
        <v>907</v>
      </c>
      <c r="D419" s="1" t="s">
        <v>49</v>
      </c>
      <c r="E419" s="1" t="s">
        <v>25</v>
      </c>
      <c r="F419" s="1" t="s">
        <v>26</v>
      </c>
      <c r="G419" s="1" t="s">
        <v>32</v>
      </c>
      <c r="H419" s="1" t="s">
        <v>348</v>
      </c>
      <c r="I419" s="1">
        <v>5</v>
      </c>
      <c r="J419" s="1">
        <v>8.73</v>
      </c>
      <c r="K419" s="1">
        <v>20</v>
      </c>
      <c r="L419" s="1">
        <v>34.92</v>
      </c>
      <c r="M419" s="1">
        <v>13.19</v>
      </c>
      <c r="N419" s="1">
        <v>2.09</v>
      </c>
      <c r="O419" s="6" t="s">
        <v>22</v>
      </c>
      <c r="P419" s="8">
        <f>Table1[Quantity]*Table1[Unit_Price]</f>
        <v>43.650000000000006</v>
      </c>
      <c r="Q419" s="1">
        <f>Table1[Profit]/Table1[Total_Sales]</f>
        <v>5.9851088201603661E-2</v>
      </c>
      <c r="R419" s="14">
        <f>Table1[Total_Sales]+Table1[Shipping_Cost]</f>
        <v>48.11</v>
      </c>
    </row>
    <row r="420" spans="1:18" x14ac:dyDescent="0.35">
      <c r="A420" s="3" t="s">
        <v>908</v>
      </c>
      <c r="B420" s="2">
        <v>45168</v>
      </c>
      <c r="C420" s="1" t="s">
        <v>909</v>
      </c>
      <c r="D420" s="1" t="s">
        <v>30</v>
      </c>
      <c r="E420" s="1" t="s">
        <v>148</v>
      </c>
      <c r="F420" s="1" t="s">
        <v>60</v>
      </c>
      <c r="G420" s="1" t="s">
        <v>20</v>
      </c>
      <c r="H420" s="1" t="s">
        <v>264</v>
      </c>
      <c r="I420" s="1">
        <v>1</v>
      </c>
      <c r="J420" s="1">
        <v>34.68</v>
      </c>
      <c r="K420" s="1">
        <v>10</v>
      </c>
      <c r="L420" s="1">
        <v>31.21</v>
      </c>
      <c r="M420" s="1">
        <v>10.64</v>
      </c>
      <c r="N420" s="1">
        <v>1.5</v>
      </c>
      <c r="O420" s="6" t="s">
        <v>34</v>
      </c>
      <c r="P420" s="8">
        <f>Table1[Quantity]*Table1[Unit_Price]</f>
        <v>34.68</v>
      </c>
      <c r="Q420" s="1">
        <f>Table1[Profit]/Table1[Total_Sales]</f>
        <v>4.806151874399231E-2</v>
      </c>
      <c r="R420" s="14">
        <f>Table1[Total_Sales]+Table1[Shipping_Cost]</f>
        <v>41.85</v>
      </c>
    </row>
    <row r="421" spans="1:18" x14ac:dyDescent="0.35">
      <c r="A421" s="3" t="s">
        <v>910</v>
      </c>
      <c r="B421" s="2">
        <v>45168</v>
      </c>
      <c r="C421" s="1" t="s">
        <v>911</v>
      </c>
      <c r="D421" s="1" t="s">
        <v>17</v>
      </c>
      <c r="E421" s="1" t="s">
        <v>31</v>
      </c>
      <c r="F421" s="1" t="s">
        <v>19</v>
      </c>
      <c r="G421" s="1" t="s">
        <v>69</v>
      </c>
      <c r="H421" s="1" t="s">
        <v>160</v>
      </c>
      <c r="I421" s="1">
        <v>1</v>
      </c>
      <c r="J421" s="1">
        <v>25.23</v>
      </c>
      <c r="K421" s="1">
        <v>30</v>
      </c>
      <c r="L421" s="1">
        <v>17.66</v>
      </c>
      <c r="M421" s="1">
        <v>6.63</v>
      </c>
      <c r="N421" s="1">
        <v>-1.58</v>
      </c>
      <c r="O421" s="6" t="s">
        <v>39</v>
      </c>
      <c r="P421" s="8">
        <f>Table1[Quantity]*Table1[Unit_Price]</f>
        <v>25.23</v>
      </c>
      <c r="Q421" s="1">
        <f>Table1[Profit]/Table1[Total_Sales]</f>
        <v>-8.9467723669309177E-2</v>
      </c>
      <c r="R421" s="14">
        <f>Table1[Total_Sales]+Table1[Shipping_Cost]</f>
        <v>24.29</v>
      </c>
    </row>
    <row r="422" spans="1:18" x14ac:dyDescent="0.35">
      <c r="A422" s="3" t="s">
        <v>912</v>
      </c>
      <c r="B422" s="2">
        <v>45169</v>
      </c>
      <c r="C422" s="1" t="s">
        <v>913</v>
      </c>
      <c r="D422" s="1" t="s">
        <v>17</v>
      </c>
      <c r="E422" s="1" t="s">
        <v>85</v>
      </c>
      <c r="F422" s="1" t="s">
        <v>60</v>
      </c>
      <c r="G422" s="1" t="s">
        <v>42</v>
      </c>
      <c r="H422" s="1" t="s">
        <v>46</v>
      </c>
      <c r="I422" s="1">
        <v>3</v>
      </c>
      <c r="J422" s="1">
        <v>116.76</v>
      </c>
      <c r="K422" s="1">
        <v>20</v>
      </c>
      <c r="L422" s="1">
        <v>280.22000000000003</v>
      </c>
      <c r="M422" s="1">
        <v>14.72</v>
      </c>
      <c r="N422" s="1">
        <v>55.33</v>
      </c>
      <c r="O422" s="6" t="s">
        <v>34</v>
      </c>
      <c r="P422" s="8">
        <f>Table1[Quantity]*Table1[Unit_Price]</f>
        <v>350.28000000000003</v>
      </c>
      <c r="Q422" s="1">
        <f>Table1[Profit]/Table1[Total_Sales]</f>
        <v>0.19745200199842977</v>
      </c>
      <c r="R422" s="14">
        <f>Table1[Total_Sales]+Table1[Shipping_Cost]</f>
        <v>294.94000000000005</v>
      </c>
    </row>
    <row r="423" spans="1:18" x14ac:dyDescent="0.35">
      <c r="A423" s="3" t="s">
        <v>914</v>
      </c>
      <c r="B423" s="2">
        <v>45169</v>
      </c>
      <c r="C423" s="1" t="s">
        <v>639</v>
      </c>
      <c r="D423" s="1" t="s">
        <v>30</v>
      </c>
      <c r="E423" s="1" t="s">
        <v>31</v>
      </c>
      <c r="F423" s="1" t="s">
        <v>19</v>
      </c>
      <c r="G423" s="1" t="s">
        <v>32</v>
      </c>
      <c r="H423" s="1" t="s">
        <v>33</v>
      </c>
      <c r="I423" s="1">
        <v>4</v>
      </c>
      <c r="J423" s="1">
        <v>13.92</v>
      </c>
      <c r="K423" s="1">
        <v>5</v>
      </c>
      <c r="L423" s="1">
        <v>52.9</v>
      </c>
      <c r="M423" s="1">
        <v>10.83</v>
      </c>
      <c r="N423" s="1">
        <v>17.010000000000002</v>
      </c>
      <c r="O423" s="6" t="s">
        <v>34</v>
      </c>
      <c r="P423" s="8">
        <f>Table1[Quantity]*Table1[Unit_Price]</f>
        <v>55.68</v>
      </c>
      <c r="Q423" s="1">
        <f>Table1[Profit]/Table1[Total_Sales]</f>
        <v>0.32155009451795846</v>
      </c>
      <c r="R423" s="14">
        <f>Table1[Total_Sales]+Table1[Shipping_Cost]</f>
        <v>63.73</v>
      </c>
    </row>
    <row r="424" spans="1:18" x14ac:dyDescent="0.35">
      <c r="A424" s="3" t="s">
        <v>915</v>
      </c>
      <c r="B424" s="2">
        <v>45169</v>
      </c>
      <c r="C424" s="1" t="s">
        <v>916</v>
      </c>
      <c r="D424" s="1" t="s">
        <v>49</v>
      </c>
      <c r="E424" s="1" t="s">
        <v>135</v>
      </c>
      <c r="F424" s="1" t="s">
        <v>26</v>
      </c>
      <c r="G424" s="1" t="s">
        <v>20</v>
      </c>
      <c r="H424" s="1" t="s">
        <v>122</v>
      </c>
      <c r="I424" s="1">
        <v>5</v>
      </c>
      <c r="J424" s="1">
        <v>76.290000000000006</v>
      </c>
      <c r="K424" s="1">
        <v>5</v>
      </c>
      <c r="L424" s="1">
        <v>362.38</v>
      </c>
      <c r="M424" s="1">
        <v>19.14</v>
      </c>
      <c r="N424" s="1">
        <v>133.44</v>
      </c>
      <c r="O424" s="6" t="s">
        <v>39</v>
      </c>
      <c r="P424" s="8">
        <f>Table1[Quantity]*Table1[Unit_Price]</f>
        <v>381.45000000000005</v>
      </c>
      <c r="Q424" s="1">
        <f>Table1[Profit]/Table1[Total_Sales]</f>
        <v>0.36823224239748331</v>
      </c>
      <c r="R424" s="14">
        <f>Table1[Total_Sales]+Table1[Shipping_Cost]</f>
        <v>381.52</v>
      </c>
    </row>
    <row r="425" spans="1:18" x14ac:dyDescent="0.35">
      <c r="A425" s="3" t="s">
        <v>917</v>
      </c>
      <c r="B425" s="2">
        <v>45169</v>
      </c>
      <c r="C425" s="1" t="s">
        <v>896</v>
      </c>
      <c r="D425" s="1" t="s">
        <v>17</v>
      </c>
      <c r="E425" s="1" t="s">
        <v>31</v>
      </c>
      <c r="F425" s="1" t="s">
        <v>19</v>
      </c>
      <c r="G425" s="1" t="s">
        <v>20</v>
      </c>
      <c r="H425" s="1" t="s">
        <v>38</v>
      </c>
      <c r="I425" s="1">
        <v>1</v>
      </c>
      <c r="J425" s="1">
        <v>37.56</v>
      </c>
      <c r="K425" s="1">
        <v>5</v>
      </c>
      <c r="L425" s="1">
        <v>35.68</v>
      </c>
      <c r="M425" s="1">
        <v>5.59</v>
      </c>
      <c r="N425" s="1">
        <v>9.43</v>
      </c>
      <c r="O425" s="6" t="s">
        <v>39</v>
      </c>
      <c r="P425" s="8">
        <f>Table1[Quantity]*Table1[Unit_Price]</f>
        <v>37.56</v>
      </c>
      <c r="Q425" s="1">
        <f>Table1[Profit]/Table1[Total_Sales]</f>
        <v>0.26429372197309414</v>
      </c>
      <c r="R425" s="14">
        <f>Table1[Total_Sales]+Table1[Shipping_Cost]</f>
        <v>41.269999999999996</v>
      </c>
    </row>
    <row r="426" spans="1:18" x14ac:dyDescent="0.35">
      <c r="A426" s="3" t="s">
        <v>918</v>
      </c>
      <c r="B426" s="2">
        <v>45169</v>
      </c>
      <c r="C426" s="1" t="s">
        <v>919</v>
      </c>
      <c r="D426" s="1" t="s">
        <v>17</v>
      </c>
      <c r="E426" s="1" t="s">
        <v>109</v>
      </c>
      <c r="F426" s="1" t="s">
        <v>54</v>
      </c>
      <c r="G426" s="1" t="s">
        <v>20</v>
      </c>
      <c r="H426" s="1" t="s">
        <v>175</v>
      </c>
      <c r="I426" s="1">
        <v>3</v>
      </c>
      <c r="J426" s="1">
        <v>20.28</v>
      </c>
      <c r="K426" s="1">
        <v>0</v>
      </c>
      <c r="L426" s="1">
        <v>60.84</v>
      </c>
      <c r="M426" s="1">
        <v>15.83</v>
      </c>
      <c r="N426" s="1">
        <v>11.55</v>
      </c>
      <c r="O426" s="6" t="s">
        <v>34</v>
      </c>
      <c r="P426" s="8">
        <f>Table1[Quantity]*Table1[Unit_Price]</f>
        <v>60.84</v>
      </c>
      <c r="Q426" s="1">
        <f>Table1[Profit]/Table1[Total_Sales]</f>
        <v>0.1898422090729783</v>
      </c>
      <c r="R426" s="14">
        <f>Table1[Total_Sales]+Table1[Shipping_Cost]</f>
        <v>76.67</v>
      </c>
    </row>
    <row r="427" spans="1:18" x14ac:dyDescent="0.35">
      <c r="A427" s="3" t="s">
        <v>920</v>
      </c>
      <c r="B427" s="2">
        <v>45170</v>
      </c>
      <c r="C427" s="1" t="s">
        <v>921</v>
      </c>
      <c r="D427" s="1" t="s">
        <v>49</v>
      </c>
      <c r="E427" s="1" t="s">
        <v>248</v>
      </c>
      <c r="F427" s="1" t="s">
        <v>26</v>
      </c>
      <c r="G427" s="1" t="s">
        <v>32</v>
      </c>
      <c r="H427" s="1" t="s">
        <v>115</v>
      </c>
      <c r="I427" s="1">
        <v>4</v>
      </c>
      <c r="J427" s="1">
        <v>9.0500000000000007</v>
      </c>
      <c r="K427" s="1">
        <v>0</v>
      </c>
      <c r="L427" s="1">
        <v>36.200000000000003</v>
      </c>
      <c r="M427" s="1">
        <v>10.130000000000001</v>
      </c>
      <c r="N427" s="1">
        <v>9.7799999999999994</v>
      </c>
      <c r="O427" s="6" t="s">
        <v>22</v>
      </c>
      <c r="P427" s="8">
        <f>Table1[Quantity]*Table1[Unit_Price]</f>
        <v>36.200000000000003</v>
      </c>
      <c r="Q427" s="1">
        <f>Table1[Profit]/Table1[Total_Sales]</f>
        <v>0.27016574585635356</v>
      </c>
      <c r="R427" s="14">
        <f>Table1[Total_Sales]+Table1[Shipping_Cost]</f>
        <v>46.330000000000005</v>
      </c>
    </row>
    <row r="428" spans="1:18" x14ac:dyDescent="0.35">
      <c r="A428" s="3" t="s">
        <v>922</v>
      </c>
      <c r="B428" s="2">
        <v>45171</v>
      </c>
      <c r="C428" s="1" t="s">
        <v>923</v>
      </c>
      <c r="D428" s="1" t="s">
        <v>30</v>
      </c>
      <c r="E428" s="1" t="s">
        <v>135</v>
      </c>
      <c r="F428" s="1" t="s">
        <v>26</v>
      </c>
      <c r="G428" s="1" t="s">
        <v>20</v>
      </c>
      <c r="H428" s="1" t="s">
        <v>106</v>
      </c>
      <c r="I428" s="1">
        <v>13</v>
      </c>
      <c r="J428" s="1">
        <v>26.62</v>
      </c>
      <c r="K428" s="1">
        <v>15</v>
      </c>
      <c r="L428" s="1">
        <v>294.14999999999998</v>
      </c>
      <c r="M428" s="1">
        <v>30.98</v>
      </c>
      <c r="N428" s="1">
        <v>72.84</v>
      </c>
      <c r="O428" s="6" t="s">
        <v>34</v>
      </c>
      <c r="P428" s="8">
        <f>Table1[Quantity]*Table1[Unit_Price]</f>
        <v>346.06</v>
      </c>
      <c r="Q428" s="1">
        <f>Table1[Profit]/Table1[Total_Sales]</f>
        <v>0.24762876083630803</v>
      </c>
      <c r="R428" s="14">
        <f>Table1[Total_Sales]+Table1[Shipping_Cost]</f>
        <v>325.13</v>
      </c>
    </row>
    <row r="429" spans="1:18" x14ac:dyDescent="0.35">
      <c r="A429" s="3" t="s">
        <v>924</v>
      </c>
      <c r="B429" s="2">
        <v>45172</v>
      </c>
      <c r="C429" s="1" t="s">
        <v>925</v>
      </c>
      <c r="D429" s="1" t="s">
        <v>30</v>
      </c>
      <c r="E429" s="1" t="s">
        <v>18</v>
      </c>
      <c r="F429" s="1" t="s">
        <v>19</v>
      </c>
      <c r="G429" s="1" t="s">
        <v>69</v>
      </c>
      <c r="H429" s="1" t="s">
        <v>160</v>
      </c>
      <c r="I429" s="1">
        <v>1</v>
      </c>
      <c r="J429" s="1">
        <v>17.03</v>
      </c>
      <c r="K429" s="1">
        <v>25</v>
      </c>
      <c r="L429" s="1">
        <v>12.77</v>
      </c>
      <c r="M429" s="1">
        <v>6.99</v>
      </c>
      <c r="N429" s="1">
        <v>-2.74</v>
      </c>
      <c r="O429" s="6" t="s">
        <v>56</v>
      </c>
      <c r="P429" s="8">
        <f>Table1[Quantity]*Table1[Unit_Price]</f>
        <v>17.03</v>
      </c>
      <c r="Q429" s="1">
        <f>Table1[Profit]/Table1[Total_Sales]</f>
        <v>-0.21456538762725139</v>
      </c>
      <c r="R429" s="14">
        <f>Table1[Total_Sales]+Table1[Shipping_Cost]</f>
        <v>19.759999999999998</v>
      </c>
    </row>
    <row r="430" spans="1:18" x14ac:dyDescent="0.35">
      <c r="A430" s="3" t="s">
        <v>926</v>
      </c>
      <c r="B430" s="2">
        <v>45172</v>
      </c>
      <c r="C430" s="1" t="s">
        <v>927</v>
      </c>
      <c r="D430" s="1" t="s">
        <v>30</v>
      </c>
      <c r="E430" s="1" t="s">
        <v>135</v>
      </c>
      <c r="F430" s="1" t="s">
        <v>26</v>
      </c>
      <c r="G430" s="1" t="s">
        <v>42</v>
      </c>
      <c r="H430" s="1" t="s">
        <v>64</v>
      </c>
      <c r="I430" s="1">
        <v>10</v>
      </c>
      <c r="J430" s="1">
        <v>67.099999999999994</v>
      </c>
      <c r="K430" s="1">
        <v>10</v>
      </c>
      <c r="L430" s="1">
        <v>603.9</v>
      </c>
      <c r="M430" s="1">
        <v>14.47</v>
      </c>
      <c r="N430" s="1">
        <v>186.83</v>
      </c>
      <c r="O430" s="6" t="s">
        <v>22</v>
      </c>
      <c r="P430" s="8">
        <f>Table1[Quantity]*Table1[Unit_Price]</f>
        <v>671</v>
      </c>
      <c r="Q430" s="1">
        <f>Table1[Profit]/Table1[Total_Sales]</f>
        <v>0.30937241265110121</v>
      </c>
      <c r="R430" s="14">
        <f>Table1[Total_Sales]+Table1[Shipping_Cost]</f>
        <v>618.37</v>
      </c>
    </row>
    <row r="431" spans="1:18" x14ac:dyDescent="0.35">
      <c r="A431" s="3" t="s">
        <v>928</v>
      </c>
      <c r="B431" s="2">
        <v>45172</v>
      </c>
      <c r="C431" s="1" t="s">
        <v>929</v>
      </c>
      <c r="D431" s="1" t="s">
        <v>30</v>
      </c>
      <c r="E431" s="1" t="s">
        <v>31</v>
      </c>
      <c r="F431" s="1" t="s">
        <v>19</v>
      </c>
      <c r="G431" s="1" t="s">
        <v>42</v>
      </c>
      <c r="H431" s="1" t="s">
        <v>46</v>
      </c>
      <c r="I431" s="1">
        <v>2</v>
      </c>
      <c r="J431" s="1">
        <v>199.2</v>
      </c>
      <c r="K431" s="1">
        <v>10</v>
      </c>
      <c r="L431" s="1">
        <v>358.56</v>
      </c>
      <c r="M431" s="1">
        <v>9.5299999999999994</v>
      </c>
      <c r="N431" s="1">
        <v>109.99</v>
      </c>
      <c r="O431" s="6" t="s">
        <v>34</v>
      </c>
      <c r="P431" s="8">
        <f>Table1[Quantity]*Table1[Unit_Price]</f>
        <v>398.4</v>
      </c>
      <c r="Q431" s="1">
        <f>Table1[Profit]/Table1[Total_Sales]</f>
        <v>0.30675479696564034</v>
      </c>
      <c r="R431" s="14">
        <f>Table1[Total_Sales]+Table1[Shipping_Cost]</f>
        <v>368.09</v>
      </c>
    </row>
    <row r="432" spans="1:18" x14ac:dyDescent="0.35">
      <c r="A432" s="3" t="s">
        <v>930</v>
      </c>
      <c r="B432" s="2">
        <v>45173</v>
      </c>
      <c r="C432" s="1" t="s">
        <v>931</v>
      </c>
      <c r="D432" s="1" t="s">
        <v>49</v>
      </c>
      <c r="E432" s="1" t="s">
        <v>92</v>
      </c>
      <c r="F432" s="1" t="s">
        <v>60</v>
      </c>
      <c r="G432" s="1" t="s">
        <v>32</v>
      </c>
      <c r="H432" s="1" t="s">
        <v>348</v>
      </c>
      <c r="I432" s="1">
        <v>1</v>
      </c>
      <c r="J432" s="1">
        <v>7.16</v>
      </c>
      <c r="K432" s="1">
        <v>10</v>
      </c>
      <c r="L432" s="1">
        <v>6.44</v>
      </c>
      <c r="M432" s="1">
        <v>10.26</v>
      </c>
      <c r="N432" s="1">
        <v>-7.04</v>
      </c>
      <c r="O432" s="6" t="s">
        <v>34</v>
      </c>
      <c r="P432" s="8">
        <f>Table1[Quantity]*Table1[Unit_Price]</f>
        <v>7.16</v>
      </c>
      <c r="Q432" s="1">
        <f>Table1[Profit]/Table1[Total_Sales]</f>
        <v>-1.0931677018633539</v>
      </c>
      <c r="R432" s="14">
        <f>Table1[Total_Sales]+Table1[Shipping_Cost]</f>
        <v>16.7</v>
      </c>
    </row>
    <row r="433" spans="1:18" x14ac:dyDescent="0.35">
      <c r="A433" s="3" t="s">
        <v>932</v>
      </c>
      <c r="B433" s="2">
        <v>45173</v>
      </c>
      <c r="C433" s="1" t="s">
        <v>423</v>
      </c>
      <c r="D433" s="1" t="s">
        <v>30</v>
      </c>
      <c r="E433" s="1" t="s">
        <v>166</v>
      </c>
      <c r="F433" s="1" t="s">
        <v>60</v>
      </c>
      <c r="G433" s="1" t="s">
        <v>32</v>
      </c>
      <c r="H433" s="1" t="s">
        <v>33</v>
      </c>
      <c r="I433" s="1">
        <v>1</v>
      </c>
      <c r="J433" s="1">
        <v>12.17</v>
      </c>
      <c r="K433" s="1">
        <v>15</v>
      </c>
      <c r="L433" s="1">
        <v>10.34</v>
      </c>
      <c r="M433" s="1">
        <v>11.21</v>
      </c>
      <c r="N433" s="1">
        <v>-6.35</v>
      </c>
      <c r="O433" s="6" t="s">
        <v>56</v>
      </c>
      <c r="P433" s="8">
        <f>Table1[Quantity]*Table1[Unit_Price]</f>
        <v>12.17</v>
      </c>
      <c r="Q433" s="1">
        <f>Table1[Profit]/Table1[Total_Sales]</f>
        <v>-0.61411992263056092</v>
      </c>
      <c r="R433" s="14">
        <f>Table1[Total_Sales]+Table1[Shipping_Cost]</f>
        <v>21.55</v>
      </c>
    </row>
    <row r="434" spans="1:18" x14ac:dyDescent="0.35">
      <c r="A434" s="3" t="s">
        <v>933</v>
      </c>
      <c r="B434" s="2">
        <v>45174</v>
      </c>
      <c r="C434" s="1" t="s">
        <v>934</v>
      </c>
      <c r="D434" s="1" t="s">
        <v>30</v>
      </c>
      <c r="E434" s="1" t="s">
        <v>18</v>
      </c>
      <c r="F434" s="1" t="s">
        <v>19</v>
      </c>
      <c r="G434" s="1" t="s">
        <v>32</v>
      </c>
      <c r="H434" s="1" t="s">
        <v>101</v>
      </c>
      <c r="I434" s="1">
        <v>5</v>
      </c>
      <c r="J434" s="1">
        <v>19.47</v>
      </c>
      <c r="K434" s="1">
        <v>5</v>
      </c>
      <c r="L434" s="1">
        <v>92.48</v>
      </c>
      <c r="M434" s="1">
        <v>11.28</v>
      </c>
      <c r="N434" s="1">
        <v>37.39</v>
      </c>
      <c r="O434" s="6" t="s">
        <v>22</v>
      </c>
      <c r="P434" s="8">
        <f>Table1[Quantity]*Table1[Unit_Price]</f>
        <v>97.35</v>
      </c>
      <c r="Q434" s="1">
        <f>Table1[Profit]/Table1[Total_Sales]</f>
        <v>0.40430363321799306</v>
      </c>
      <c r="R434" s="14">
        <f>Table1[Total_Sales]+Table1[Shipping_Cost]</f>
        <v>103.76</v>
      </c>
    </row>
    <row r="435" spans="1:18" x14ac:dyDescent="0.35">
      <c r="A435" s="3" t="s">
        <v>935</v>
      </c>
      <c r="B435" s="2">
        <v>45174</v>
      </c>
      <c r="C435" s="1" t="s">
        <v>750</v>
      </c>
      <c r="D435" s="1" t="s">
        <v>30</v>
      </c>
      <c r="E435" s="1" t="s">
        <v>76</v>
      </c>
      <c r="F435" s="1" t="s">
        <v>26</v>
      </c>
      <c r="G435" s="1" t="s">
        <v>69</v>
      </c>
      <c r="H435" s="1" t="s">
        <v>196</v>
      </c>
      <c r="I435" s="1">
        <v>2</v>
      </c>
      <c r="J435" s="1">
        <v>14.43</v>
      </c>
      <c r="K435" s="1">
        <v>10</v>
      </c>
      <c r="L435" s="1">
        <v>25.97</v>
      </c>
      <c r="M435" s="1">
        <v>9.92</v>
      </c>
      <c r="N435" s="1">
        <v>1.62</v>
      </c>
      <c r="O435" s="6" t="s">
        <v>39</v>
      </c>
      <c r="P435" s="8">
        <f>Table1[Quantity]*Table1[Unit_Price]</f>
        <v>28.86</v>
      </c>
      <c r="Q435" s="1">
        <f>Table1[Profit]/Table1[Total_Sales]</f>
        <v>6.2379668848671549E-2</v>
      </c>
      <c r="R435" s="14">
        <f>Table1[Total_Sales]+Table1[Shipping_Cost]</f>
        <v>35.89</v>
      </c>
    </row>
    <row r="436" spans="1:18" x14ac:dyDescent="0.35">
      <c r="A436" s="3" t="s">
        <v>936</v>
      </c>
      <c r="B436" s="2">
        <v>45175</v>
      </c>
      <c r="C436" s="1" t="s">
        <v>937</v>
      </c>
      <c r="D436" s="1" t="s">
        <v>30</v>
      </c>
      <c r="E436" s="1" t="s">
        <v>92</v>
      </c>
      <c r="F436" s="1" t="s">
        <v>60</v>
      </c>
      <c r="G436" s="1" t="s">
        <v>32</v>
      </c>
      <c r="H436" s="1" t="s">
        <v>101</v>
      </c>
      <c r="I436" s="1">
        <v>2</v>
      </c>
      <c r="J436" s="1">
        <v>11.34</v>
      </c>
      <c r="K436" s="1">
        <v>0</v>
      </c>
      <c r="L436" s="1">
        <v>22.68</v>
      </c>
      <c r="M436" s="1">
        <v>13.99</v>
      </c>
      <c r="N436" s="1">
        <v>-1.52</v>
      </c>
      <c r="O436" s="6" t="s">
        <v>39</v>
      </c>
      <c r="P436" s="8">
        <f>Table1[Quantity]*Table1[Unit_Price]</f>
        <v>22.68</v>
      </c>
      <c r="Q436" s="1">
        <f>Table1[Profit]/Table1[Total_Sales]</f>
        <v>-6.7019400352733682E-2</v>
      </c>
      <c r="R436" s="14">
        <f>Table1[Total_Sales]+Table1[Shipping_Cost]</f>
        <v>36.67</v>
      </c>
    </row>
    <row r="437" spans="1:18" x14ac:dyDescent="0.35">
      <c r="A437" s="3" t="s">
        <v>938</v>
      </c>
      <c r="B437" s="2">
        <v>45175</v>
      </c>
      <c r="C437" s="1" t="s">
        <v>939</v>
      </c>
      <c r="D437" s="1" t="s">
        <v>17</v>
      </c>
      <c r="E437" s="1" t="s">
        <v>31</v>
      </c>
      <c r="F437" s="1" t="s">
        <v>19</v>
      </c>
      <c r="G437" s="1" t="s">
        <v>20</v>
      </c>
      <c r="H437" s="1" t="s">
        <v>27</v>
      </c>
      <c r="I437" s="1">
        <v>1</v>
      </c>
      <c r="J437" s="1">
        <v>152.34</v>
      </c>
      <c r="K437" s="1">
        <v>5</v>
      </c>
      <c r="L437" s="1">
        <v>144.72</v>
      </c>
      <c r="M437" s="1">
        <v>7.22</v>
      </c>
      <c r="N437" s="1">
        <v>53.71</v>
      </c>
      <c r="O437" s="6" t="s">
        <v>34</v>
      </c>
      <c r="P437" s="8">
        <f>Table1[Quantity]*Table1[Unit_Price]</f>
        <v>152.34</v>
      </c>
      <c r="Q437" s="1">
        <f>Table1[Profit]/Table1[Total_Sales]</f>
        <v>0.371130458817026</v>
      </c>
      <c r="R437" s="14">
        <f>Table1[Total_Sales]+Table1[Shipping_Cost]</f>
        <v>151.94</v>
      </c>
    </row>
    <row r="438" spans="1:18" x14ac:dyDescent="0.35">
      <c r="A438" s="3" t="s">
        <v>940</v>
      </c>
      <c r="B438" s="2">
        <v>45175</v>
      </c>
      <c r="C438" s="1" t="s">
        <v>542</v>
      </c>
      <c r="D438" s="1" t="s">
        <v>30</v>
      </c>
      <c r="E438" s="1" t="s">
        <v>138</v>
      </c>
      <c r="F438" s="1" t="s">
        <v>54</v>
      </c>
      <c r="G438" s="1" t="s">
        <v>20</v>
      </c>
      <c r="H438" s="1" t="s">
        <v>106</v>
      </c>
      <c r="I438" s="1">
        <v>1</v>
      </c>
      <c r="J438" s="1">
        <v>27.11</v>
      </c>
      <c r="K438" s="1">
        <v>5</v>
      </c>
      <c r="L438" s="1">
        <v>25.75</v>
      </c>
      <c r="M438" s="1">
        <v>13.15</v>
      </c>
      <c r="N438" s="1">
        <v>-2.31</v>
      </c>
      <c r="O438" s="6" t="s">
        <v>56</v>
      </c>
      <c r="P438" s="8">
        <f>Table1[Quantity]*Table1[Unit_Price]</f>
        <v>27.11</v>
      </c>
      <c r="Q438" s="1">
        <f>Table1[Profit]/Table1[Total_Sales]</f>
        <v>-8.9708737864077667E-2</v>
      </c>
      <c r="R438" s="14">
        <f>Table1[Total_Sales]+Table1[Shipping_Cost]</f>
        <v>38.9</v>
      </c>
    </row>
    <row r="439" spans="1:18" x14ac:dyDescent="0.35">
      <c r="A439" s="3" t="s">
        <v>941</v>
      </c>
      <c r="B439" s="2">
        <v>45175</v>
      </c>
      <c r="C439" s="1" t="s">
        <v>942</v>
      </c>
      <c r="D439" s="1" t="s">
        <v>49</v>
      </c>
      <c r="E439" s="1" t="s">
        <v>169</v>
      </c>
      <c r="F439" s="1" t="s">
        <v>68</v>
      </c>
      <c r="G439" s="1" t="s">
        <v>42</v>
      </c>
      <c r="H439" s="1" t="s">
        <v>93</v>
      </c>
      <c r="I439" s="1">
        <v>2</v>
      </c>
      <c r="J439" s="1">
        <v>426.27</v>
      </c>
      <c r="K439" s="1">
        <v>10</v>
      </c>
      <c r="L439" s="1">
        <v>767.29</v>
      </c>
      <c r="M439" s="1">
        <v>12.53</v>
      </c>
      <c r="N439" s="1">
        <v>243.24</v>
      </c>
      <c r="O439" s="6" t="s">
        <v>34</v>
      </c>
      <c r="P439" s="8">
        <f>Table1[Quantity]*Table1[Unit_Price]</f>
        <v>852.54</v>
      </c>
      <c r="Q439" s="1">
        <f>Table1[Profit]/Table1[Total_Sales]</f>
        <v>0.31701182082393881</v>
      </c>
      <c r="R439" s="14">
        <f>Table1[Total_Sales]+Table1[Shipping_Cost]</f>
        <v>779.81999999999994</v>
      </c>
    </row>
    <row r="440" spans="1:18" x14ac:dyDescent="0.35">
      <c r="A440" s="3" t="s">
        <v>943</v>
      </c>
      <c r="B440" s="2">
        <v>45175</v>
      </c>
      <c r="C440" s="1" t="s">
        <v>944</v>
      </c>
      <c r="D440" s="1" t="s">
        <v>30</v>
      </c>
      <c r="E440" s="1" t="s">
        <v>18</v>
      </c>
      <c r="F440" s="1" t="s">
        <v>19</v>
      </c>
      <c r="G440" s="1" t="s">
        <v>69</v>
      </c>
      <c r="H440" s="1" t="s">
        <v>79</v>
      </c>
      <c r="I440" s="1">
        <v>1</v>
      </c>
      <c r="J440" s="1">
        <v>42.55</v>
      </c>
      <c r="K440" s="1">
        <v>5</v>
      </c>
      <c r="L440" s="1">
        <v>40.42</v>
      </c>
      <c r="M440" s="1">
        <v>7.38</v>
      </c>
      <c r="N440" s="1">
        <v>11.77</v>
      </c>
      <c r="O440" s="6" t="s">
        <v>34</v>
      </c>
      <c r="P440" s="8">
        <f>Table1[Quantity]*Table1[Unit_Price]</f>
        <v>42.55</v>
      </c>
      <c r="Q440" s="1">
        <f>Table1[Profit]/Table1[Total_Sales]</f>
        <v>0.29119247897080652</v>
      </c>
      <c r="R440" s="14">
        <f>Table1[Total_Sales]+Table1[Shipping_Cost]</f>
        <v>47.800000000000004</v>
      </c>
    </row>
    <row r="441" spans="1:18" x14ac:dyDescent="0.35">
      <c r="A441" s="3" t="s">
        <v>945</v>
      </c>
      <c r="B441" s="2">
        <v>45176</v>
      </c>
      <c r="C441" s="1" t="s">
        <v>946</v>
      </c>
      <c r="D441" s="1" t="s">
        <v>49</v>
      </c>
      <c r="E441" s="1" t="s">
        <v>85</v>
      </c>
      <c r="F441" s="1" t="s">
        <v>60</v>
      </c>
      <c r="G441" s="1" t="s">
        <v>20</v>
      </c>
      <c r="H441" s="1" t="s">
        <v>170</v>
      </c>
      <c r="I441" s="1">
        <v>5</v>
      </c>
      <c r="J441" s="1">
        <v>28.98</v>
      </c>
      <c r="K441" s="1">
        <v>0</v>
      </c>
      <c r="L441" s="1">
        <v>144.9</v>
      </c>
      <c r="M441" s="1">
        <v>12.42</v>
      </c>
      <c r="N441" s="1">
        <v>52.78</v>
      </c>
      <c r="O441" s="6" t="s">
        <v>22</v>
      </c>
      <c r="P441" s="8">
        <f>Table1[Quantity]*Table1[Unit_Price]</f>
        <v>144.9</v>
      </c>
      <c r="Q441" s="1">
        <f>Table1[Profit]/Table1[Total_Sales]</f>
        <v>0.36425120772946862</v>
      </c>
      <c r="R441" s="14">
        <f>Table1[Total_Sales]+Table1[Shipping_Cost]</f>
        <v>157.32</v>
      </c>
    </row>
    <row r="442" spans="1:18" x14ac:dyDescent="0.35">
      <c r="A442" s="3" t="s">
        <v>947</v>
      </c>
      <c r="B442" s="2">
        <v>45177</v>
      </c>
      <c r="C442" s="1" t="s">
        <v>948</v>
      </c>
      <c r="D442" s="1" t="s">
        <v>30</v>
      </c>
      <c r="E442" s="1" t="s">
        <v>18</v>
      </c>
      <c r="F442" s="1" t="s">
        <v>19</v>
      </c>
      <c r="G442" s="1" t="s">
        <v>69</v>
      </c>
      <c r="H442" s="1" t="s">
        <v>139</v>
      </c>
      <c r="I442" s="1">
        <v>1</v>
      </c>
      <c r="J442" s="1">
        <v>79.27</v>
      </c>
      <c r="K442" s="1">
        <v>10</v>
      </c>
      <c r="L442" s="1">
        <v>71.34</v>
      </c>
      <c r="M442" s="1">
        <v>6.56</v>
      </c>
      <c r="N442" s="1">
        <v>25.15</v>
      </c>
      <c r="O442" s="6" t="s">
        <v>34</v>
      </c>
      <c r="P442" s="8">
        <f>Table1[Quantity]*Table1[Unit_Price]</f>
        <v>79.27</v>
      </c>
      <c r="Q442" s="1">
        <f>Table1[Profit]/Table1[Total_Sales]</f>
        <v>0.35253714606111575</v>
      </c>
      <c r="R442" s="14">
        <f>Table1[Total_Sales]+Table1[Shipping_Cost]</f>
        <v>77.900000000000006</v>
      </c>
    </row>
    <row r="443" spans="1:18" x14ac:dyDescent="0.35">
      <c r="A443" s="3" t="s">
        <v>949</v>
      </c>
      <c r="B443" s="2">
        <v>45177</v>
      </c>
      <c r="C443" s="1" t="s">
        <v>950</v>
      </c>
      <c r="D443" s="1" t="s">
        <v>30</v>
      </c>
      <c r="E443" s="1" t="s">
        <v>18</v>
      </c>
      <c r="F443" s="1" t="s">
        <v>19</v>
      </c>
      <c r="G443" s="1" t="s">
        <v>42</v>
      </c>
      <c r="H443" s="1" t="s">
        <v>234</v>
      </c>
      <c r="I443" s="1">
        <v>6</v>
      </c>
      <c r="J443" s="1">
        <v>47.47</v>
      </c>
      <c r="K443" s="1">
        <v>0</v>
      </c>
      <c r="L443" s="1">
        <v>284.82</v>
      </c>
      <c r="M443" s="1">
        <v>11.93</v>
      </c>
      <c r="N443" s="1">
        <v>102</v>
      </c>
      <c r="O443" s="6" t="s">
        <v>34</v>
      </c>
      <c r="P443" s="8">
        <f>Table1[Quantity]*Table1[Unit_Price]</f>
        <v>284.82</v>
      </c>
      <c r="Q443" s="1">
        <f>Table1[Profit]/Table1[Total_Sales]</f>
        <v>0.35812091847482619</v>
      </c>
      <c r="R443" s="14">
        <f>Table1[Total_Sales]+Table1[Shipping_Cost]</f>
        <v>296.75</v>
      </c>
    </row>
    <row r="444" spans="1:18" x14ac:dyDescent="0.35">
      <c r="A444" s="3" t="s">
        <v>951</v>
      </c>
      <c r="B444" s="2">
        <v>45177</v>
      </c>
      <c r="C444" s="1" t="s">
        <v>952</v>
      </c>
      <c r="D444" s="1" t="s">
        <v>49</v>
      </c>
      <c r="E444" s="1" t="s">
        <v>92</v>
      </c>
      <c r="F444" s="1" t="s">
        <v>60</v>
      </c>
      <c r="G444" s="1" t="s">
        <v>32</v>
      </c>
      <c r="H444" s="1" t="s">
        <v>73</v>
      </c>
      <c r="I444" s="1">
        <v>4</v>
      </c>
      <c r="J444" s="1">
        <v>4.1900000000000004</v>
      </c>
      <c r="K444" s="1">
        <v>0</v>
      </c>
      <c r="L444" s="1">
        <v>16.760000000000002</v>
      </c>
      <c r="M444" s="1">
        <v>13.27</v>
      </c>
      <c r="N444" s="1">
        <v>-4.05</v>
      </c>
      <c r="O444" s="6" t="s">
        <v>34</v>
      </c>
      <c r="P444" s="8">
        <f>Table1[Quantity]*Table1[Unit_Price]</f>
        <v>16.760000000000002</v>
      </c>
      <c r="Q444" s="1">
        <f>Table1[Profit]/Table1[Total_Sales]</f>
        <v>-0.24164677804295939</v>
      </c>
      <c r="R444" s="14">
        <f>Table1[Total_Sales]+Table1[Shipping_Cost]</f>
        <v>30.03</v>
      </c>
    </row>
    <row r="445" spans="1:18" x14ac:dyDescent="0.35">
      <c r="A445" s="3" t="s">
        <v>953</v>
      </c>
      <c r="B445" s="2">
        <v>45178</v>
      </c>
      <c r="C445" s="1" t="s">
        <v>954</v>
      </c>
      <c r="D445" s="1" t="s">
        <v>30</v>
      </c>
      <c r="E445" s="1" t="s">
        <v>53</v>
      </c>
      <c r="F445" s="1" t="s">
        <v>54</v>
      </c>
      <c r="G445" s="1" t="s">
        <v>20</v>
      </c>
      <c r="H445" s="1" t="s">
        <v>106</v>
      </c>
      <c r="I445" s="1">
        <v>2</v>
      </c>
      <c r="J445" s="1">
        <v>61.26</v>
      </c>
      <c r="K445" s="1">
        <v>10</v>
      </c>
      <c r="L445" s="1">
        <v>110.27</v>
      </c>
      <c r="M445" s="1">
        <v>14.33</v>
      </c>
      <c r="N445" s="1">
        <v>28.55</v>
      </c>
      <c r="O445" s="6" t="s">
        <v>34</v>
      </c>
      <c r="P445" s="8">
        <f>Table1[Quantity]*Table1[Unit_Price]</f>
        <v>122.52</v>
      </c>
      <c r="Q445" s="1">
        <f>Table1[Profit]/Table1[Total_Sales]</f>
        <v>0.25890994830869685</v>
      </c>
      <c r="R445" s="14">
        <f>Table1[Total_Sales]+Table1[Shipping_Cost]</f>
        <v>124.6</v>
      </c>
    </row>
    <row r="446" spans="1:18" x14ac:dyDescent="0.35">
      <c r="A446" s="3" t="s">
        <v>955</v>
      </c>
      <c r="B446" s="2">
        <v>45178</v>
      </c>
      <c r="C446" s="1" t="s">
        <v>956</v>
      </c>
      <c r="D446" s="1" t="s">
        <v>30</v>
      </c>
      <c r="E446" s="1" t="s">
        <v>31</v>
      </c>
      <c r="F446" s="1" t="s">
        <v>19</v>
      </c>
      <c r="G446" s="1" t="s">
        <v>32</v>
      </c>
      <c r="H446" s="1" t="s">
        <v>33</v>
      </c>
      <c r="I446" s="1">
        <v>2</v>
      </c>
      <c r="J446" s="1">
        <v>13.62</v>
      </c>
      <c r="K446" s="1">
        <v>15</v>
      </c>
      <c r="L446" s="1">
        <v>23.15</v>
      </c>
      <c r="M446" s="1">
        <v>7.75</v>
      </c>
      <c r="N446" s="1">
        <v>3.14</v>
      </c>
      <c r="O446" s="6" t="s">
        <v>39</v>
      </c>
      <c r="P446" s="8">
        <f>Table1[Quantity]*Table1[Unit_Price]</f>
        <v>27.24</v>
      </c>
      <c r="Q446" s="1">
        <f>Table1[Profit]/Table1[Total_Sales]</f>
        <v>0.13563714902807777</v>
      </c>
      <c r="R446" s="14">
        <f>Table1[Total_Sales]+Table1[Shipping_Cost]</f>
        <v>30.9</v>
      </c>
    </row>
    <row r="447" spans="1:18" x14ac:dyDescent="0.35">
      <c r="A447" s="3" t="s">
        <v>957</v>
      </c>
      <c r="B447" s="2">
        <v>45179</v>
      </c>
      <c r="C447" s="1" t="s">
        <v>958</v>
      </c>
      <c r="D447" s="1" t="s">
        <v>17</v>
      </c>
      <c r="E447" s="1" t="s">
        <v>31</v>
      </c>
      <c r="F447" s="1" t="s">
        <v>19</v>
      </c>
      <c r="G447" s="1" t="s">
        <v>20</v>
      </c>
      <c r="H447" s="1" t="s">
        <v>21</v>
      </c>
      <c r="I447" s="1">
        <v>2</v>
      </c>
      <c r="J447" s="1">
        <v>66.08</v>
      </c>
      <c r="K447" s="1">
        <v>10</v>
      </c>
      <c r="L447" s="1">
        <v>118.94</v>
      </c>
      <c r="M447" s="1">
        <v>9.35</v>
      </c>
      <c r="N447" s="1">
        <v>36.9</v>
      </c>
      <c r="O447" s="6" t="s">
        <v>34</v>
      </c>
      <c r="P447" s="8">
        <f>Table1[Quantity]*Table1[Unit_Price]</f>
        <v>132.16</v>
      </c>
      <c r="Q447" s="1">
        <f>Table1[Profit]/Table1[Total_Sales]</f>
        <v>0.31024045737346562</v>
      </c>
      <c r="R447" s="14">
        <f>Table1[Total_Sales]+Table1[Shipping_Cost]</f>
        <v>128.29</v>
      </c>
    </row>
    <row r="448" spans="1:18" x14ac:dyDescent="0.35">
      <c r="A448" s="3" t="s">
        <v>959</v>
      </c>
      <c r="B448" s="2">
        <v>45179</v>
      </c>
      <c r="C448" s="1" t="s">
        <v>960</v>
      </c>
      <c r="D448" s="1" t="s">
        <v>30</v>
      </c>
      <c r="E448" s="1" t="s">
        <v>37</v>
      </c>
      <c r="F448" s="1" t="s">
        <v>26</v>
      </c>
      <c r="G448" s="1" t="s">
        <v>20</v>
      </c>
      <c r="H448" s="1" t="s">
        <v>27</v>
      </c>
      <c r="I448" s="1">
        <v>1</v>
      </c>
      <c r="J448" s="1">
        <v>77.47</v>
      </c>
      <c r="K448" s="1">
        <v>0</v>
      </c>
      <c r="L448" s="1">
        <v>77.47</v>
      </c>
      <c r="M448" s="1">
        <v>9.23</v>
      </c>
      <c r="N448" s="1">
        <v>25.63</v>
      </c>
      <c r="O448" s="6" t="s">
        <v>56</v>
      </c>
      <c r="P448" s="8">
        <f>Table1[Quantity]*Table1[Unit_Price]</f>
        <v>77.47</v>
      </c>
      <c r="Q448" s="1">
        <f>Table1[Profit]/Table1[Total_Sales]</f>
        <v>0.33083774364270041</v>
      </c>
      <c r="R448" s="14">
        <f>Table1[Total_Sales]+Table1[Shipping_Cost]</f>
        <v>86.7</v>
      </c>
    </row>
    <row r="449" spans="1:18" x14ac:dyDescent="0.35">
      <c r="A449" s="3" t="s">
        <v>961</v>
      </c>
      <c r="B449" s="2">
        <v>45179</v>
      </c>
      <c r="C449" s="1" t="s">
        <v>962</v>
      </c>
      <c r="D449" s="1" t="s">
        <v>17</v>
      </c>
      <c r="E449" s="1" t="s">
        <v>37</v>
      </c>
      <c r="F449" s="1" t="s">
        <v>26</v>
      </c>
      <c r="G449" s="1" t="s">
        <v>42</v>
      </c>
      <c r="H449" s="1" t="s">
        <v>371</v>
      </c>
      <c r="I449" s="1">
        <v>10</v>
      </c>
      <c r="J449" s="1">
        <v>83.62</v>
      </c>
      <c r="K449" s="1">
        <v>20</v>
      </c>
      <c r="L449" s="1">
        <v>668.96</v>
      </c>
      <c r="M449" s="1">
        <v>31.2</v>
      </c>
      <c r="N449" s="1">
        <v>136.04</v>
      </c>
      <c r="O449" s="6" t="s">
        <v>22</v>
      </c>
      <c r="P449" s="8">
        <f>Table1[Quantity]*Table1[Unit_Price]</f>
        <v>836.2</v>
      </c>
      <c r="Q449" s="1">
        <f>Table1[Profit]/Table1[Total_Sales]</f>
        <v>0.20336044008610377</v>
      </c>
      <c r="R449" s="14">
        <f>Table1[Total_Sales]+Table1[Shipping_Cost]</f>
        <v>700.16000000000008</v>
      </c>
    </row>
    <row r="450" spans="1:18" x14ac:dyDescent="0.35">
      <c r="A450" s="3" t="s">
        <v>963</v>
      </c>
      <c r="B450" s="2">
        <v>45180</v>
      </c>
      <c r="C450" s="1" t="s">
        <v>964</v>
      </c>
      <c r="D450" s="1" t="s">
        <v>30</v>
      </c>
      <c r="E450" s="1" t="s">
        <v>59</v>
      </c>
      <c r="F450" s="1" t="s">
        <v>60</v>
      </c>
      <c r="G450" s="1" t="s">
        <v>20</v>
      </c>
      <c r="H450" s="1" t="s">
        <v>264</v>
      </c>
      <c r="I450" s="1">
        <v>1</v>
      </c>
      <c r="J450" s="1">
        <v>51.7</v>
      </c>
      <c r="K450" s="1">
        <v>10</v>
      </c>
      <c r="L450" s="1">
        <v>46.53</v>
      </c>
      <c r="M450" s="1">
        <v>10.95</v>
      </c>
      <c r="N450" s="1">
        <v>7.14</v>
      </c>
      <c r="O450" s="6" t="s">
        <v>22</v>
      </c>
      <c r="P450" s="8">
        <f>Table1[Quantity]*Table1[Unit_Price]</f>
        <v>51.7</v>
      </c>
      <c r="Q450" s="1">
        <f>Table1[Profit]/Table1[Total_Sales]</f>
        <v>0.15344938749194068</v>
      </c>
      <c r="R450" s="14">
        <f>Table1[Total_Sales]+Table1[Shipping_Cost]</f>
        <v>57.480000000000004</v>
      </c>
    </row>
    <row r="451" spans="1:18" x14ac:dyDescent="0.35">
      <c r="A451" s="3" t="s">
        <v>965</v>
      </c>
      <c r="B451" s="2">
        <v>45180</v>
      </c>
      <c r="C451" s="1" t="s">
        <v>966</v>
      </c>
      <c r="D451" s="1" t="s">
        <v>30</v>
      </c>
      <c r="E451" s="1" t="s">
        <v>166</v>
      </c>
      <c r="F451" s="1" t="s">
        <v>60</v>
      </c>
      <c r="G451" s="1" t="s">
        <v>32</v>
      </c>
      <c r="H451" s="1" t="s">
        <v>149</v>
      </c>
      <c r="I451" s="1">
        <v>4</v>
      </c>
      <c r="J451" s="1">
        <v>7.5</v>
      </c>
      <c r="K451" s="1">
        <v>10</v>
      </c>
      <c r="L451" s="1">
        <v>27</v>
      </c>
      <c r="M451" s="1">
        <v>11.42</v>
      </c>
      <c r="N451" s="1">
        <v>2.08</v>
      </c>
      <c r="O451" s="6" t="s">
        <v>39</v>
      </c>
      <c r="P451" s="8">
        <f>Table1[Quantity]*Table1[Unit_Price]</f>
        <v>30</v>
      </c>
      <c r="Q451" s="1">
        <f>Table1[Profit]/Table1[Total_Sales]</f>
        <v>7.7037037037037043E-2</v>
      </c>
      <c r="R451" s="14">
        <f>Table1[Total_Sales]+Table1[Shipping_Cost]</f>
        <v>38.42</v>
      </c>
    </row>
    <row r="452" spans="1:18" x14ac:dyDescent="0.35">
      <c r="A452" s="3" t="s">
        <v>967</v>
      </c>
      <c r="B452" s="2">
        <v>45180</v>
      </c>
      <c r="C452" s="1" t="s">
        <v>968</v>
      </c>
      <c r="D452" s="1" t="s">
        <v>49</v>
      </c>
      <c r="E452" s="1" t="s">
        <v>148</v>
      </c>
      <c r="F452" s="1" t="s">
        <v>60</v>
      </c>
      <c r="G452" s="1" t="s">
        <v>20</v>
      </c>
      <c r="H452" s="1" t="s">
        <v>122</v>
      </c>
      <c r="I452" s="1">
        <v>1</v>
      </c>
      <c r="J452" s="1">
        <v>149.93</v>
      </c>
      <c r="K452" s="1">
        <v>10</v>
      </c>
      <c r="L452" s="1">
        <v>134.94</v>
      </c>
      <c r="M452" s="1">
        <v>9.7899999999999991</v>
      </c>
      <c r="N452" s="1">
        <v>42.69</v>
      </c>
      <c r="O452" s="6" t="s">
        <v>34</v>
      </c>
      <c r="P452" s="8">
        <f>Table1[Quantity]*Table1[Unit_Price]</f>
        <v>149.93</v>
      </c>
      <c r="Q452" s="1">
        <f>Table1[Profit]/Table1[Total_Sales]</f>
        <v>0.31636282792352155</v>
      </c>
      <c r="R452" s="14">
        <f>Table1[Total_Sales]+Table1[Shipping_Cost]</f>
        <v>144.72999999999999</v>
      </c>
    </row>
    <row r="453" spans="1:18" x14ac:dyDescent="0.35">
      <c r="A453" s="3" t="s">
        <v>969</v>
      </c>
      <c r="B453" s="2">
        <v>45182</v>
      </c>
      <c r="C453" s="1" t="s">
        <v>970</v>
      </c>
      <c r="D453" s="1" t="s">
        <v>17</v>
      </c>
      <c r="E453" s="1" t="s">
        <v>18</v>
      </c>
      <c r="F453" s="1" t="s">
        <v>19</v>
      </c>
      <c r="G453" s="1" t="s">
        <v>42</v>
      </c>
      <c r="H453" s="1" t="s">
        <v>294</v>
      </c>
      <c r="I453" s="1">
        <v>5</v>
      </c>
      <c r="J453" s="1">
        <v>107.46</v>
      </c>
      <c r="K453" s="1">
        <v>15</v>
      </c>
      <c r="L453" s="1">
        <v>456.7</v>
      </c>
      <c r="M453" s="1">
        <v>9.9</v>
      </c>
      <c r="N453" s="1">
        <v>124.42</v>
      </c>
      <c r="O453" s="6" t="s">
        <v>39</v>
      </c>
      <c r="P453" s="8">
        <f>Table1[Quantity]*Table1[Unit_Price]</f>
        <v>537.29999999999995</v>
      </c>
      <c r="Q453" s="1">
        <f>Table1[Profit]/Table1[Total_Sales]</f>
        <v>0.27243266914823738</v>
      </c>
      <c r="R453" s="14">
        <f>Table1[Total_Sales]+Table1[Shipping_Cost]</f>
        <v>466.59999999999997</v>
      </c>
    </row>
    <row r="454" spans="1:18" x14ac:dyDescent="0.35">
      <c r="A454" s="3" t="s">
        <v>971</v>
      </c>
      <c r="B454" s="2">
        <v>45183</v>
      </c>
      <c r="C454" s="1" t="s">
        <v>972</v>
      </c>
      <c r="D454" s="1" t="s">
        <v>17</v>
      </c>
      <c r="E454" s="1" t="s">
        <v>31</v>
      </c>
      <c r="F454" s="1" t="s">
        <v>19</v>
      </c>
      <c r="G454" s="1" t="s">
        <v>42</v>
      </c>
      <c r="H454" s="1" t="s">
        <v>234</v>
      </c>
      <c r="I454" s="1">
        <v>14</v>
      </c>
      <c r="J454" s="1">
        <v>61.54</v>
      </c>
      <c r="K454" s="1">
        <v>30</v>
      </c>
      <c r="L454" s="1">
        <v>603.09</v>
      </c>
      <c r="M454" s="1">
        <v>33.58</v>
      </c>
      <c r="N454" s="1">
        <v>52.57</v>
      </c>
      <c r="O454" s="6" t="s">
        <v>34</v>
      </c>
      <c r="P454" s="8">
        <f>Table1[Quantity]*Table1[Unit_Price]</f>
        <v>861.56</v>
      </c>
      <c r="Q454" s="1">
        <f>Table1[Profit]/Table1[Total_Sales]</f>
        <v>8.7167752740055379E-2</v>
      </c>
      <c r="R454" s="14">
        <f>Table1[Total_Sales]+Table1[Shipping_Cost]</f>
        <v>636.67000000000007</v>
      </c>
    </row>
    <row r="455" spans="1:18" x14ac:dyDescent="0.35">
      <c r="A455" s="3" t="s">
        <v>973</v>
      </c>
      <c r="B455" s="2">
        <v>45184</v>
      </c>
      <c r="C455" s="1" t="s">
        <v>974</v>
      </c>
      <c r="D455" s="1" t="s">
        <v>30</v>
      </c>
      <c r="E455" s="1" t="s">
        <v>67</v>
      </c>
      <c r="F455" s="1" t="s">
        <v>68</v>
      </c>
      <c r="G455" s="1" t="s">
        <v>20</v>
      </c>
      <c r="H455" s="1" t="s">
        <v>175</v>
      </c>
      <c r="I455" s="1">
        <v>2</v>
      </c>
      <c r="J455" s="1">
        <v>25.4</v>
      </c>
      <c r="K455" s="1">
        <v>0</v>
      </c>
      <c r="L455" s="1">
        <v>50.8</v>
      </c>
      <c r="M455" s="1">
        <v>12.94</v>
      </c>
      <c r="N455" s="1">
        <v>9.92</v>
      </c>
      <c r="O455" s="6" t="s">
        <v>34</v>
      </c>
      <c r="P455" s="8">
        <f>Table1[Quantity]*Table1[Unit_Price]</f>
        <v>50.8</v>
      </c>
      <c r="Q455" s="1">
        <f>Table1[Profit]/Table1[Total_Sales]</f>
        <v>0.1952755905511811</v>
      </c>
      <c r="R455" s="14">
        <f>Table1[Total_Sales]+Table1[Shipping_Cost]</f>
        <v>63.739999999999995</v>
      </c>
    </row>
    <row r="456" spans="1:18" x14ac:dyDescent="0.35">
      <c r="A456" s="3" t="s">
        <v>975</v>
      </c>
      <c r="B456" s="2">
        <v>45185</v>
      </c>
      <c r="C456" s="1" t="s">
        <v>976</v>
      </c>
      <c r="D456" s="1" t="s">
        <v>30</v>
      </c>
      <c r="E456" s="1" t="s">
        <v>31</v>
      </c>
      <c r="F456" s="1" t="s">
        <v>19</v>
      </c>
      <c r="G456" s="1" t="s">
        <v>42</v>
      </c>
      <c r="H456" s="1" t="s">
        <v>64</v>
      </c>
      <c r="I456" s="1">
        <v>6</v>
      </c>
      <c r="J456" s="1">
        <v>110.59</v>
      </c>
      <c r="K456" s="1">
        <v>10</v>
      </c>
      <c r="L456" s="1">
        <v>597.19000000000005</v>
      </c>
      <c r="M456" s="1">
        <v>11.12</v>
      </c>
      <c r="N456" s="1">
        <v>187.95</v>
      </c>
      <c r="O456" s="6" t="s">
        <v>39</v>
      </c>
      <c r="P456" s="8">
        <f>Table1[Quantity]*Table1[Unit_Price]</f>
        <v>663.54</v>
      </c>
      <c r="Q456" s="1">
        <f>Table1[Profit]/Table1[Total_Sales]</f>
        <v>0.31472395719955121</v>
      </c>
      <c r="R456" s="14">
        <f>Table1[Total_Sales]+Table1[Shipping_Cost]</f>
        <v>608.31000000000006</v>
      </c>
    </row>
    <row r="457" spans="1:18" x14ac:dyDescent="0.35">
      <c r="A457" s="3" t="s">
        <v>977</v>
      </c>
      <c r="B457" s="2">
        <v>45185</v>
      </c>
      <c r="C457" s="1" t="s">
        <v>978</v>
      </c>
      <c r="D457" s="1" t="s">
        <v>30</v>
      </c>
      <c r="E457" s="1" t="s">
        <v>76</v>
      </c>
      <c r="F457" s="1" t="s">
        <v>26</v>
      </c>
      <c r="G457" s="1" t="s">
        <v>20</v>
      </c>
      <c r="H457" s="1" t="s">
        <v>264</v>
      </c>
      <c r="I457" s="1">
        <v>5</v>
      </c>
      <c r="J457" s="1">
        <v>25.73</v>
      </c>
      <c r="K457" s="1">
        <v>15</v>
      </c>
      <c r="L457" s="1">
        <v>109.35</v>
      </c>
      <c r="M457" s="1">
        <v>11.76</v>
      </c>
      <c r="N457" s="1">
        <v>26.83</v>
      </c>
      <c r="O457" s="6" t="s">
        <v>56</v>
      </c>
      <c r="P457" s="8">
        <f>Table1[Quantity]*Table1[Unit_Price]</f>
        <v>128.65</v>
      </c>
      <c r="Q457" s="1">
        <f>Table1[Profit]/Table1[Total_Sales]</f>
        <v>0.24535893918609969</v>
      </c>
      <c r="R457" s="14">
        <f>Table1[Total_Sales]+Table1[Shipping_Cost]</f>
        <v>121.11</v>
      </c>
    </row>
    <row r="458" spans="1:18" x14ac:dyDescent="0.35">
      <c r="A458" s="3" t="s">
        <v>979</v>
      </c>
      <c r="B458" s="2">
        <v>45185</v>
      </c>
      <c r="C458" s="1" t="s">
        <v>980</v>
      </c>
      <c r="D458" s="1" t="s">
        <v>49</v>
      </c>
      <c r="E458" s="1" t="s">
        <v>129</v>
      </c>
      <c r="F458" s="1" t="s">
        <v>19</v>
      </c>
      <c r="G458" s="1" t="s">
        <v>32</v>
      </c>
      <c r="H458" s="1" t="s">
        <v>33</v>
      </c>
      <c r="I458" s="1">
        <v>1</v>
      </c>
      <c r="J458" s="1">
        <v>12.82</v>
      </c>
      <c r="K458" s="1">
        <v>20</v>
      </c>
      <c r="L458" s="1">
        <v>10.26</v>
      </c>
      <c r="M458" s="1">
        <v>6.98</v>
      </c>
      <c r="N458" s="1">
        <v>-2.4900000000000002</v>
      </c>
      <c r="O458" s="6" t="s">
        <v>56</v>
      </c>
      <c r="P458" s="8">
        <f>Table1[Quantity]*Table1[Unit_Price]</f>
        <v>12.82</v>
      </c>
      <c r="Q458" s="1">
        <f>Table1[Profit]/Table1[Total_Sales]</f>
        <v>-0.24269005847953218</v>
      </c>
      <c r="R458" s="14">
        <f>Table1[Total_Sales]+Table1[Shipping_Cost]</f>
        <v>17.240000000000002</v>
      </c>
    </row>
    <row r="459" spans="1:18" x14ac:dyDescent="0.35">
      <c r="A459" s="3" t="s">
        <v>981</v>
      </c>
      <c r="B459" s="2">
        <v>45186</v>
      </c>
      <c r="C459" s="1" t="s">
        <v>607</v>
      </c>
      <c r="D459" s="1" t="s">
        <v>17</v>
      </c>
      <c r="E459" s="1" t="s">
        <v>18</v>
      </c>
      <c r="F459" s="1" t="s">
        <v>19</v>
      </c>
      <c r="G459" s="1" t="s">
        <v>69</v>
      </c>
      <c r="H459" s="1" t="s">
        <v>86</v>
      </c>
      <c r="I459" s="1">
        <v>5</v>
      </c>
      <c r="J459" s="1">
        <v>133.6</v>
      </c>
      <c r="K459" s="1">
        <v>25</v>
      </c>
      <c r="L459" s="1">
        <v>501</v>
      </c>
      <c r="M459" s="1">
        <v>14.42</v>
      </c>
      <c r="N459" s="1">
        <v>152.58000000000001</v>
      </c>
      <c r="O459" s="6" t="s">
        <v>34</v>
      </c>
      <c r="P459" s="8">
        <f>Table1[Quantity]*Table1[Unit_Price]</f>
        <v>668</v>
      </c>
      <c r="Q459" s="1">
        <f>Table1[Profit]/Table1[Total_Sales]</f>
        <v>0.30455089820359282</v>
      </c>
      <c r="R459" s="14">
        <f>Table1[Total_Sales]+Table1[Shipping_Cost]</f>
        <v>515.41999999999996</v>
      </c>
    </row>
    <row r="460" spans="1:18" x14ac:dyDescent="0.35">
      <c r="A460" s="3" t="s">
        <v>982</v>
      </c>
      <c r="B460" s="2">
        <v>45186</v>
      </c>
      <c r="C460" s="1" t="s">
        <v>983</v>
      </c>
      <c r="D460" s="1" t="s">
        <v>17</v>
      </c>
      <c r="E460" s="1" t="s">
        <v>129</v>
      </c>
      <c r="F460" s="1" t="s">
        <v>19</v>
      </c>
      <c r="G460" s="1" t="s">
        <v>42</v>
      </c>
      <c r="H460" s="1" t="s">
        <v>234</v>
      </c>
      <c r="I460" s="1">
        <v>7</v>
      </c>
      <c r="J460" s="1">
        <v>67.53</v>
      </c>
      <c r="K460" s="1">
        <v>5</v>
      </c>
      <c r="L460" s="1">
        <v>449.07</v>
      </c>
      <c r="M460" s="1">
        <v>22.4</v>
      </c>
      <c r="N460" s="1">
        <v>143.04</v>
      </c>
      <c r="O460" s="6" t="s">
        <v>34</v>
      </c>
      <c r="P460" s="8">
        <f>Table1[Quantity]*Table1[Unit_Price]</f>
        <v>472.71000000000004</v>
      </c>
      <c r="Q460" s="1">
        <f>Table1[Profit]/Table1[Total_Sales]</f>
        <v>0.3185249515665709</v>
      </c>
      <c r="R460" s="14">
        <f>Table1[Total_Sales]+Table1[Shipping_Cost]</f>
        <v>471.46999999999997</v>
      </c>
    </row>
    <row r="461" spans="1:18" x14ac:dyDescent="0.35">
      <c r="A461" s="3" t="s">
        <v>984</v>
      </c>
      <c r="B461" s="2">
        <v>45187</v>
      </c>
      <c r="C461" s="1" t="s">
        <v>985</v>
      </c>
      <c r="D461" s="1" t="s">
        <v>17</v>
      </c>
      <c r="E461" s="1" t="s">
        <v>59</v>
      </c>
      <c r="F461" s="1" t="s">
        <v>60</v>
      </c>
      <c r="G461" s="1" t="s">
        <v>69</v>
      </c>
      <c r="H461" s="1" t="s">
        <v>79</v>
      </c>
      <c r="I461" s="1">
        <v>2</v>
      </c>
      <c r="J461" s="1">
        <v>36.08</v>
      </c>
      <c r="K461" s="1">
        <v>30</v>
      </c>
      <c r="L461" s="1">
        <v>50.51</v>
      </c>
      <c r="M461" s="1">
        <v>12.81</v>
      </c>
      <c r="N461" s="1">
        <v>1.62</v>
      </c>
      <c r="O461" s="6" t="s">
        <v>39</v>
      </c>
      <c r="P461" s="8">
        <f>Table1[Quantity]*Table1[Unit_Price]</f>
        <v>72.16</v>
      </c>
      <c r="Q461" s="1">
        <f>Table1[Profit]/Table1[Total_Sales]</f>
        <v>3.2072856860027719E-2</v>
      </c>
      <c r="R461" s="14">
        <f>Table1[Total_Sales]+Table1[Shipping_Cost]</f>
        <v>63.32</v>
      </c>
    </row>
    <row r="462" spans="1:18" x14ac:dyDescent="0.35">
      <c r="A462" s="3" t="s">
        <v>986</v>
      </c>
      <c r="B462" s="2">
        <v>45188</v>
      </c>
      <c r="C462" s="1" t="s">
        <v>987</v>
      </c>
      <c r="D462" s="1" t="s">
        <v>49</v>
      </c>
      <c r="E462" s="1" t="s">
        <v>18</v>
      </c>
      <c r="F462" s="1" t="s">
        <v>19</v>
      </c>
      <c r="G462" s="1" t="s">
        <v>32</v>
      </c>
      <c r="H462" s="1" t="s">
        <v>115</v>
      </c>
      <c r="I462" s="1">
        <v>3</v>
      </c>
      <c r="J462" s="1">
        <v>7.89</v>
      </c>
      <c r="K462" s="1">
        <v>15</v>
      </c>
      <c r="L462" s="1">
        <v>20.12</v>
      </c>
      <c r="M462" s="1">
        <v>7.38</v>
      </c>
      <c r="N462" s="1">
        <v>2.09</v>
      </c>
      <c r="O462" s="6" t="s">
        <v>34</v>
      </c>
      <c r="P462" s="8">
        <f>Table1[Quantity]*Table1[Unit_Price]</f>
        <v>23.669999999999998</v>
      </c>
      <c r="Q462" s="1">
        <f>Table1[Profit]/Table1[Total_Sales]</f>
        <v>0.10387673956262425</v>
      </c>
      <c r="R462" s="14">
        <f>Table1[Total_Sales]+Table1[Shipping_Cost]</f>
        <v>27.5</v>
      </c>
    </row>
    <row r="463" spans="1:18" x14ac:dyDescent="0.35">
      <c r="A463" s="3" t="s">
        <v>988</v>
      </c>
      <c r="B463" s="2">
        <v>45188</v>
      </c>
      <c r="C463" s="1" t="s">
        <v>989</v>
      </c>
      <c r="D463" s="1" t="s">
        <v>30</v>
      </c>
      <c r="E463" s="1" t="s">
        <v>85</v>
      </c>
      <c r="F463" s="1" t="s">
        <v>60</v>
      </c>
      <c r="G463" s="1" t="s">
        <v>42</v>
      </c>
      <c r="H463" s="1" t="s">
        <v>294</v>
      </c>
      <c r="I463" s="1">
        <v>4</v>
      </c>
      <c r="J463" s="1">
        <v>197.76</v>
      </c>
      <c r="K463" s="1">
        <v>5</v>
      </c>
      <c r="L463" s="1">
        <v>751.49</v>
      </c>
      <c r="M463" s="1">
        <v>15.67</v>
      </c>
      <c r="N463" s="1">
        <v>261.2</v>
      </c>
      <c r="O463" s="6" t="s">
        <v>39</v>
      </c>
      <c r="P463" s="8">
        <f>Table1[Quantity]*Table1[Unit_Price]</f>
        <v>791.04</v>
      </c>
      <c r="Q463" s="1">
        <f>Table1[Profit]/Table1[Total_Sales]</f>
        <v>0.34757614871788045</v>
      </c>
      <c r="R463" s="14">
        <f>Table1[Total_Sales]+Table1[Shipping_Cost]</f>
        <v>767.16</v>
      </c>
    </row>
    <row r="464" spans="1:18" x14ac:dyDescent="0.35">
      <c r="A464" s="3" t="s">
        <v>990</v>
      </c>
      <c r="B464" s="2">
        <v>45189</v>
      </c>
      <c r="C464" s="1" t="s">
        <v>991</v>
      </c>
      <c r="D464" s="1" t="s">
        <v>30</v>
      </c>
      <c r="E464" s="1" t="s">
        <v>138</v>
      </c>
      <c r="F464" s="1" t="s">
        <v>54</v>
      </c>
      <c r="G464" s="1" t="s">
        <v>42</v>
      </c>
      <c r="H464" s="1" t="s">
        <v>118</v>
      </c>
      <c r="I464" s="1">
        <v>4</v>
      </c>
      <c r="J464" s="1">
        <v>55.59</v>
      </c>
      <c r="K464" s="1">
        <v>10</v>
      </c>
      <c r="L464" s="1">
        <v>200.12</v>
      </c>
      <c r="M464" s="1">
        <v>16.82</v>
      </c>
      <c r="N464" s="1">
        <v>49.88</v>
      </c>
      <c r="O464" s="6" t="s">
        <v>56</v>
      </c>
      <c r="P464" s="8">
        <f>Table1[Quantity]*Table1[Unit_Price]</f>
        <v>222.36</v>
      </c>
      <c r="Q464" s="1">
        <f>Table1[Profit]/Table1[Total_Sales]</f>
        <v>0.24925044973016192</v>
      </c>
      <c r="R464" s="14">
        <f>Table1[Total_Sales]+Table1[Shipping_Cost]</f>
        <v>216.94</v>
      </c>
    </row>
    <row r="465" spans="1:18" x14ac:dyDescent="0.35">
      <c r="A465" s="3" t="s">
        <v>992</v>
      </c>
      <c r="B465" s="2">
        <v>45190</v>
      </c>
      <c r="C465" s="1" t="s">
        <v>993</v>
      </c>
      <c r="D465" s="1" t="s">
        <v>30</v>
      </c>
      <c r="E465" s="1" t="s">
        <v>121</v>
      </c>
      <c r="F465" s="1" t="s">
        <v>68</v>
      </c>
      <c r="G465" s="1" t="s">
        <v>42</v>
      </c>
      <c r="H465" s="1" t="s">
        <v>46</v>
      </c>
      <c r="I465" s="1">
        <v>2</v>
      </c>
      <c r="J465" s="1">
        <v>115.98</v>
      </c>
      <c r="K465" s="1">
        <v>0</v>
      </c>
      <c r="L465" s="1">
        <v>231.96</v>
      </c>
      <c r="M465" s="1">
        <v>13.7</v>
      </c>
      <c r="N465" s="1">
        <v>79.08</v>
      </c>
      <c r="O465" s="6" t="s">
        <v>22</v>
      </c>
      <c r="P465" s="8">
        <f>Table1[Quantity]*Table1[Unit_Price]</f>
        <v>231.96</v>
      </c>
      <c r="Q465" s="1">
        <f>Table1[Profit]/Table1[Total_Sales]</f>
        <v>0.34092084842214171</v>
      </c>
      <c r="R465" s="14">
        <f>Table1[Total_Sales]+Table1[Shipping_Cost]</f>
        <v>245.66</v>
      </c>
    </row>
    <row r="466" spans="1:18" x14ac:dyDescent="0.35">
      <c r="A466" s="3" t="s">
        <v>994</v>
      </c>
      <c r="B466" s="2">
        <v>45190</v>
      </c>
      <c r="C466" s="1" t="s">
        <v>995</v>
      </c>
      <c r="D466" s="1" t="s">
        <v>17</v>
      </c>
      <c r="E466" s="1" t="s">
        <v>59</v>
      </c>
      <c r="F466" s="1" t="s">
        <v>60</v>
      </c>
      <c r="G466" s="1" t="s">
        <v>20</v>
      </c>
      <c r="H466" s="1" t="s">
        <v>122</v>
      </c>
      <c r="I466" s="1">
        <v>2</v>
      </c>
      <c r="J466" s="1">
        <v>137.32</v>
      </c>
      <c r="K466" s="1">
        <v>5</v>
      </c>
      <c r="L466" s="1">
        <v>260.91000000000003</v>
      </c>
      <c r="M466" s="1">
        <v>13.4</v>
      </c>
      <c r="N466" s="1">
        <v>96.46</v>
      </c>
      <c r="O466" s="6" t="s">
        <v>39</v>
      </c>
      <c r="P466" s="8">
        <f>Table1[Quantity]*Table1[Unit_Price]</f>
        <v>274.64</v>
      </c>
      <c r="Q466" s="1">
        <f>Table1[Profit]/Table1[Total_Sales]</f>
        <v>0.36970602889885396</v>
      </c>
      <c r="R466" s="14">
        <f>Table1[Total_Sales]+Table1[Shipping_Cost]</f>
        <v>274.31</v>
      </c>
    </row>
    <row r="467" spans="1:18" x14ac:dyDescent="0.35">
      <c r="A467" s="3" t="s">
        <v>996</v>
      </c>
      <c r="B467" s="2">
        <v>45190</v>
      </c>
      <c r="C467" s="1" t="s">
        <v>997</v>
      </c>
      <c r="D467" s="1" t="s">
        <v>49</v>
      </c>
      <c r="E467" s="1" t="s">
        <v>169</v>
      </c>
      <c r="F467" s="1" t="s">
        <v>68</v>
      </c>
      <c r="G467" s="1" t="s">
        <v>20</v>
      </c>
      <c r="H467" s="1" t="s">
        <v>199</v>
      </c>
      <c r="I467" s="1">
        <v>3</v>
      </c>
      <c r="J467" s="1">
        <v>153.34</v>
      </c>
      <c r="K467" s="1">
        <v>0</v>
      </c>
      <c r="L467" s="1">
        <v>460.02</v>
      </c>
      <c r="M467" s="1">
        <v>16.46</v>
      </c>
      <c r="N467" s="1">
        <v>190.55</v>
      </c>
      <c r="O467" s="6" t="s">
        <v>34</v>
      </c>
      <c r="P467" s="8">
        <f>Table1[Quantity]*Table1[Unit_Price]</f>
        <v>460.02</v>
      </c>
      <c r="Q467" s="1">
        <f>Table1[Profit]/Table1[Total_Sales]</f>
        <v>0.4142211208208339</v>
      </c>
      <c r="R467" s="14">
        <f>Table1[Total_Sales]+Table1[Shipping_Cost]</f>
        <v>476.47999999999996</v>
      </c>
    </row>
    <row r="468" spans="1:18" x14ac:dyDescent="0.35">
      <c r="A468" s="3" t="s">
        <v>998</v>
      </c>
      <c r="B468" s="2">
        <v>45192</v>
      </c>
      <c r="C468" s="1" t="s">
        <v>999</v>
      </c>
      <c r="D468" s="1" t="s">
        <v>17</v>
      </c>
      <c r="E468" s="1" t="s">
        <v>25</v>
      </c>
      <c r="F468" s="1" t="s">
        <v>26</v>
      </c>
      <c r="G468" s="1" t="s">
        <v>32</v>
      </c>
      <c r="H468" s="1" t="s">
        <v>149</v>
      </c>
      <c r="I468" s="1">
        <v>2</v>
      </c>
      <c r="J468" s="1">
        <v>5.85</v>
      </c>
      <c r="K468" s="1">
        <v>15</v>
      </c>
      <c r="L468" s="1">
        <v>9.94</v>
      </c>
      <c r="M468" s="1">
        <v>9.91</v>
      </c>
      <c r="N468" s="1">
        <v>-5.24</v>
      </c>
      <c r="O468" s="6" t="s">
        <v>39</v>
      </c>
      <c r="P468" s="8">
        <f>Table1[Quantity]*Table1[Unit_Price]</f>
        <v>11.7</v>
      </c>
      <c r="Q468" s="1">
        <f>Table1[Profit]/Table1[Total_Sales]</f>
        <v>-0.52716297786720323</v>
      </c>
      <c r="R468" s="14">
        <f>Table1[Total_Sales]+Table1[Shipping_Cost]</f>
        <v>19.850000000000001</v>
      </c>
    </row>
    <row r="469" spans="1:18" x14ac:dyDescent="0.35">
      <c r="A469" s="3" t="s">
        <v>1000</v>
      </c>
      <c r="B469" s="2">
        <v>45193</v>
      </c>
      <c r="C469" s="1" t="s">
        <v>1001</v>
      </c>
      <c r="D469" s="1" t="s">
        <v>30</v>
      </c>
      <c r="E469" s="1" t="s">
        <v>129</v>
      </c>
      <c r="F469" s="1" t="s">
        <v>19</v>
      </c>
      <c r="G469" s="1" t="s">
        <v>20</v>
      </c>
      <c r="H469" s="1" t="s">
        <v>122</v>
      </c>
      <c r="I469" s="1">
        <v>3</v>
      </c>
      <c r="J469" s="1">
        <v>60.51</v>
      </c>
      <c r="K469" s="1">
        <v>20</v>
      </c>
      <c r="L469" s="1">
        <v>145.22</v>
      </c>
      <c r="M469" s="1">
        <v>6.74</v>
      </c>
      <c r="N469" s="1">
        <v>38.64</v>
      </c>
      <c r="O469" s="6" t="s">
        <v>22</v>
      </c>
      <c r="P469" s="8">
        <f>Table1[Quantity]*Table1[Unit_Price]</f>
        <v>181.53</v>
      </c>
      <c r="Q469" s="1">
        <f>Table1[Profit]/Table1[Total_Sales]</f>
        <v>0.26607905247211128</v>
      </c>
      <c r="R469" s="14">
        <f>Table1[Total_Sales]+Table1[Shipping_Cost]</f>
        <v>151.96</v>
      </c>
    </row>
    <row r="470" spans="1:18" x14ac:dyDescent="0.35">
      <c r="A470" s="3" t="s">
        <v>1002</v>
      </c>
      <c r="B470" s="2">
        <v>45193</v>
      </c>
      <c r="C470" s="1" t="s">
        <v>240</v>
      </c>
      <c r="D470" s="1" t="s">
        <v>49</v>
      </c>
      <c r="E470" s="1" t="s">
        <v>31</v>
      </c>
      <c r="F470" s="1" t="s">
        <v>19</v>
      </c>
      <c r="G470" s="1" t="s">
        <v>42</v>
      </c>
      <c r="H470" s="1" t="s">
        <v>64</v>
      </c>
      <c r="I470" s="1">
        <v>1</v>
      </c>
      <c r="J470" s="1">
        <v>112.29</v>
      </c>
      <c r="K470" s="1">
        <v>0</v>
      </c>
      <c r="L470" s="1">
        <v>112.29</v>
      </c>
      <c r="M470" s="1">
        <v>5.87</v>
      </c>
      <c r="N470" s="1">
        <v>39.049999999999997</v>
      </c>
      <c r="O470" s="6" t="s">
        <v>34</v>
      </c>
      <c r="P470" s="8">
        <f>Table1[Quantity]*Table1[Unit_Price]</f>
        <v>112.29</v>
      </c>
      <c r="Q470" s="1">
        <f>Table1[Profit]/Table1[Total_Sales]</f>
        <v>0.34776026360317031</v>
      </c>
      <c r="R470" s="14">
        <f>Table1[Total_Sales]+Table1[Shipping_Cost]</f>
        <v>118.16000000000001</v>
      </c>
    </row>
    <row r="471" spans="1:18" x14ac:dyDescent="0.35">
      <c r="A471" s="3" t="s">
        <v>1003</v>
      </c>
      <c r="B471" s="2">
        <v>45194</v>
      </c>
      <c r="C471" s="1" t="s">
        <v>97</v>
      </c>
      <c r="D471" s="1" t="s">
        <v>30</v>
      </c>
      <c r="E471" s="1" t="s">
        <v>63</v>
      </c>
      <c r="F471" s="1" t="s">
        <v>54</v>
      </c>
      <c r="G471" s="1" t="s">
        <v>20</v>
      </c>
      <c r="H471" s="1" t="s">
        <v>106</v>
      </c>
      <c r="I471" s="1">
        <v>4</v>
      </c>
      <c r="J471" s="1">
        <v>43.61</v>
      </c>
      <c r="K471" s="1">
        <v>10</v>
      </c>
      <c r="L471" s="1">
        <v>157</v>
      </c>
      <c r="M471" s="1">
        <v>17.66</v>
      </c>
      <c r="N471" s="1">
        <v>43.4</v>
      </c>
      <c r="O471" s="6" t="s">
        <v>34</v>
      </c>
      <c r="P471" s="8">
        <f>Table1[Quantity]*Table1[Unit_Price]</f>
        <v>174.44</v>
      </c>
      <c r="Q471" s="1">
        <f>Table1[Profit]/Table1[Total_Sales]</f>
        <v>0.27643312101910827</v>
      </c>
      <c r="R471" s="14">
        <f>Table1[Total_Sales]+Table1[Shipping_Cost]</f>
        <v>174.66</v>
      </c>
    </row>
    <row r="472" spans="1:18" x14ac:dyDescent="0.35">
      <c r="A472" s="3" t="s">
        <v>1004</v>
      </c>
      <c r="B472" s="2">
        <v>45194</v>
      </c>
      <c r="C472" s="1" t="s">
        <v>1005</v>
      </c>
      <c r="D472" s="1" t="s">
        <v>30</v>
      </c>
      <c r="E472" s="1" t="s">
        <v>169</v>
      </c>
      <c r="F472" s="1" t="s">
        <v>68</v>
      </c>
      <c r="G472" s="1" t="s">
        <v>20</v>
      </c>
      <c r="H472" s="1" t="s">
        <v>170</v>
      </c>
      <c r="I472" s="1">
        <v>2</v>
      </c>
      <c r="J472" s="1">
        <v>22.12</v>
      </c>
      <c r="K472" s="1">
        <v>10</v>
      </c>
      <c r="L472" s="1">
        <v>39.82</v>
      </c>
      <c r="M472" s="1">
        <v>11.38</v>
      </c>
      <c r="N472" s="1">
        <v>4.1100000000000003</v>
      </c>
      <c r="O472" s="6" t="s">
        <v>39</v>
      </c>
      <c r="P472" s="8">
        <f>Table1[Quantity]*Table1[Unit_Price]</f>
        <v>44.24</v>
      </c>
      <c r="Q472" s="1">
        <f>Table1[Profit]/Table1[Total_Sales]</f>
        <v>0.10321446509291814</v>
      </c>
      <c r="R472" s="14">
        <f>Table1[Total_Sales]+Table1[Shipping_Cost]</f>
        <v>51.2</v>
      </c>
    </row>
    <row r="473" spans="1:18" x14ac:dyDescent="0.35">
      <c r="A473" s="3" t="s">
        <v>1006</v>
      </c>
      <c r="B473" s="2">
        <v>45195</v>
      </c>
      <c r="C473" s="1" t="s">
        <v>1007</v>
      </c>
      <c r="D473" s="1" t="s">
        <v>30</v>
      </c>
      <c r="E473" s="1" t="s">
        <v>129</v>
      </c>
      <c r="F473" s="1" t="s">
        <v>19</v>
      </c>
      <c r="G473" s="1" t="s">
        <v>69</v>
      </c>
      <c r="H473" s="1" t="s">
        <v>70</v>
      </c>
      <c r="I473" s="1">
        <v>3</v>
      </c>
      <c r="J473" s="1">
        <v>59.04</v>
      </c>
      <c r="K473" s="1">
        <v>0</v>
      </c>
      <c r="L473" s="1">
        <v>177.12</v>
      </c>
      <c r="M473" s="1">
        <v>10.28</v>
      </c>
      <c r="N473" s="1">
        <v>78.28</v>
      </c>
      <c r="O473" s="6" t="s">
        <v>56</v>
      </c>
      <c r="P473" s="8">
        <f>Table1[Quantity]*Table1[Unit_Price]</f>
        <v>177.12</v>
      </c>
      <c r="Q473" s="1">
        <f>Table1[Profit]/Table1[Total_Sales]</f>
        <v>0.44196025293586266</v>
      </c>
      <c r="R473" s="14">
        <f>Table1[Total_Sales]+Table1[Shipping_Cost]</f>
        <v>187.4</v>
      </c>
    </row>
    <row r="474" spans="1:18" x14ac:dyDescent="0.35">
      <c r="A474" s="3" t="s">
        <v>1008</v>
      </c>
      <c r="B474" s="2">
        <v>45195</v>
      </c>
      <c r="C474" s="1" t="s">
        <v>1009</v>
      </c>
      <c r="D474" s="1" t="s">
        <v>30</v>
      </c>
      <c r="E474" s="1" t="s">
        <v>25</v>
      </c>
      <c r="F474" s="1" t="s">
        <v>26</v>
      </c>
      <c r="G474" s="1" t="s">
        <v>69</v>
      </c>
      <c r="H474" s="1" t="s">
        <v>160</v>
      </c>
      <c r="I474" s="1">
        <v>4</v>
      </c>
      <c r="J474" s="1">
        <v>42.94</v>
      </c>
      <c r="K474" s="1">
        <v>15</v>
      </c>
      <c r="L474" s="1">
        <v>146</v>
      </c>
      <c r="M474" s="1">
        <v>13.44</v>
      </c>
      <c r="N474" s="1">
        <v>46.68</v>
      </c>
      <c r="O474" s="6" t="s">
        <v>22</v>
      </c>
      <c r="P474" s="8">
        <f>Table1[Quantity]*Table1[Unit_Price]</f>
        <v>171.76</v>
      </c>
      <c r="Q474" s="1">
        <f>Table1[Profit]/Table1[Total_Sales]</f>
        <v>0.31972602739726025</v>
      </c>
      <c r="R474" s="14">
        <f>Table1[Total_Sales]+Table1[Shipping_Cost]</f>
        <v>159.44</v>
      </c>
    </row>
    <row r="475" spans="1:18" x14ac:dyDescent="0.35">
      <c r="A475" s="3" t="s">
        <v>1010</v>
      </c>
      <c r="B475" s="2">
        <v>45195</v>
      </c>
      <c r="C475" s="1" t="s">
        <v>1011</v>
      </c>
      <c r="D475" s="1" t="s">
        <v>49</v>
      </c>
      <c r="E475" s="1" t="s">
        <v>92</v>
      </c>
      <c r="F475" s="1" t="s">
        <v>60</v>
      </c>
      <c r="G475" s="1" t="s">
        <v>69</v>
      </c>
      <c r="H475" s="1" t="s">
        <v>305</v>
      </c>
      <c r="I475" s="1">
        <v>6</v>
      </c>
      <c r="J475" s="1">
        <v>77.510000000000005</v>
      </c>
      <c r="K475" s="1">
        <v>10</v>
      </c>
      <c r="L475" s="1">
        <v>418.55</v>
      </c>
      <c r="M475" s="1">
        <v>20.82</v>
      </c>
      <c r="N475" s="1">
        <v>165.2</v>
      </c>
      <c r="O475" s="6" t="s">
        <v>56</v>
      </c>
      <c r="P475" s="8">
        <f>Table1[Quantity]*Table1[Unit_Price]</f>
        <v>465.06000000000006</v>
      </c>
      <c r="Q475" s="1">
        <f>Table1[Profit]/Table1[Total_Sales]</f>
        <v>0.39469597419663122</v>
      </c>
      <c r="R475" s="14">
        <f>Table1[Total_Sales]+Table1[Shipping_Cost]</f>
        <v>439.37</v>
      </c>
    </row>
    <row r="476" spans="1:18" x14ac:dyDescent="0.35">
      <c r="A476" s="3" t="s">
        <v>1012</v>
      </c>
      <c r="B476" s="2">
        <v>45195</v>
      </c>
      <c r="C476" s="1" t="s">
        <v>1013</v>
      </c>
      <c r="D476" s="1" t="s">
        <v>49</v>
      </c>
      <c r="E476" s="1" t="s">
        <v>248</v>
      </c>
      <c r="F476" s="1" t="s">
        <v>26</v>
      </c>
      <c r="G476" s="1" t="s">
        <v>20</v>
      </c>
      <c r="H476" s="1" t="s">
        <v>55</v>
      </c>
      <c r="I476" s="1">
        <v>1</v>
      </c>
      <c r="J476" s="1">
        <v>52.59</v>
      </c>
      <c r="K476" s="1">
        <v>15</v>
      </c>
      <c r="L476" s="1">
        <v>44.7</v>
      </c>
      <c r="M476" s="1">
        <v>8.76</v>
      </c>
      <c r="N476" s="1">
        <v>7.02</v>
      </c>
      <c r="O476" s="6" t="s">
        <v>39</v>
      </c>
      <c r="P476" s="8">
        <f>Table1[Quantity]*Table1[Unit_Price]</f>
        <v>52.59</v>
      </c>
      <c r="Q476" s="1">
        <f>Table1[Profit]/Table1[Total_Sales]</f>
        <v>0.15704697986577179</v>
      </c>
      <c r="R476" s="14">
        <f>Table1[Total_Sales]+Table1[Shipping_Cost]</f>
        <v>53.46</v>
      </c>
    </row>
    <row r="477" spans="1:18" x14ac:dyDescent="0.35">
      <c r="A477" s="3" t="s">
        <v>1014</v>
      </c>
      <c r="B477" s="2">
        <v>45196</v>
      </c>
      <c r="C477" s="1" t="s">
        <v>1015</v>
      </c>
      <c r="D477" s="1" t="s">
        <v>30</v>
      </c>
      <c r="E477" s="1" t="s">
        <v>85</v>
      </c>
      <c r="F477" s="1" t="s">
        <v>60</v>
      </c>
      <c r="G477" s="1" t="s">
        <v>20</v>
      </c>
      <c r="H477" s="1" t="s">
        <v>27</v>
      </c>
      <c r="I477" s="1">
        <v>1</v>
      </c>
      <c r="J477" s="1">
        <v>126.55</v>
      </c>
      <c r="K477" s="1">
        <v>0</v>
      </c>
      <c r="L477" s="1">
        <v>126.55</v>
      </c>
      <c r="M477" s="1">
        <v>9.75</v>
      </c>
      <c r="N477" s="1">
        <v>47.2</v>
      </c>
      <c r="O477" s="6" t="s">
        <v>39</v>
      </c>
      <c r="P477" s="8">
        <f>Table1[Quantity]*Table1[Unit_Price]</f>
        <v>126.55</v>
      </c>
      <c r="Q477" s="1">
        <f>Table1[Profit]/Table1[Total_Sales]</f>
        <v>0.37297510865270644</v>
      </c>
      <c r="R477" s="14">
        <f>Table1[Total_Sales]+Table1[Shipping_Cost]</f>
        <v>136.30000000000001</v>
      </c>
    </row>
    <row r="478" spans="1:18" x14ac:dyDescent="0.35">
      <c r="A478" s="3" t="s">
        <v>1016</v>
      </c>
      <c r="B478" s="2">
        <v>45197</v>
      </c>
      <c r="C478" s="1" t="s">
        <v>293</v>
      </c>
      <c r="D478" s="1" t="s">
        <v>17</v>
      </c>
      <c r="E478" s="1" t="s">
        <v>53</v>
      </c>
      <c r="F478" s="1" t="s">
        <v>54</v>
      </c>
      <c r="G478" s="1" t="s">
        <v>42</v>
      </c>
      <c r="H478" s="1" t="s">
        <v>371</v>
      </c>
      <c r="I478" s="1">
        <v>5</v>
      </c>
      <c r="J478" s="1">
        <v>145.12</v>
      </c>
      <c r="K478" s="1">
        <v>0</v>
      </c>
      <c r="L478" s="1">
        <v>725.6</v>
      </c>
      <c r="M478" s="1">
        <v>16.63</v>
      </c>
      <c r="N478" s="1">
        <v>273.61</v>
      </c>
      <c r="O478" s="6" t="s">
        <v>22</v>
      </c>
      <c r="P478" s="8">
        <f>Table1[Quantity]*Table1[Unit_Price]</f>
        <v>725.6</v>
      </c>
      <c r="Q478" s="1">
        <f>Table1[Profit]/Table1[Total_Sales]</f>
        <v>0.37708103638368246</v>
      </c>
      <c r="R478" s="14">
        <f>Table1[Total_Sales]+Table1[Shipping_Cost]</f>
        <v>742.23</v>
      </c>
    </row>
    <row r="479" spans="1:18" x14ac:dyDescent="0.35">
      <c r="A479" s="3" t="s">
        <v>1017</v>
      </c>
      <c r="B479" s="2">
        <v>45197</v>
      </c>
      <c r="C479" s="1" t="s">
        <v>1018</v>
      </c>
      <c r="D479" s="1" t="s">
        <v>30</v>
      </c>
      <c r="E479" s="1" t="s">
        <v>85</v>
      </c>
      <c r="F479" s="1" t="s">
        <v>60</v>
      </c>
      <c r="G479" s="1" t="s">
        <v>69</v>
      </c>
      <c r="H479" s="1" t="s">
        <v>139</v>
      </c>
      <c r="I479" s="1">
        <v>4</v>
      </c>
      <c r="J479" s="1">
        <v>26.2</v>
      </c>
      <c r="K479" s="1">
        <v>5</v>
      </c>
      <c r="L479" s="1">
        <v>99.56</v>
      </c>
      <c r="M479" s="1">
        <v>17.25</v>
      </c>
      <c r="N479" s="1">
        <v>29.91</v>
      </c>
      <c r="O479" s="6" t="s">
        <v>34</v>
      </c>
      <c r="P479" s="8">
        <f>Table1[Quantity]*Table1[Unit_Price]</f>
        <v>104.8</v>
      </c>
      <c r="Q479" s="1">
        <f>Table1[Profit]/Table1[Total_Sales]</f>
        <v>0.3004218561671354</v>
      </c>
      <c r="R479" s="14">
        <f>Table1[Total_Sales]+Table1[Shipping_Cost]</f>
        <v>116.81</v>
      </c>
    </row>
    <row r="480" spans="1:18" x14ac:dyDescent="0.35">
      <c r="A480" s="3" t="s">
        <v>1019</v>
      </c>
      <c r="B480" s="2">
        <v>45198</v>
      </c>
      <c r="C480" s="1" t="s">
        <v>1020</v>
      </c>
      <c r="D480" s="1" t="s">
        <v>17</v>
      </c>
      <c r="E480" s="1" t="s">
        <v>25</v>
      </c>
      <c r="F480" s="1" t="s">
        <v>26</v>
      </c>
      <c r="G480" s="1" t="s">
        <v>32</v>
      </c>
      <c r="H480" s="1" t="s">
        <v>82</v>
      </c>
      <c r="I480" s="1">
        <v>5</v>
      </c>
      <c r="J480" s="1">
        <v>18.82</v>
      </c>
      <c r="K480" s="1">
        <v>15</v>
      </c>
      <c r="L480" s="1">
        <v>79.98</v>
      </c>
      <c r="M480" s="1">
        <v>10.99</v>
      </c>
      <c r="N480" s="1">
        <v>26.65</v>
      </c>
      <c r="O480" s="6" t="s">
        <v>56</v>
      </c>
      <c r="P480" s="8">
        <f>Table1[Quantity]*Table1[Unit_Price]</f>
        <v>94.1</v>
      </c>
      <c r="Q480" s="1">
        <f>Table1[Profit]/Table1[Total_Sales]</f>
        <v>0.33320830207551883</v>
      </c>
      <c r="R480" s="14">
        <f>Table1[Total_Sales]+Table1[Shipping_Cost]</f>
        <v>90.97</v>
      </c>
    </row>
    <row r="481" spans="1:18" x14ac:dyDescent="0.35">
      <c r="A481" s="3" t="s">
        <v>1021</v>
      </c>
      <c r="B481" s="2">
        <v>45198</v>
      </c>
      <c r="C481" s="1" t="s">
        <v>1022</v>
      </c>
      <c r="D481" s="1" t="s">
        <v>49</v>
      </c>
      <c r="E481" s="1" t="s">
        <v>59</v>
      </c>
      <c r="F481" s="1" t="s">
        <v>60</v>
      </c>
      <c r="G481" s="1" t="s">
        <v>42</v>
      </c>
      <c r="H481" s="1" t="s">
        <v>294</v>
      </c>
      <c r="I481" s="1">
        <v>1</v>
      </c>
      <c r="J481" s="1">
        <v>238.24</v>
      </c>
      <c r="K481" s="1">
        <v>0</v>
      </c>
      <c r="L481" s="1">
        <v>238.24</v>
      </c>
      <c r="M481" s="1">
        <v>10.130000000000001</v>
      </c>
      <c r="N481" s="1">
        <v>85.17</v>
      </c>
      <c r="O481" s="6" t="s">
        <v>34</v>
      </c>
      <c r="P481" s="8">
        <f>Table1[Quantity]*Table1[Unit_Price]</f>
        <v>238.24</v>
      </c>
      <c r="Q481" s="1">
        <f>Table1[Profit]/Table1[Total_Sales]</f>
        <v>0.35749664204163867</v>
      </c>
      <c r="R481" s="14">
        <f>Table1[Total_Sales]+Table1[Shipping_Cost]</f>
        <v>248.37</v>
      </c>
    </row>
    <row r="482" spans="1:18" x14ac:dyDescent="0.35">
      <c r="A482" s="3" t="s">
        <v>1023</v>
      </c>
      <c r="B482" s="2">
        <v>45198</v>
      </c>
      <c r="C482" s="1" t="s">
        <v>1024</v>
      </c>
      <c r="D482" s="1" t="s">
        <v>17</v>
      </c>
      <c r="E482" s="1" t="s">
        <v>85</v>
      </c>
      <c r="F482" s="1" t="s">
        <v>60</v>
      </c>
      <c r="G482" s="1" t="s">
        <v>42</v>
      </c>
      <c r="H482" s="1" t="s">
        <v>93</v>
      </c>
      <c r="I482" s="1">
        <v>1</v>
      </c>
      <c r="J482" s="1">
        <v>222.71</v>
      </c>
      <c r="K482" s="1">
        <v>15</v>
      </c>
      <c r="L482" s="1">
        <v>189.3</v>
      </c>
      <c r="M482" s="1">
        <v>10.45</v>
      </c>
      <c r="N482" s="1">
        <v>45.22</v>
      </c>
      <c r="O482" s="6" t="s">
        <v>34</v>
      </c>
      <c r="P482" s="8">
        <f>Table1[Quantity]*Table1[Unit_Price]</f>
        <v>222.71</v>
      </c>
      <c r="Q482" s="1">
        <f>Table1[Profit]/Table1[Total_Sales]</f>
        <v>0.23888008452192286</v>
      </c>
      <c r="R482" s="14">
        <f>Table1[Total_Sales]+Table1[Shipping_Cost]</f>
        <v>199.75</v>
      </c>
    </row>
    <row r="483" spans="1:18" x14ac:dyDescent="0.35">
      <c r="A483" s="3" t="s">
        <v>1025</v>
      </c>
      <c r="B483" s="2">
        <v>45198</v>
      </c>
      <c r="C483" s="1" t="s">
        <v>1026</v>
      </c>
      <c r="D483" s="1" t="s">
        <v>49</v>
      </c>
      <c r="E483" s="1" t="s">
        <v>53</v>
      </c>
      <c r="F483" s="1" t="s">
        <v>54</v>
      </c>
      <c r="G483" s="1" t="s">
        <v>20</v>
      </c>
      <c r="H483" s="1" t="s">
        <v>175</v>
      </c>
      <c r="I483" s="1">
        <v>4</v>
      </c>
      <c r="J483" s="1">
        <v>36.61</v>
      </c>
      <c r="K483" s="1">
        <v>15</v>
      </c>
      <c r="L483" s="1">
        <v>124.47</v>
      </c>
      <c r="M483" s="1">
        <v>16.07</v>
      </c>
      <c r="N483" s="1">
        <v>27.86</v>
      </c>
      <c r="O483" s="6" t="s">
        <v>34</v>
      </c>
      <c r="P483" s="8">
        <f>Table1[Quantity]*Table1[Unit_Price]</f>
        <v>146.44</v>
      </c>
      <c r="Q483" s="1">
        <f>Table1[Profit]/Table1[Total_Sales]</f>
        <v>0.22382903510886157</v>
      </c>
      <c r="R483" s="14">
        <f>Table1[Total_Sales]+Table1[Shipping_Cost]</f>
        <v>140.54</v>
      </c>
    </row>
    <row r="484" spans="1:18" x14ac:dyDescent="0.35">
      <c r="A484" s="3" t="s">
        <v>1027</v>
      </c>
      <c r="B484" s="2">
        <v>45199</v>
      </c>
      <c r="C484" s="1" t="s">
        <v>1028</v>
      </c>
      <c r="D484" s="1" t="s">
        <v>49</v>
      </c>
      <c r="E484" s="1" t="s">
        <v>92</v>
      </c>
      <c r="F484" s="1" t="s">
        <v>60</v>
      </c>
      <c r="G484" s="1" t="s">
        <v>42</v>
      </c>
      <c r="H484" s="1" t="s">
        <v>255</v>
      </c>
      <c r="I484" s="1">
        <v>4</v>
      </c>
      <c r="J484" s="1">
        <v>59.01</v>
      </c>
      <c r="K484" s="1">
        <v>0</v>
      </c>
      <c r="L484" s="1">
        <v>236.04</v>
      </c>
      <c r="M484" s="1">
        <v>11.14</v>
      </c>
      <c r="N484" s="1">
        <v>83.28</v>
      </c>
      <c r="O484" s="6" t="s">
        <v>22</v>
      </c>
      <c r="P484" s="8">
        <f>Table1[Quantity]*Table1[Unit_Price]</f>
        <v>236.04</v>
      </c>
      <c r="Q484" s="1">
        <f>Table1[Profit]/Table1[Total_Sales]</f>
        <v>0.3528215556685308</v>
      </c>
      <c r="R484" s="14">
        <f>Table1[Total_Sales]+Table1[Shipping_Cost]</f>
        <v>247.18</v>
      </c>
    </row>
    <row r="485" spans="1:18" x14ac:dyDescent="0.35">
      <c r="A485" s="3" t="s">
        <v>1029</v>
      </c>
      <c r="B485" s="2">
        <v>45201</v>
      </c>
      <c r="C485" s="1" t="s">
        <v>1030</v>
      </c>
      <c r="D485" s="1" t="s">
        <v>17</v>
      </c>
      <c r="E485" s="1" t="s">
        <v>53</v>
      </c>
      <c r="F485" s="1" t="s">
        <v>54</v>
      </c>
      <c r="G485" s="1" t="s">
        <v>69</v>
      </c>
      <c r="H485" s="1" t="s">
        <v>98</v>
      </c>
      <c r="I485" s="1">
        <v>2</v>
      </c>
      <c r="J485" s="1">
        <v>49.37</v>
      </c>
      <c r="K485" s="1">
        <v>10</v>
      </c>
      <c r="L485" s="1">
        <v>88.87</v>
      </c>
      <c r="M485" s="1">
        <v>14.28</v>
      </c>
      <c r="N485" s="1">
        <v>25.22</v>
      </c>
      <c r="O485" s="6" t="s">
        <v>34</v>
      </c>
      <c r="P485" s="8">
        <f>Table1[Quantity]*Table1[Unit_Price]</f>
        <v>98.74</v>
      </c>
      <c r="Q485" s="1">
        <f>Table1[Profit]/Table1[Total_Sales]</f>
        <v>0.28378530437718014</v>
      </c>
      <c r="R485" s="14">
        <f>Table1[Total_Sales]+Table1[Shipping_Cost]</f>
        <v>103.15</v>
      </c>
    </row>
    <row r="486" spans="1:18" x14ac:dyDescent="0.35">
      <c r="A486" s="3" t="s">
        <v>1031</v>
      </c>
      <c r="B486" s="2">
        <v>45201</v>
      </c>
      <c r="C486" s="1" t="s">
        <v>1032</v>
      </c>
      <c r="D486" s="1" t="s">
        <v>17</v>
      </c>
      <c r="E486" s="1" t="s">
        <v>109</v>
      </c>
      <c r="F486" s="1" t="s">
        <v>54</v>
      </c>
      <c r="G486" s="1" t="s">
        <v>42</v>
      </c>
      <c r="H486" s="1" t="s">
        <v>371</v>
      </c>
      <c r="I486" s="1">
        <v>1</v>
      </c>
      <c r="J486" s="1">
        <v>131.91</v>
      </c>
      <c r="K486" s="1">
        <v>15</v>
      </c>
      <c r="L486" s="1">
        <v>112.12</v>
      </c>
      <c r="M486" s="1">
        <v>12.52</v>
      </c>
      <c r="N486" s="1">
        <v>20.45</v>
      </c>
      <c r="O486" s="6" t="s">
        <v>39</v>
      </c>
      <c r="P486" s="8">
        <f>Table1[Quantity]*Table1[Unit_Price]</f>
        <v>131.91</v>
      </c>
      <c r="Q486" s="1">
        <f>Table1[Profit]/Table1[Total_Sales]</f>
        <v>0.18239386371744559</v>
      </c>
      <c r="R486" s="14">
        <f>Table1[Total_Sales]+Table1[Shipping_Cost]</f>
        <v>124.64</v>
      </c>
    </row>
    <row r="487" spans="1:18" x14ac:dyDescent="0.35">
      <c r="A487" s="3" t="s">
        <v>1033</v>
      </c>
      <c r="B487" s="2">
        <v>45201</v>
      </c>
      <c r="C487" s="1" t="s">
        <v>1034</v>
      </c>
      <c r="D487" s="1" t="s">
        <v>17</v>
      </c>
      <c r="E487" s="1" t="s">
        <v>67</v>
      </c>
      <c r="F487" s="1" t="s">
        <v>68</v>
      </c>
      <c r="G487" s="1" t="s">
        <v>20</v>
      </c>
      <c r="H487" s="1" t="s">
        <v>38</v>
      </c>
      <c r="I487" s="1">
        <v>2</v>
      </c>
      <c r="J487" s="1">
        <v>79.63</v>
      </c>
      <c r="K487" s="1">
        <v>10</v>
      </c>
      <c r="L487" s="1">
        <v>143.33000000000001</v>
      </c>
      <c r="M487" s="1">
        <v>11.45</v>
      </c>
      <c r="N487" s="1">
        <v>44.29</v>
      </c>
      <c r="O487" s="6" t="s">
        <v>34</v>
      </c>
      <c r="P487" s="8">
        <f>Table1[Quantity]*Table1[Unit_Price]</f>
        <v>159.26</v>
      </c>
      <c r="Q487" s="1">
        <f>Table1[Profit]/Table1[Total_Sales]</f>
        <v>0.30900718621363282</v>
      </c>
      <c r="R487" s="14">
        <f>Table1[Total_Sales]+Table1[Shipping_Cost]</f>
        <v>154.78</v>
      </c>
    </row>
    <row r="488" spans="1:18" x14ac:dyDescent="0.35">
      <c r="A488" s="3" t="s">
        <v>1035</v>
      </c>
      <c r="B488" s="2">
        <v>45202</v>
      </c>
      <c r="C488" s="1" t="s">
        <v>1036</v>
      </c>
      <c r="D488" s="1" t="s">
        <v>49</v>
      </c>
      <c r="E488" s="1" t="s">
        <v>37</v>
      </c>
      <c r="F488" s="1" t="s">
        <v>26</v>
      </c>
      <c r="G488" s="1" t="s">
        <v>42</v>
      </c>
      <c r="H488" s="1" t="s">
        <v>89</v>
      </c>
      <c r="I488" s="1">
        <v>2</v>
      </c>
      <c r="J488" s="1">
        <v>399.1</v>
      </c>
      <c r="K488" s="1">
        <v>5</v>
      </c>
      <c r="L488" s="1">
        <v>758.29</v>
      </c>
      <c r="M488" s="1">
        <v>10.3</v>
      </c>
      <c r="N488" s="1">
        <v>269.07</v>
      </c>
      <c r="O488" s="6" t="s">
        <v>39</v>
      </c>
      <c r="P488" s="8">
        <f>Table1[Quantity]*Table1[Unit_Price]</f>
        <v>798.2</v>
      </c>
      <c r="Q488" s="1">
        <f>Table1[Profit]/Table1[Total_Sales]</f>
        <v>0.35483785886666053</v>
      </c>
      <c r="R488" s="14">
        <f>Table1[Total_Sales]+Table1[Shipping_Cost]</f>
        <v>768.58999999999992</v>
      </c>
    </row>
    <row r="489" spans="1:18" x14ac:dyDescent="0.35">
      <c r="A489" s="3" t="s">
        <v>1037</v>
      </c>
      <c r="B489" s="2">
        <v>45202</v>
      </c>
      <c r="C489" s="1" t="s">
        <v>1038</v>
      </c>
      <c r="D489" s="1" t="s">
        <v>30</v>
      </c>
      <c r="E489" s="1" t="s">
        <v>85</v>
      </c>
      <c r="F489" s="1" t="s">
        <v>60</v>
      </c>
      <c r="G489" s="1" t="s">
        <v>42</v>
      </c>
      <c r="H489" s="1" t="s">
        <v>93</v>
      </c>
      <c r="I489" s="1">
        <v>6</v>
      </c>
      <c r="J489" s="1">
        <v>241.8</v>
      </c>
      <c r="K489" s="1">
        <v>5</v>
      </c>
      <c r="L489" s="1">
        <v>1378.26</v>
      </c>
      <c r="M489" s="1">
        <v>22.07</v>
      </c>
      <c r="N489" s="1">
        <v>485.71</v>
      </c>
      <c r="O489" s="6" t="s">
        <v>22</v>
      </c>
      <c r="P489" s="8">
        <f>Table1[Quantity]*Table1[Unit_Price]</f>
        <v>1450.8000000000002</v>
      </c>
      <c r="Q489" s="1">
        <f>Table1[Profit]/Table1[Total_Sales]</f>
        <v>0.35240810877483203</v>
      </c>
      <c r="R489" s="14">
        <f>Table1[Total_Sales]+Table1[Shipping_Cost]</f>
        <v>1400.33</v>
      </c>
    </row>
    <row r="490" spans="1:18" x14ac:dyDescent="0.35">
      <c r="A490" s="3" t="s">
        <v>1039</v>
      </c>
      <c r="B490" s="2">
        <v>45203</v>
      </c>
      <c r="C490" s="1" t="s">
        <v>1040</v>
      </c>
      <c r="D490" s="1" t="s">
        <v>17</v>
      </c>
      <c r="E490" s="1" t="s">
        <v>59</v>
      </c>
      <c r="F490" s="1" t="s">
        <v>60</v>
      </c>
      <c r="G490" s="1" t="s">
        <v>42</v>
      </c>
      <c r="H490" s="1" t="s">
        <v>371</v>
      </c>
      <c r="I490" s="1">
        <v>4</v>
      </c>
      <c r="J490" s="1">
        <v>162.94</v>
      </c>
      <c r="K490" s="1">
        <v>5</v>
      </c>
      <c r="L490" s="1">
        <v>619.16999999999996</v>
      </c>
      <c r="M490" s="1">
        <v>15.93</v>
      </c>
      <c r="N490" s="1">
        <v>212.18</v>
      </c>
      <c r="O490" s="6" t="s">
        <v>56</v>
      </c>
      <c r="P490" s="8">
        <f>Table1[Quantity]*Table1[Unit_Price]</f>
        <v>651.76</v>
      </c>
      <c r="Q490" s="1">
        <f>Table1[Profit]/Table1[Total_Sales]</f>
        <v>0.34268456159051636</v>
      </c>
      <c r="R490" s="14">
        <f>Table1[Total_Sales]+Table1[Shipping_Cost]</f>
        <v>635.09999999999991</v>
      </c>
    </row>
    <row r="491" spans="1:18" x14ac:dyDescent="0.35">
      <c r="A491" s="3" t="s">
        <v>1041</v>
      </c>
      <c r="B491" s="2">
        <v>45203</v>
      </c>
      <c r="C491" s="1" t="s">
        <v>1042</v>
      </c>
      <c r="D491" s="1" t="s">
        <v>30</v>
      </c>
      <c r="E491" s="1" t="s">
        <v>67</v>
      </c>
      <c r="F491" s="1" t="s">
        <v>68</v>
      </c>
      <c r="G491" s="1" t="s">
        <v>20</v>
      </c>
      <c r="H491" s="1" t="s">
        <v>170</v>
      </c>
      <c r="I491" s="1">
        <v>1</v>
      </c>
      <c r="J491" s="1">
        <v>44.26</v>
      </c>
      <c r="K491" s="1">
        <v>0</v>
      </c>
      <c r="L491" s="1">
        <v>44.26</v>
      </c>
      <c r="M491" s="1">
        <v>12.32</v>
      </c>
      <c r="N491" s="1">
        <v>7.6</v>
      </c>
      <c r="O491" s="6" t="s">
        <v>39</v>
      </c>
      <c r="P491" s="8">
        <f>Table1[Quantity]*Table1[Unit_Price]</f>
        <v>44.26</v>
      </c>
      <c r="Q491" s="1">
        <f>Table1[Profit]/Table1[Total_Sales]</f>
        <v>0.17171260732037957</v>
      </c>
      <c r="R491" s="14">
        <f>Table1[Total_Sales]+Table1[Shipping_Cost]</f>
        <v>56.58</v>
      </c>
    </row>
    <row r="492" spans="1:18" x14ac:dyDescent="0.35">
      <c r="A492" s="3" t="s">
        <v>1043</v>
      </c>
      <c r="B492" s="2">
        <v>45203</v>
      </c>
      <c r="C492" s="1" t="s">
        <v>1044</v>
      </c>
      <c r="D492" s="1" t="s">
        <v>49</v>
      </c>
      <c r="E492" s="1" t="s">
        <v>18</v>
      </c>
      <c r="F492" s="1" t="s">
        <v>19</v>
      </c>
      <c r="G492" s="1" t="s">
        <v>32</v>
      </c>
      <c r="H492" s="1" t="s">
        <v>115</v>
      </c>
      <c r="I492" s="1">
        <v>4</v>
      </c>
      <c r="J492" s="1">
        <v>6.82</v>
      </c>
      <c r="K492" s="1">
        <v>5</v>
      </c>
      <c r="L492" s="1">
        <v>25.92</v>
      </c>
      <c r="M492" s="1">
        <v>9.89</v>
      </c>
      <c r="N492" s="1">
        <v>3.75</v>
      </c>
      <c r="O492" s="6" t="s">
        <v>39</v>
      </c>
      <c r="P492" s="8">
        <f>Table1[Quantity]*Table1[Unit_Price]</f>
        <v>27.28</v>
      </c>
      <c r="Q492" s="1">
        <f>Table1[Profit]/Table1[Total_Sales]</f>
        <v>0.14467592592592593</v>
      </c>
      <c r="R492" s="14">
        <f>Table1[Total_Sales]+Table1[Shipping_Cost]</f>
        <v>35.81</v>
      </c>
    </row>
    <row r="493" spans="1:18" x14ac:dyDescent="0.35">
      <c r="A493" s="3" t="s">
        <v>1045</v>
      </c>
      <c r="B493" s="2">
        <v>45203</v>
      </c>
      <c r="C493" s="1" t="s">
        <v>1046</v>
      </c>
      <c r="D493" s="1" t="s">
        <v>49</v>
      </c>
      <c r="E493" s="1" t="s">
        <v>53</v>
      </c>
      <c r="F493" s="1" t="s">
        <v>54</v>
      </c>
      <c r="G493" s="1" t="s">
        <v>69</v>
      </c>
      <c r="H493" s="1" t="s">
        <v>98</v>
      </c>
      <c r="I493" s="1">
        <v>3</v>
      </c>
      <c r="J493" s="1">
        <v>59.55</v>
      </c>
      <c r="K493" s="1">
        <v>0</v>
      </c>
      <c r="L493" s="1">
        <v>178.65</v>
      </c>
      <c r="M493" s="1">
        <v>14.68</v>
      </c>
      <c r="N493" s="1">
        <v>74.650000000000006</v>
      </c>
      <c r="O493" s="6" t="s">
        <v>39</v>
      </c>
      <c r="P493" s="8">
        <f>Table1[Quantity]*Table1[Unit_Price]</f>
        <v>178.64999999999998</v>
      </c>
      <c r="Q493" s="1">
        <f>Table1[Profit]/Table1[Total_Sales]</f>
        <v>0.41785614329694937</v>
      </c>
      <c r="R493" s="14">
        <f>Table1[Total_Sales]+Table1[Shipping_Cost]</f>
        <v>193.33</v>
      </c>
    </row>
    <row r="494" spans="1:18" x14ac:dyDescent="0.35">
      <c r="A494" s="3" t="s">
        <v>1047</v>
      </c>
      <c r="B494" s="2">
        <v>45204</v>
      </c>
      <c r="C494" s="1" t="s">
        <v>1048</v>
      </c>
      <c r="D494" s="1" t="s">
        <v>17</v>
      </c>
      <c r="E494" s="1" t="s">
        <v>169</v>
      </c>
      <c r="F494" s="1" t="s">
        <v>68</v>
      </c>
      <c r="G494" s="1" t="s">
        <v>69</v>
      </c>
      <c r="H494" s="1" t="s">
        <v>305</v>
      </c>
      <c r="I494" s="1">
        <v>13</v>
      </c>
      <c r="J494" s="1">
        <v>74.959999999999994</v>
      </c>
      <c r="K494" s="1">
        <v>20</v>
      </c>
      <c r="L494" s="1">
        <v>779.58</v>
      </c>
      <c r="M494" s="1">
        <v>19.8</v>
      </c>
      <c r="N494" s="1">
        <v>272.54000000000002</v>
      </c>
      <c r="O494" s="6" t="s">
        <v>22</v>
      </c>
      <c r="P494" s="8">
        <f>Table1[Quantity]*Table1[Unit_Price]</f>
        <v>974.4799999999999</v>
      </c>
      <c r="Q494" s="1">
        <f>Table1[Profit]/Table1[Total_Sales]</f>
        <v>0.34959850175735652</v>
      </c>
      <c r="R494" s="14">
        <f>Table1[Total_Sales]+Table1[Shipping_Cost]</f>
        <v>799.38</v>
      </c>
    </row>
    <row r="495" spans="1:18" x14ac:dyDescent="0.35">
      <c r="A495" s="3" t="s">
        <v>1049</v>
      </c>
      <c r="B495" s="2">
        <v>45204</v>
      </c>
      <c r="C495" s="1" t="s">
        <v>1050</v>
      </c>
      <c r="D495" s="1" t="s">
        <v>17</v>
      </c>
      <c r="E495" s="1" t="s">
        <v>31</v>
      </c>
      <c r="F495" s="1" t="s">
        <v>19</v>
      </c>
      <c r="G495" s="1" t="s">
        <v>42</v>
      </c>
      <c r="H495" s="1" t="s">
        <v>255</v>
      </c>
      <c r="I495" s="1">
        <v>1</v>
      </c>
      <c r="J495" s="1">
        <v>35.29</v>
      </c>
      <c r="K495" s="1">
        <v>10</v>
      </c>
      <c r="L495" s="1">
        <v>31.76</v>
      </c>
      <c r="M495" s="1">
        <v>6.93</v>
      </c>
      <c r="N495" s="1">
        <v>3.66</v>
      </c>
      <c r="O495" s="6" t="s">
        <v>34</v>
      </c>
      <c r="P495" s="8">
        <f>Table1[Quantity]*Table1[Unit_Price]</f>
        <v>35.29</v>
      </c>
      <c r="Q495" s="1">
        <f>Table1[Profit]/Table1[Total_Sales]</f>
        <v>0.11523929471032746</v>
      </c>
      <c r="R495" s="14">
        <f>Table1[Total_Sales]+Table1[Shipping_Cost]</f>
        <v>38.69</v>
      </c>
    </row>
    <row r="496" spans="1:18" x14ac:dyDescent="0.35">
      <c r="A496" s="3" t="s">
        <v>1051</v>
      </c>
      <c r="B496" s="2">
        <v>45204</v>
      </c>
      <c r="C496" s="1" t="s">
        <v>1052</v>
      </c>
      <c r="D496" s="1" t="s">
        <v>17</v>
      </c>
      <c r="E496" s="1" t="s">
        <v>129</v>
      </c>
      <c r="F496" s="1" t="s">
        <v>19</v>
      </c>
      <c r="G496" s="1" t="s">
        <v>42</v>
      </c>
      <c r="H496" s="1" t="s">
        <v>371</v>
      </c>
      <c r="I496" s="1">
        <v>4</v>
      </c>
      <c r="J496" s="1">
        <v>129.80000000000001</v>
      </c>
      <c r="K496" s="1">
        <v>10</v>
      </c>
      <c r="L496" s="1">
        <v>467.28</v>
      </c>
      <c r="M496" s="1">
        <v>10.02</v>
      </c>
      <c r="N496" s="1">
        <v>145.74</v>
      </c>
      <c r="O496" s="6" t="s">
        <v>39</v>
      </c>
      <c r="P496" s="8">
        <f>Table1[Quantity]*Table1[Unit_Price]</f>
        <v>519.20000000000005</v>
      </c>
      <c r="Q496" s="1">
        <f>Table1[Profit]/Table1[Total_Sales]</f>
        <v>0.31189008731381618</v>
      </c>
      <c r="R496" s="14">
        <f>Table1[Total_Sales]+Table1[Shipping_Cost]</f>
        <v>477.29999999999995</v>
      </c>
    </row>
    <row r="497" spans="1:18" x14ac:dyDescent="0.35">
      <c r="A497" s="3" t="s">
        <v>1053</v>
      </c>
      <c r="B497" s="2">
        <v>45204</v>
      </c>
      <c r="C497" s="1" t="s">
        <v>1054</v>
      </c>
      <c r="D497" s="1" t="s">
        <v>30</v>
      </c>
      <c r="E497" s="1" t="s">
        <v>169</v>
      </c>
      <c r="F497" s="1" t="s">
        <v>68</v>
      </c>
      <c r="G497" s="1" t="s">
        <v>32</v>
      </c>
      <c r="H497" s="1" t="s">
        <v>115</v>
      </c>
      <c r="I497" s="1">
        <v>1</v>
      </c>
      <c r="J497" s="1">
        <v>6.83</v>
      </c>
      <c r="K497" s="1">
        <v>0</v>
      </c>
      <c r="L497" s="1">
        <v>6.83</v>
      </c>
      <c r="M497" s="1">
        <v>12.47</v>
      </c>
      <c r="N497" s="1">
        <v>-8.7100000000000009</v>
      </c>
      <c r="O497" s="6" t="s">
        <v>39</v>
      </c>
      <c r="P497" s="8">
        <f>Table1[Quantity]*Table1[Unit_Price]</f>
        <v>6.83</v>
      </c>
      <c r="Q497" s="1">
        <f>Table1[Profit]/Table1[Total_Sales]</f>
        <v>-1.2752562225475843</v>
      </c>
      <c r="R497" s="14">
        <f>Table1[Total_Sales]+Table1[Shipping_Cost]</f>
        <v>19.3</v>
      </c>
    </row>
    <row r="498" spans="1:18" x14ac:dyDescent="0.35">
      <c r="A498" s="3" t="s">
        <v>1055</v>
      </c>
      <c r="B498" s="2">
        <v>45204</v>
      </c>
      <c r="C498" s="1" t="s">
        <v>1056</v>
      </c>
      <c r="D498" s="1" t="s">
        <v>17</v>
      </c>
      <c r="E498" s="1" t="s">
        <v>169</v>
      </c>
      <c r="F498" s="1" t="s">
        <v>68</v>
      </c>
      <c r="G498" s="1" t="s">
        <v>42</v>
      </c>
      <c r="H498" s="1" t="s">
        <v>89</v>
      </c>
      <c r="I498" s="1">
        <v>1</v>
      </c>
      <c r="J498" s="1">
        <v>340.77</v>
      </c>
      <c r="K498" s="1">
        <v>30</v>
      </c>
      <c r="L498" s="1">
        <v>238.54</v>
      </c>
      <c r="M498" s="1">
        <v>11.54</v>
      </c>
      <c r="N498" s="1">
        <v>22.54</v>
      </c>
      <c r="O498" s="6" t="s">
        <v>56</v>
      </c>
      <c r="P498" s="8">
        <f>Table1[Quantity]*Table1[Unit_Price]</f>
        <v>340.77</v>
      </c>
      <c r="Q498" s="1">
        <f>Table1[Profit]/Table1[Total_Sales]</f>
        <v>9.4491489896872644E-2</v>
      </c>
      <c r="R498" s="14">
        <f>Table1[Total_Sales]+Table1[Shipping_Cost]</f>
        <v>250.07999999999998</v>
      </c>
    </row>
    <row r="499" spans="1:18" x14ac:dyDescent="0.35">
      <c r="A499" s="3" t="s">
        <v>1057</v>
      </c>
      <c r="B499" s="2">
        <v>45205</v>
      </c>
      <c r="C499" s="1" t="s">
        <v>1058</v>
      </c>
      <c r="D499" s="1" t="s">
        <v>30</v>
      </c>
      <c r="E499" s="1" t="s">
        <v>92</v>
      </c>
      <c r="F499" s="1" t="s">
        <v>60</v>
      </c>
      <c r="G499" s="1" t="s">
        <v>20</v>
      </c>
      <c r="H499" s="1" t="s">
        <v>27</v>
      </c>
      <c r="I499" s="1">
        <v>2</v>
      </c>
      <c r="J499" s="1">
        <v>131.68</v>
      </c>
      <c r="K499" s="1">
        <v>0</v>
      </c>
      <c r="L499" s="1">
        <v>263.36</v>
      </c>
      <c r="M499" s="1">
        <v>10.63</v>
      </c>
      <c r="N499" s="1">
        <v>107.88</v>
      </c>
      <c r="O499" s="6" t="s">
        <v>39</v>
      </c>
      <c r="P499" s="8">
        <f>Table1[Quantity]*Table1[Unit_Price]</f>
        <v>263.36</v>
      </c>
      <c r="Q499" s="1">
        <f>Table1[Profit]/Table1[Total_Sales]</f>
        <v>0.40962940461725389</v>
      </c>
      <c r="R499" s="14">
        <f>Table1[Total_Sales]+Table1[Shipping_Cost]</f>
        <v>273.99</v>
      </c>
    </row>
    <row r="500" spans="1:18" x14ac:dyDescent="0.35">
      <c r="A500" s="3" t="s">
        <v>1059</v>
      </c>
      <c r="B500" s="2">
        <v>45206</v>
      </c>
      <c r="C500" s="1" t="s">
        <v>1060</v>
      </c>
      <c r="D500" s="1" t="s">
        <v>49</v>
      </c>
      <c r="E500" s="1" t="s">
        <v>109</v>
      </c>
      <c r="F500" s="1" t="s">
        <v>54</v>
      </c>
      <c r="G500" s="1" t="s">
        <v>32</v>
      </c>
      <c r="H500" s="1" t="s">
        <v>110</v>
      </c>
      <c r="I500" s="1">
        <v>3</v>
      </c>
      <c r="J500" s="1">
        <v>12.07</v>
      </c>
      <c r="K500" s="1">
        <v>15</v>
      </c>
      <c r="L500" s="1">
        <v>30.78</v>
      </c>
      <c r="M500" s="1">
        <v>17.690000000000001</v>
      </c>
      <c r="N500" s="1">
        <v>-3.2</v>
      </c>
      <c r="O500" s="6" t="s">
        <v>39</v>
      </c>
      <c r="P500" s="8">
        <f>Table1[Quantity]*Table1[Unit_Price]</f>
        <v>36.21</v>
      </c>
      <c r="Q500" s="1">
        <f>Table1[Profit]/Table1[Total_Sales]</f>
        <v>-0.10396361273554257</v>
      </c>
      <c r="R500" s="14">
        <f>Table1[Total_Sales]+Table1[Shipping_Cost]</f>
        <v>48.47</v>
      </c>
    </row>
    <row r="501" spans="1:18" x14ac:dyDescent="0.35">
      <c r="A501" s="3" t="s">
        <v>1061</v>
      </c>
      <c r="B501" s="2">
        <v>45207</v>
      </c>
      <c r="C501" s="1" t="s">
        <v>1062</v>
      </c>
      <c r="D501" s="1" t="s">
        <v>17</v>
      </c>
      <c r="E501" s="1" t="s">
        <v>109</v>
      </c>
      <c r="F501" s="1" t="s">
        <v>54</v>
      </c>
      <c r="G501" s="1" t="s">
        <v>42</v>
      </c>
      <c r="H501" s="1" t="s">
        <v>255</v>
      </c>
      <c r="I501" s="1">
        <v>2</v>
      </c>
      <c r="J501" s="1">
        <v>50.05</v>
      </c>
      <c r="K501" s="1">
        <v>25</v>
      </c>
      <c r="L501" s="1">
        <v>75.069999999999993</v>
      </c>
      <c r="M501" s="1">
        <v>12.65</v>
      </c>
      <c r="N501" s="1">
        <v>2.36</v>
      </c>
      <c r="O501" s="6" t="s">
        <v>34</v>
      </c>
      <c r="P501" s="8">
        <f>Table1[Quantity]*Table1[Unit_Price]</f>
        <v>100.1</v>
      </c>
      <c r="Q501" s="1">
        <f>Table1[Profit]/Table1[Total_Sales]</f>
        <v>3.1437325163181033E-2</v>
      </c>
      <c r="R501" s="14">
        <f>Table1[Total_Sales]+Table1[Shipping_Cost]</f>
        <v>87.72</v>
      </c>
    </row>
    <row r="502" spans="1:18" x14ac:dyDescent="0.35">
      <c r="A502" s="3" t="s">
        <v>1063</v>
      </c>
      <c r="B502" s="2">
        <v>45207</v>
      </c>
      <c r="C502" s="1" t="s">
        <v>1064</v>
      </c>
      <c r="D502" s="1" t="s">
        <v>30</v>
      </c>
      <c r="E502" s="1" t="s">
        <v>121</v>
      </c>
      <c r="F502" s="1" t="s">
        <v>68</v>
      </c>
      <c r="G502" s="1" t="s">
        <v>32</v>
      </c>
      <c r="H502" s="1" t="s">
        <v>82</v>
      </c>
      <c r="I502" s="1">
        <v>3</v>
      </c>
      <c r="J502" s="1">
        <v>21.94</v>
      </c>
      <c r="K502" s="1">
        <v>5</v>
      </c>
      <c r="L502" s="1">
        <v>62.53</v>
      </c>
      <c r="M502" s="1">
        <v>17.25</v>
      </c>
      <c r="N502" s="1">
        <v>15.66</v>
      </c>
      <c r="O502" s="6" t="s">
        <v>22</v>
      </c>
      <c r="P502" s="8">
        <f>Table1[Quantity]*Table1[Unit_Price]</f>
        <v>65.820000000000007</v>
      </c>
      <c r="Q502" s="1">
        <f>Table1[Profit]/Table1[Total_Sales]</f>
        <v>0.25043978890132734</v>
      </c>
      <c r="R502" s="14">
        <f>Table1[Total_Sales]+Table1[Shipping_Cost]</f>
        <v>79.78</v>
      </c>
    </row>
    <row r="503" spans="1:18" x14ac:dyDescent="0.35">
      <c r="A503" s="3" t="s">
        <v>1065</v>
      </c>
      <c r="B503" s="2">
        <v>45207</v>
      </c>
      <c r="C503" s="1" t="s">
        <v>1066</v>
      </c>
      <c r="D503" s="1" t="s">
        <v>49</v>
      </c>
      <c r="E503" s="1" t="s">
        <v>76</v>
      </c>
      <c r="F503" s="1" t="s">
        <v>26</v>
      </c>
      <c r="G503" s="1" t="s">
        <v>69</v>
      </c>
      <c r="H503" s="1" t="s">
        <v>163</v>
      </c>
      <c r="I503" s="1">
        <v>5</v>
      </c>
      <c r="J503" s="1">
        <v>68.42</v>
      </c>
      <c r="K503" s="1">
        <v>10</v>
      </c>
      <c r="L503" s="1">
        <v>307.89</v>
      </c>
      <c r="M503" s="1">
        <v>11.72</v>
      </c>
      <c r="N503" s="1">
        <v>125.12</v>
      </c>
      <c r="O503" s="6" t="s">
        <v>34</v>
      </c>
      <c r="P503" s="8">
        <f>Table1[Quantity]*Table1[Unit_Price]</f>
        <v>342.1</v>
      </c>
      <c r="Q503" s="1">
        <f>Table1[Profit]/Table1[Total_Sales]</f>
        <v>0.40637890155575046</v>
      </c>
      <c r="R503" s="14">
        <f>Table1[Total_Sales]+Table1[Shipping_Cost]</f>
        <v>319.61</v>
      </c>
    </row>
    <row r="504" spans="1:18" x14ac:dyDescent="0.35">
      <c r="A504" s="3" t="s">
        <v>1067</v>
      </c>
      <c r="B504" s="2">
        <v>45207</v>
      </c>
      <c r="C504" s="1" t="s">
        <v>1068</v>
      </c>
      <c r="D504" s="1" t="s">
        <v>30</v>
      </c>
      <c r="E504" s="1" t="s">
        <v>63</v>
      </c>
      <c r="F504" s="1" t="s">
        <v>54</v>
      </c>
      <c r="G504" s="1" t="s">
        <v>42</v>
      </c>
      <c r="H504" s="1" t="s">
        <v>118</v>
      </c>
      <c r="I504" s="1">
        <v>5</v>
      </c>
      <c r="J504" s="1">
        <v>85.91</v>
      </c>
      <c r="K504" s="1">
        <v>5</v>
      </c>
      <c r="L504" s="1">
        <v>408.07</v>
      </c>
      <c r="M504" s="1">
        <v>19.75</v>
      </c>
      <c r="N504" s="1">
        <v>130.59</v>
      </c>
      <c r="O504" s="6" t="s">
        <v>39</v>
      </c>
      <c r="P504" s="8">
        <f>Table1[Quantity]*Table1[Unit_Price]</f>
        <v>429.54999999999995</v>
      </c>
      <c r="Q504" s="1">
        <f>Table1[Profit]/Table1[Total_Sales]</f>
        <v>0.32001862425564243</v>
      </c>
      <c r="R504" s="14">
        <f>Table1[Total_Sales]+Table1[Shipping_Cost]</f>
        <v>427.82</v>
      </c>
    </row>
    <row r="505" spans="1:18" x14ac:dyDescent="0.35">
      <c r="A505" s="3" t="s">
        <v>1069</v>
      </c>
      <c r="B505" s="2">
        <v>45207</v>
      </c>
      <c r="C505" s="1" t="s">
        <v>1070</v>
      </c>
      <c r="D505" s="1" t="s">
        <v>30</v>
      </c>
      <c r="E505" s="1" t="s">
        <v>18</v>
      </c>
      <c r="F505" s="1" t="s">
        <v>19</v>
      </c>
      <c r="G505" s="1" t="s">
        <v>20</v>
      </c>
      <c r="H505" s="1" t="s">
        <v>38</v>
      </c>
      <c r="I505" s="1">
        <v>1</v>
      </c>
      <c r="J505" s="1">
        <v>43.09</v>
      </c>
      <c r="K505" s="1">
        <v>15</v>
      </c>
      <c r="L505" s="1">
        <v>36.630000000000003</v>
      </c>
      <c r="M505" s="1">
        <v>7.3</v>
      </c>
      <c r="N505" s="1">
        <v>5.63</v>
      </c>
      <c r="O505" s="6" t="s">
        <v>34</v>
      </c>
      <c r="P505" s="8">
        <f>Table1[Quantity]*Table1[Unit_Price]</f>
        <v>43.09</v>
      </c>
      <c r="Q505" s="1">
        <f>Table1[Profit]/Table1[Total_Sales]</f>
        <v>0.15369915369915368</v>
      </c>
      <c r="R505" s="14">
        <f>Table1[Total_Sales]+Table1[Shipping_Cost]</f>
        <v>43.93</v>
      </c>
    </row>
    <row r="506" spans="1:18" x14ac:dyDescent="0.35">
      <c r="A506" s="3" t="s">
        <v>1071</v>
      </c>
      <c r="B506" s="2">
        <v>45208</v>
      </c>
      <c r="C506" s="1" t="s">
        <v>1072</v>
      </c>
      <c r="D506" s="1" t="s">
        <v>49</v>
      </c>
      <c r="E506" s="1" t="s">
        <v>169</v>
      </c>
      <c r="F506" s="1" t="s">
        <v>68</v>
      </c>
      <c r="G506" s="1" t="s">
        <v>42</v>
      </c>
      <c r="H506" s="1" t="s">
        <v>43</v>
      </c>
      <c r="I506" s="1">
        <v>1</v>
      </c>
      <c r="J506" s="1">
        <v>184.6</v>
      </c>
      <c r="K506" s="1">
        <v>5</v>
      </c>
      <c r="L506" s="1">
        <v>175.37</v>
      </c>
      <c r="M506" s="1">
        <v>11.24</v>
      </c>
      <c r="N506" s="1">
        <v>53.37</v>
      </c>
      <c r="O506" s="6" t="s">
        <v>34</v>
      </c>
      <c r="P506" s="8">
        <f>Table1[Quantity]*Table1[Unit_Price]</f>
        <v>184.6</v>
      </c>
      <c r="Q506" s="1">
        <f>Table1[Profit]/Table1[Total_Sales]</f>
        <v>0.30432799224496776</v>
      </c>
      <c r="R506" s="14">
        <f>Table1[Total_Sales]+Table1[Shipping_Cost]</f>
        <v>186.61</v>
      </c>
    </row>
    <row r="507" spans="1:18" x14ac:dyDescent="0.35">
      <c r="A507" s="3" t="s">
        <v>1073</v>
      </c>
      <c r="B507" s="2">
        <v>45208</v>
      </c>
      <c r="C507" s="1" t="s">
        <v>1074</v>
      </c>
      <c r="D507" s="1" t="s">
        <v>49</v>
      </c>
      <c r="E507" s="1" t="s">
        <v>37</v>
      </c>
      <c r="F507" s="1" t="s">
        <v>26</v>
      </c>
      <c r="G507" s="1" t="s">
        <v>42</v>
      </c>
      <c r="H507" s="1" t="s">
        <v>43</v>
      </c>
      <c r="I507" s="1">
        <v>11</v>
      </c>
      <c r="J507" s="1">
        <v>272.86</v>
      </c>
      <c r="K507" s="1">
        <v>10</v>
      </c>
      <c r="L507" s="1">
        <v>2701.31</v>
      </c>
      <c r="M507" s="1">
        <v>26.06</v>
      </c>
      <c r="N507" s="1">
        <v>874.37</v>
      </c>
      <c r="O507" s="6" t="s">
        <v>34</v>
      </c>
      <c r="P507" s="8">
        <f>Table1[Quantity]*Table1[Unit_Price]</f>
        <v>3001.46</v>
      </c>
      <c r="Q507" s="1">
        <f>Table1[Profit]/Table1[Total_Sales]</f>
        <v>0.32368369420762522</v>
      </c>
      <c r="R507" s="14">
        <f>Table1[Total_Sales]+Table1[Shipping_Cost]</f>
        <v>2727.37</v>
      </c>
    </row>
    <row r="508" spans="1:18" x14ac:dyDescent="0.35">
      <c r="A508" s="3" t="s">
        <v>1075</v>
      </c>
      <c r="B508" s="2">
        <v>45209</v>
      </c>
      <c r="C508" s="1" t="s">
        <v>1076</v>
      </c>
      <c r="D508" s="1" t="s">
        <v>17</v>
      </c>
      <c r="E508" s="1" t="s">
        <v>135</v>
      </c>
      <c r="F508" s="1" t="s">
        <v>26</v>
      </c>
      <c r="G508" s="1" t="s">
        <v>69</v>
      </c>
      <c r="H508" s="1" t="s">
        <v>305</v>
      </c>
      <c r="I508" s="1">
        <v>7</v>
      </c>
      <c r="J508" s="1">
        <v>74.92</v>
      </c>
      <c r="K508" s="1">
        <v>25</v>
      </c>
      <c r="L508" s="1">
        <v>393.33</v>
      </c>
      <c r="M508" s="1">
        <v>17.73</v>
      </c>
      <c r="N508" s="1">
        <v>113.38</v>
      </c>
      <c r="O508" s="6" t="s">
        <v>39</v>
      </c>
      <c r="P508" s="8">
        <f>Table1[Quantity]*Table1[Unit_Price]</f>
        <v>524.44000000000005</v>
      </c>
      <c r="Q508" s="1">
        <f>Table1[Profit]/Table1[Total_Sales]</f>
        <v>0.28825668014135714</v>
      </c>
      <c r="R508" s="14">
        <f>Table1[Total_Sales]+Table1[Shipping_Cost]</f>
        <v>411.06</v>
      </c>
    </row>
    <row r="509" spans="1:18" x14ac:dyDescent="0.35">
      <c r="A509" s="3" t="s">
        <v>1077</v>
      </c>
      <c r="B509" s="2">
        <v>45209</v>
      </c>
      <c r="C509" s="1" t="s">
        <v>1078</v>
      </c>
      <c r="D509" s="1" t="s">
        <v>30</v>
      </c>
      <c r="E509" s="1" t="s">
        <v>76</v>
      </c>
      <c r="F509" s="1" t="s">
        <v>26</v>
      </c>
      <c r="G509" s="1" t="s">
        <v>42</v>
      </c>
      <c r="H509" s="1" t="s">
        <v>294</v>
      </c>
      <c r="I509" s="1">
        <v>5</v>
      </c>
      <c r="J509" s="1">
        <v>216.45</v>
      </c>
      <c r="K509" s="1">
        <v>0</v>
      </c>
      <c r="L509" s="1">
        <v>1082.25</v>
      </c>
      <c r="M509" s="1">
        <v>16.23</v>
      </c>
      <c r="N509" s="1">
        <v>416.67</v>
      </c>
      <c r="O509" s="6" t="s">
        <v>56</v>
      </c>
      <c r="P509" s="8">
        <f>Table1[Quantity]*Table1[Unit_Price]</f>
        <v>1082.25</v>
      </c>
      <c r="Q509" s="1">
        <f>Table1[Profit]/Table1[Total_Sales]</f>
        <v>0.385003465003465</v>
      </c>
      <c r="R509" s="14">
        <f>Table1[Total_Sales]+Table1[Shipping_Cost]</f>
        <v>1098.48</v>
      </c>
    </row>
    <row r="510" spans="1:18" x14ac:dyDescent="0.35">
      <c r="A510" s="3" t="s">
        <v>1079</v>
      </c>
      <c r="B510" s="2">
        <v>45209</v>
      </c>
      <c r="C510" s="1" t="s">
        <v>1080</v>
      </c>
      <c r="D510" s="1" t="s">
        <v>30</v>
      </c>
      <c r="E510" s="1" t="s">
        <v>92</v>
      </c>
      <c r="F510" s="1" t="s">
        <v>60</v>
      </c>
      <c r="G510" s="1" t="s">
        <v>42</v>
      </c>
      <c r="H510" s="1" t="s">
        <v>46</v>
      </c>
      <c r="I510" s="1">
        <v>3</v>
      </c>
      <c r="J510" s="1">
        <v>82.78</v>
      </c>
      <c r="K510" s="1">
        <v>5</v>
      </c>
      <c r="L510" s="1">
        <v>235.92</v>
      </c>
      <c r="M510" s="1">
        <v>13.57</v>
      </c>
      <c r="N510" s="1">
        <v>73.349999999999994</v>
      </c>
      <c r="O510" s="6" t="s">
        <v>34</v>
      </c>
      <c r="P510" s="8">
        <f>Table1[Quantity]*Table1[Unit_Price]</f>
        <v>248.34</v>
      </c>
      <c r="Q510" s="1">
        <f>Table1[Profit]/Table1[Total_Sales]</f>
        <v>0.31091047812817901</v>
      </c>
      <c r="R510" s="14">
        <f>Table1[Total_Sales]+Table1[Shipping_Cost]</f>
        <v>249.48999999999998</v>
      </c>
    </row>
    <row r="511" spans="1:18" x14ac:dyDescent="0.35">
      <c r="A511" s="3" t="s">
        <v>1081</v>
      </c>
      <c r="B511" s="2">
        <v>45209</v>
      </c>
      <c r="C511" s="1" t="s">
        <v>1082</v>
      </c>
      <c r="D511" s="1" t="s">
        <v>30</v>
      </c>
      <c r="E511" s="1" t="s">
        <v>18</v>
      </c>
      <c r="F511" s="1" t="s">
        <v>19</v>
      </c>
      <c r="G511" s="1" t="s">
        <v>20</v>
      </c>
      <c r="H511" s="1" t="s">
        <v>21</v>
      </c>
      <c r="I511" s="1">
        <v>4</v>
      </c>
      <c r="J511" s="1">
        <v>211.07</v>
      </c>
      <c r="K511" s="1">
        <v>5</v>
      </c>
      <c r="L511" s="1">
        <v>802.07</v>
      </c>
      <c r="M511" s="1">
        <v>7.73</v>
      </c>
      <c r="N511" s="1">
        <v>329.99</v>
      </c>
      <c r="O511" s="6" t="s">
        <v>39</v>
      </c>
      <c r="P511" s="8">
        <f>Table1[Quantity]*Table1[Unit_Price]</f>
        <v>844.28</v>
      </c>
      <c r="Q511" s="1">
        <f>Table1[Profit]/Table1[Total_Sales]</f>
        <v>0.41142294313463912</v>
      </c>
      <c r="R511" s="14">
        <f>Table1[Total_Sales]+Table1[Shipping_Cost]</f>
        <v>809.80000000000007</v>
      </c>
    </row>
    <row r="512" spans="1:18" x14ac:dyDescent="0.35">
      <c r="A512" s="3" t="s">
        <v>1083</v>
      </c>
      <c r="B512" s="2">
        <v>45209</v>
      </c>
      <c r="C512" s="1" t="s">
        <v>1084</v>
      </c>
      <c r="D512" s="1" t="s">
        <v>17</v>
      </c>
      <c r="E512" s="1" t="s">
        <v>129</v>
      </c>
      <c r="F512" s="1" t="s">
        <v>19</v>
      </c>
      <c r="G512" s="1" t="s">
        <v>42</v>
      </c>
      <c r="H512" s="1" t="s">
        <v>255</v>
      </c>
      <c r="I512" s="1">
        <v>1</v>
      </c>
      <c r="J512" s="1">
        <v>19.95</v>
      </c>
      <c r="K512" s="1">
        <v>0</v>
      </c>
      <c r="L512" s="1">
        <v>19.95</v>
      </c>
      <c r="M512" s="1">
        <v>6.89</v>
      </c>
      <c r="N512" s="1">
        <v>1.0900000000000001</v>
      </c>
      <c r="O512" s="6" t="s">
        <v>34</v>
      </c>
      <c r="P512" s="8">
        <f>Table1[Quantity]*Table1[Unit_Price]</f>
        <v>19.95</v>
      </c>
      <c r="Q512" s="1">
        <f>Table1[Profit]/Table1[Total_Sales]</f>
        <v>5.4636591478696747E-2</v>
      </c>
      <c r="R512" s="14">
        <f>Table1[Total_Sales]+Table1[Shipping_Cost]</f>
        <v>26.84</v>
      </c>
    </row>
    <row r="513" spans="1:18" x14ac:dyDescent="0.35">
      <c r="A513" s="3" t="s">
        <v>1085</v>
      </c>
      <c r="B513" s="2">
        <v>45210</v>
      </c>
      <c r="C513" s="1" t="s">
        <v>78</v>
      </c>
      <c r="D513" s="1" t="s">
        <v>17</v>
      </c>
      <c r="E513" s="1" t="s">
        <v>109</v>
      </c>
      <c r="F513" s="1" t="s">
        <v>54</v>
      </c>
      <c r="G513" s="1" t="s">
        <v>42</v>
      </c>
      <c r="H513" s="1" t="s">
        <v>255</v>
      </c>
      <c r="I513" s="1">
        <v>4</v>
      </c>
      <c r="J513" s="1">
        <v>37.67</v>
      </c>
      <c r="K513" s="1">
        <v>10</v>
      </c>
      <c r="L513" s="1">
        <v>135.61000000000001</v>
      </c>
      <c r="M513" s="1">
        <v>15.83</v>
      </c>
      <c r="N513" s="1">
        <v>29.37</v>
      </c>
      <c r="O513" s="6" t="s">
        <v>39</v>
      </c>
      <c r="P513" s="8">
        <f>Table1[Quantity]*Table1[Unit_Price]</f>
        <v>150.68</v>
      </c>
      <c r="Q513" s="1">
        <f>Table1[Profit]/Table1[Total_Sales]</f>
        <v>0.21657694860261043</v>
      </c>
      <c r="R513" s="14">
        <f>Table1[Total_Sales]+Table1[Shipping_Cost]</f>
        <v>151.44000000000003</v>
      </c>
    </row>
    <row r="514" spans="1:18" x14ac:dyDescent="0.35">
      <c r="A514" s="3" t="s">
        <v>1086</v>
      </c>
      <c r="B514" s="2">
        <v>45210</v>
      </c>
      <c r="C514" s="1" t="s">
        <v>1087</v>
      </c>
      <c r="D514" s="1" t="s">
        <v>30</v>
      </c>
      <c r="E514" s="1" t="s">
        <v>248</v>
      </c>
      <c r="F514" s="1" t="s">
        <v>26</v>
      </c>
      <c r="G514" s="1" t="s">
        <v>32</v>
      </c>
      <c r="H514" s="1" t="s">
        <v>82</v>
      </c>
      <c r="I514" s="1">
        <v>3</v>
      </c>
      <c r="J514" s="1">
        <v>24.08</v>
      </c>
      <c r="K514" s="1">
        <v>0</v>
      </c>
      <c r="L514" s="1">
        <v>72.239999999999995</v>
      </c>
      <c r="M514" s="1">
        <v>8.67</v>
      </c>
      <c r="N514" s="1">
        <v>31.06</v>
      </c>
      <c r="O514" s="6" t="s">
        <v>39</v>
      </c>
      <c r="P514" s="8">
        <f>Table1[Quantity]*Table1[Unit_Price]</f>
        <v>72.239999999999995</v>
      </c>
      <c r="Q514" s="1">
        <f>Table1[Profit]/Table1[Total_Sales]</f>
        <v>0.42995570321151716</v>
      </c>
      <c r="R514" s="14">
        <f>Table1[Total_Sales]+Table1[Shipping_Cost]</f>
        <v>80.91</v>
      </c>
    </row>
    <row r="515" spans="1:18" x14ac:dyDescent="0.35">
      <c r="A515" s="3" t="s">
        <v>1088</v>
      </c>
      <c r="B515" s="2">
        <v>45210</v>
      </c>
      <c r="C515" s="1" t="s">
        <v>496</v>
      </c>
      <c r="D515" s="1" t="s">
        <v>17</v>
      </c>
      <c r="E515" s="1" t="s">
        <v>129</v>
      </c>
      <c r="F515" s="1" t="s">
        <v>19</v>
      </c>
      <c r="G515" s="1" t="s">
        <v>20</v>
      </c>
      <c r="H515" s="1" t="s">
        <v>175</v>
      </c>
      <c r="I515" s="1">
        <v>2</v>
      </c>
      <c r="J515" s="1">
        <v>19.41</v>
      </c>
      <c r="K515" s="1">
        <v>15</v>
      </c>
      <c r="L515" s="1">
        <v>33</v>
      </c>
      <c r="M515" s="1">
        <v>7.48</v>
      </c>
      <c r="N515" s="1">
        <v>4.17</v>
      </c>
      <c r="O515" s="6" t="s">
        <v>34</v>
      </c>
      <c r="P515" s="8">
        <f>Table1[Quantity]*Table1[Unit_Price]</f>
        <v>38.82</v>
      </c>
      <c r="Q515" s="1">
        <f>Table1[Profit]/Table1[Total_Sales]</f>
        <v>0.12636363636363637</v>
      </c>
      <c r="R515" s="14">
        <f>Table1[Total_Sales]+Table1[Shipping_Cost]</f>
        <v>40.480000000000004</v>
      </c>
    </row>
    <row r="516" spans="1:18" x14ac:dyDescent="0.35">
      <c r="A516" s="3" t="s">
        <v>1089</v>
      </c>
      <c r="B516" s="2">
        <v>45212</v>
      </c>
      <c r="C516" s="1" t="s">
        <v>1090</v>
      </c>
      <c r="D516" s="1" t="s">
        <v>30</v>
      </c>
      <c r="E516" s="1" t="s">
        <v>135</v>
      </c>
      <c r="F516" s="1" t="s">
        <v>26</v>
      </c>
      <c r="G516" s="1" t="s">
        <v>69</v>
      </c>
      <c r="H516" s="1" t="s">
        <v>139</v>
      </c>
      <c r="I516" s="1">
        <v>4</v>
      </c>
      <c r="J516" s="1">
        <v>37.35</v>
      </c>
      <c r="K516" s="1">
        <v>10</v>
      </c>
      <c r="L516" s="1">
        <v>134.46</v>
      </c>
      <c r="M516" s="1">
        <v>13.42</v>
      </c>
      <c r="N516" s="1">
        <v>46.34</v>
      </c>
      <c r="O516" s="6" t="s">
        <v>34</v>
      </c>
      <c r="P516" s="8">
        <f>Table1[Quantity]*Table1[Unit_Price]</f>
        <v>149.4</v>
      </c>
      <c r="Q516" s="1">
        <f>Table1[Profit]/Table1[Total_Sales]</f>
        <v>0.3446378105012643</v>
      </c>
      <c r="R516" s="14">
        <f>Table1[Total_Sales]+Table1[Shipping_Cost]</f>
        <v>147.88</v>
      </c>
    </row>
    <row r="517" spans="1:18" x14ac:dyDescent="0.35">
      <c r="A517" s="3" t="s">
        <v>1091</v>
      </c>
      <c r="B517" s="2">
        <v>45213</v>
      </c>
      <c r="C517" s="1" t="s">
        <v>1092</v>
      </c>
      <c r="D517" s="1" t="s">
        <v>30</v>
      </c>
      <c r="E517" s="1" t="s">
        <v>109</v>
      </c>
      <c r="F517" s="1" t="s">
        <v>54</v>
      </c>
      <c r="G517" s="1" t="s">
        <v>32</v>
      </c>
      <c r="H517" s="1" t="s">
        <v>132</v>
      </c>
      <c r="I517" s="1">
        <v>2</v>
      </c>
      <c r="J517" s="1">
        <v>18.53</v>
      </c>
      <c r="K517" s="1">
        <v>15</v>
      </c>
      <c r="L517" s="1">
        <v>31.5</v>
      </c>
      <c r="M517" s="1">
        <v>15.09</v>
      </c>
      <c r="N517" s="1">
        <v>-0.27</v>
      </c>
      <c r="O517" s="6" t="s">
        <v>39</v>
      </c>
      <c r="P517" s="8">
        <f>Table1[Quantity]*Table1[Unit_Price]</f>
        <v>37.06</v>
      </c>
      <c r="Q517" s="1">
        <f>Table1[Profit]/Table1[Total_Sales]</f>
        <v>-8.5714285714285719E-3</v>
      </c>
      <c r="R517" s="14">
        <f>Table1[Total_Sales]+Table1[Shipping_Cost]</f>
        <v>46.59</v>
      </c>
    </row>
    <row r="518" spans="1:18" x14ac:dyDescent="0.35">
      <c r="A518" s="3" t="s">
        <v>1093</v>
      </c>
      <c r="B518" s="2">
        <v>45213</v>
      </c>
      <c r="C518" s="1" t="s">
        <v>1094</v>
      </c>
      <c r="D518" s="1" t="s">
        <v>30</v>
      </c>
      <c r="E518" s="1" t="s">
        <v>148</v>
      </c>
      <c r="F518" s="1" t="s">
        <v>60</v>
      </c>
      <c r="G518" s="1" t="s">
        <v>32</v>
      </c>
      <c r="H518" s="1" t="s">
        <v>82</v>
      </c>
      <c r="I518" s="1">
        <v>1</v>
      </c>
      <c r="J518" s="1">
        <v>20.54</v>
      </c>
      <c r="K518" s="1">
        <v>5</v>
      </c>
      <c r="L518" s="1">
        <v>19.510000000000002</v>
      </c>
      <c r="M518" s="1">
        <v>9.89</v>
      </c>
      <c r="N518" s="1">
        <v>0.38</v>
      </c>
      <c r="O518" s="6" t="s">
        <v>56</v>
      </c>
      <c r="P518" s="8">
        <f>Table1[Quantity]*Table1[Unit_Price]</f>
        <v>20.54</v>
      </c>
      <c r="Q518" s="1">
        <f>Table1[Profit]/Table1[Total_Sales]</f>
        <v>1.9477191184008199E-2</v>
      </c>
      <c r="R518" s="14">
        <f>Table1[Total_Sales]+Table1[Shipping_Cost]</f>
        <v>29.400000000000002</v>
      </c>
    </row>
    <row r="519" spans="1:18" x14ac:dyDescent="0.35">
      <c r="A519" s="3" t="s">
        <v>1095</v>
      </c>
      <c r="B519" s="2">
        <v>45214</v>
      </c>
      <c r="C519" s="1" t="s">
        <v>1096</v>
      </c>
      <c r="D519" s="1" t="s">
        <v>49</v>
      </c>
      <c r="E519" s="1" t="s">
        <v>76</v>
      </c>
      <c r="F519" s="1" t="s">
        <v>26</v>
      </c>
      <c r="G519" s="1" t="s">
        <v>20</v>
      </c>
      <c r="H519" s="1" t="s">
        <v>175</v>
      </c>
      <c r="I519" s="1">
        <v>2</v>
      </c>
      <c r="J519" s="1">
        <v>34.81</v>
      </c>
      <c r="K519" s="1">
        <v>0</v>
      </c>
      <c r="L519" s="1">
        <v>69.62</v>
      </c>
      <c r="M519" s="1">
        <v>8.7200000000000006</v>
      </c>
      <c r="N519" s="1">
        <v>22.61</v>
      </c>
      <c r="O519" s="6" t="s">
        <v>34</v>
      </c>
      <c r="P519" s="8">
        <f>Table1[Quantity]*Table1[Unit_Price]</f>
        <v>69.62</v>
      </c>
      <c r="Q519" s="1">
        <f>Table1[Profit]/Table1[Total_Sales]</f>
        <v>0.32476299913817863</v>
      </c>
      <c r="R519" s="14">
        <f>Table1[Total_Sales]+Table1[Shipping_Cost]</f>
        <v>78.34</v>
      </c>
    </row>
    <row r="520" spans="1:18" x14ac:dyDescent="0.35">
      <c r="A520" s="3" t="s">
        <v>1097</v>
      </c>
      <c r="B520" s="2">
        <v>45216</v>
      </c>
      <c r="C520" s="1" t="s">
        <v>1098</v>
      </c>
      <c r="D520" s="1" t="s">
        <v>17</v>
      </c>
      <c r="E520" s="1" t="s">
        <v>248</v>
      </c>
      <c r="F520" s="1" t="s">
        <v>26</v>
      </c>
      <c r="G520" s="1" t="s">
        <v>69</v>
      </c>
      <c r="H520" s="1" t="s">
        <v>139</v>
      </c>
      <c r="I520" s="1">
        <v>1</v>
      </c>
      <c r="J520" s="1">
        <v>62.32</v>
      </c>
      <c r="K520" s="1">
        <v>5</v>
      </c>
      <c r="L520" s="1">
        <v>59.2</v>
      </c>
      <c r="M520" s="1">
        <v>9.2799999999999994</v>
      </c>
      <c r="N520" s="1">
        <v>18.760000000000002</v>
      </c>
      <c r="O520" s="6" t="s">
        <v>39</v>
      </c>
      <c r="P520" s="8">
        <f>Table1[Quantity]*Table1[Unit_Price]</f>
        <v>62.32</v>
      </c>
      <c r="Q520" s="1">
        <f>Table1[Profit]/Table1[Total_Sales]</f>
        <v>0.31689189189189193</v>
      </c>
      <c r="R520" s="14">
        <f>Table1[Total_Sales]+Table1[Shipping_Cost]</f>
        <v>68.48</v>
      </c>
    </row>
    <row r="521" spans="1:18" x14ac:dyDescent="0.35">
      <c r="A521" s="3" t="s">
        <v>1099</v>
      </c>
      <c r="B521" s="2">
        <v>45216</v>
      </c>
      <c r="C521" s="1" t="s">
        <v>1100</v>
      </c>
      <c r="D521" s="1" t="s">
        <v>17</v>
      </c>
      <c r="E521" s="1" t="s">
        <v>138</v>
      </c>
      <c r="F521" s="1" t="s">
        <v>54</v>
      </c>
      <c r="G521" s="1" t="s">
        <v>32</v>
      </c>
      <c r="H521" s="1" t="s">
        <v>33</v>
      </c>
      <c r="I521" s="1">
        <v>3</v>
      </c>
      <c r="J521" s="1">
        <v>9.4499999999999993</v>
      </c>
      <c r="K521" s="1">
        <v>25</v>
      </c>
      <c r="L521" s="1">
        <v>21.26</v>
      </c>
      <c r="M521" s="1">
        <v>14.95</v>
      </c>
      <c r="N521" s="1">
        <v>-6.45</v>
      </c>
      <c r="O521" s="6" t="s">
        <v>39</v>
      </c>
      <c r="P521" s="8">
        <f>Table1[Quantity]*Table1[Unit_Price]</f>
        <v>28.349999999999998</v>
      </c>
      <c r="Q521" s="1">
        <f>Table1[Profit]/Table1[Total_Sales]</f>
        <v>-0.30338664158043271</v>
      </c>
      <c r="R521" s="14">
        <f>Table1[Total_Sales]+Table1[Shipping_Cost]</f>
        <v>36.21</v>
      </c>
    </row>
    <row r="522" spans="1:18" x14ac:dyDescent="0.35">
      <c r="A522" s="3" t="s">
        <v>1101</v>
      </c>
      <c r="B522" s="2">
        <v>45216</v>
      </c>
      <c r="C522" s="1" t="s">
        <v>1102</v>
      </c>
      <c r="D522" s="1" t="s">
        <v>17</v>
      </c>
      <c r="E522" s="1" t="s">
        <v>37</v>
      </c>
      <c r="F522" s="1" t="s">
        <v>26</v>
      </c>
      <c r="G522" s="1" t="s">
        <v>69</v>
      </c>
      <c r="H522" s="1" t="s">
        <v>160</v>
      </c>
      <c r="I522" s="1">
        <v>2</v>
      </c>
      <c r="J522" s="1">
        <v>34.22</v>
      </c>
      <c r="K522" s="1">
        <v>0</v>
      </c>
      <c r="L522" s="1">
        <v>68.44</v>
      </c>
      <c r="M522" s="1">
        <v>9.61</v>
      </c>
      <c r="N522" s="1">
        <v>24.61</v>
      </c>
      <c r="O522" s="6" t="s">
        <v>56</v>
      </c>
      <c r="P522" s="8">
        <f>Table1[Quantity]*Table1[Unit_Price]</f>
        <v>68.44</v>
      </c>
      <c r="Q522" s="1">
        <f>Table1[Profit]/Table1[Total_Sales]</f>
        <v>0.35958503798947983</v>
      </c>
      <c r="R522" s="14">
        <f>Table1[Total_Sales]+Table1[Shipping_Cost]</f>
        <v>78.05</v>
      </c>
    </row>
    <row r="523" spans="1:18" x14ac:dyDescent="0.35">
      <c r="A523" s="3" t="s">
        <v>1103</v>
      </c>
      <c r="B523" s="2">
        <v>45217</v>
      </c>
      <c r="C523" s="1" t="s">
        <v>1104</v>
      </c>
      <c r="D523" s="1" t="s">
        <v>17</v>
      </c>
      <c r="E523" s="1" t="s">
        <v>138</v>
      </c>
      <c r="F523" s="1" t="s">
        <v>54</v>
      </c>
      <c r="G523" s="1" t="s">
        <v>20</v>
      </c>
      <c r="H523" s="1" t="s">
        <v>27</v>
      </c>
      <c r="I523" s="1">
        <v>4</v>
      </c>
      <c r="J523" s="1">
        <v>65.64</v>
      </c>
      <c r="K523" s="1">
        <v>25</v>
      </c>
      <c r="L523" s="1">
        <v>196.92</v>
      </c>
      <c r="M523" s="1">
        <v>19.34</v>
      </c>
      <c r="N523" s="1">
        <v>33.17</v>
      </c>
      <c r="O523" s="6" t="s">
        <v>22</v>
      </c>
      <c r="P523" s="8">
        <f>Table1[Quantity]*Table1[Unit_Price]</f>
        <v>262.56</v>
      </c>
      <c r="Q523" s="1">
        <f>Table1[Profit]/Table1[Total_Sales]</f>
        <v>0.1684440381880967</v>
      </c>
      <c r="R523" s="14">
        <f>Table1[Total_Sales]+Table1[Shipping_Cost]</f>
        <v>216.26</v>
      </c>
    </row>
    <row r="524" spans="1:18" x14ac:dyDescent="0.35">
      <c r="A524" s="3" t="s">
        <v>1105</v>
      </c>
      <c r="B524" s="2">
        <v>45217</v>
      </c>
      <c r="C524" s="1" t="s">
        <v>1106</v>
      </c>
      <c r="D524" s="1" t="s">
        <v>49</v>
      </c>
      <c r="E524" s="1" t="s">
        <v>63</v>
      </c>
      <c r="F524" s="1" t="s">
        <v>54</v>
      </c>
      <c r="G524" s="1" t="s">
        <v>69</v>
      </c>
      <c r="H524" s="1" t="s">
        <v>163</v>
      </c>
      <c r="I524" s="1">
        <v>3</v>
      </c>
      <c r="J524" s="1">
        <v>38.42</v>
      </c>
      <c r="K524" s="1">
        <v>0</v>
      </c>
      <c r="L524" s="1">
        <v>115.26</v>
      </c>
      <c r="M524" s="1">
        <v>18.100000000000001</v>
      </c>
      <c r="N524" s="1">
        <v>39.53</v>
      </c>
      <c r="O524" s="6" t="s">
        <v>34</v>
      </c>
      <c r="P524" s="8">
        <f>Table1[Quantity]*Table1[Unit_Price]</f>
        <v>115.26</v>
      </c>
      <c r="Q524" s="1">
        <f>Table1[Profit]/Table1[Total_Sales]</f>
        <v>0.34296373416623288</v>
      </c>
      <c r="R524" s="14">
        <f>Table1[Total_Sales]+Table1[Shipping_Cost]</f>
        <v>133.36000000000001</v>
      </c>
    </row>
    <row r="525" spans="1:18" x14ac:dyDescent="0.35">
      <c r="A525" s="3" t="s">
        <v>1107</v>
      </c>
      <c r="B525" s="2">
        <v>45217</v>
      </c>
      <c r="C525" s="1" t="s">
        <v>325</v>
      </c>
      <c r="D525" s="1" t="s">
        <v>30</v>
      </c>
      <c r="E525" s="1" t="s">
        <v>148</v>
      </c>
      <c r="F525" s="1" t="s">
        <v>60</v>
      </c>
      <c r="G525" s="1" t="s">
        <v>20</v>
      </c>
      <c r="H525" s="1" t="s">
        <v>106</v>
      </c>
      <c r="I525" s="1">
        <v>1</v>
      </c>
      <c r="J525" s="1">
        <v>46.22</v>
      </c>
      <c r="K525" s="1">
        <v>15</v>
      </c>
      <c r="L525" s="1">
        <v>39.29</v>
      </c>
      <c r="M525" s="1">
        <v>10.54</v>
      </c>
      <c r="N525" s="1">
        <v>3.33</v>
      </c>
      <c r="O525" s="6" t="s">
        <v>34</v>
      </c>
      <c r="P525" s="8">
        <f>Table1[Quantity]*Table1[Unit_Price]</f>
        <v>46.22</v>
      </c>
      <c r="Q525" s="1">
        <f>Table1[Profit]/Table1[Total_Sales]</f>
        <v>8.4754390430134899E-2</v>
      </c>
      <c r="R525" s="14">
        <f>Table1[Total_Sales]+Table1[Shipping_Cost]</f>
        <v>49.83</v>
      </c>
    </row>
    <row r="526" spans="1:18" x14ac:dyDescent="0.35">
      <c r="A526" s="3" t="s">
        <v>1108</v>
      </c>
      <c r="B526" s="2">
        <v>45219</v>
      </c>
      <c r="C526" s="1" t="s">
        <v>1109</v>
      </c>
      <c r="D526" s="1" t="s">
        <v>30</v>
      </c>
      <c r="E526" s="1" t="s">
        <v>53</v>
      </c>
      <c r="F526" s="1" t="s">
        <v>54</v>
      </c>
      <c r="G526" s="1" t="s">
        <v>20</v>
      </c>
      <c r="H526" s="1" t="s">
        <v>27</v>
      </c>
      <c r="I526" s="1">
        <v>3</v>
      </c>
      <c r="J526" s="1">
        <v>146.85</v>
      </c>
      <c r="K526" s="1">
        <v>10</v>
      </c>
      <c r="L526" s="1">
        <v>396.49</v>
      </c>
      <c r="M526" s="1">
        <v>15.07</v>
      </c>
      <c r="N526" s="1">
        <v>139.12</v>
      </c>
      <c r="O526" s="6" t="s">
        <v>39</v>
      </c>
      <c r="P526" s="8">
        <f>Table1[Quantity]*Table1[Unit_Price]</f>
        <v>440.54999999999995</v>
      </c>
      <c r="Q526" s="1">
        <f>Table1[Profit]/Table1[Total_Sales]</f>
        <v>0.35087896289944259</v>
      </c>
      <c r="R526" s="14">
        <f>Table1[Total_Sales]+Table1[Shipping_Cost]</f>
        <v>411.56</v>
      </c>
    </row>
    <row r="527" spans="1:18" x14ac:dyDescent="0.35">
      <c r="A527" s="3" t="s">
        <v>1110</v>
      </c>
      <c r="B527" s="2">
        <v>45219</v>
      </c>
      <c r="C527" s="1" t="s">
        <v>1111</v>
      </c>
      <c r="D527" s="1" t="s">
        <v>17</v>
      </c>
      <c r="E527" s="1" t="s">
        <v>59</v>
      </c>
      <c r="F527" s="1" t="s">
        <v>60</v>
      </c>
      <c r="G527" s="1" t="s">
        <v>20</v>
      </c>
      <c r="H527" s="1" t="s">
        <v>175</v>
      </c>
      <c r="I527" s="1">
        <v>4</v>
      </c>
      <c r="J527" s="1">
        <v>15.34</v>
      </c>
      <c r="K527" s="1">
        <v>10</v>
      </c>
      <c r="L527" s="1">
        <v>55.22</v>
      </c>
      <c r="M527" s="1">
        <v>16.78</v>
      </c>
      <c r="N527" s="1">
        <v>4.6900000000000004</v>
      </c>
      <c r="O527" s="6" t="s">
        <v>39</v>
      </c>
      <c r="P527" s="8">
        <f>Table1[Quantity]*Table1[Unit_Price]</f>
        <v>61.36</v>
      </c>
      <c r="Q527" s="1">
        <f>Table1[Profit]/Table1[Total_Sales]</f>
        <v>8.4932995291561036E-2</v>
      </c>
      <c r="R527" s="14">
        <f>Table1[Total_Sales]+Table1[Shipping_Cost]</f>
        <v>72</v>
      </c>
    </row>
    <row r="528" spans="1:18" x14ac:dyDescent="0.35">
      <c r="A528" s="3" t="s">
        <v>1112</v>
      </c>
      <c r="B528" s="2">
        <v>45219</v>
      </c>
      <c r="C528" s="1" t="s">
        <v>1113</v>
      </c>
      <c r="D528" s="1" t="s">
        <v>17</v>
      </c>
      <c r="E528" s="1" t="s">
        <v>25</v>
      </c>
      <c r="F528" s="1" t="s">
        <v>26</v>
      </c>
      <c r="G528" s="1" t="s">
        <v>32</v>
      </c>
      <c r="H528" s="1" t="s">
        <v>82</v>
      </c>
      <c r="I528" s="1">
        <v>2</v>
      </c>
      <c r="J528" s="1">
        <v>22.13</v>
      </c>
      <c r="K528" s="1">
        <v>25</v>
      </c>
      <c r="L528" s="1">
        <v>33.200000000000003</v>
      </c>
      <c r="M528" s="1">
        <v>8.4600000000000009</v>
      </c>
      <c r="N528" s="1">
        <v>4.82</v>
      </c>
      <c r="O528" s="6" t="s">
        <v>34</v>
      </c>
      <c r="P528" s="8">
        <f>Table1[Quantity]*Table1[Unit_Price]</f>
        <v>44.26</v>
      </c>
      <c r="Q528" s="1">
        <f>Table1[Profit]/Table1[Total_Sales]</f>
        <v>0.14518072289156625</v>
      </c>
      <c r="R528" s="14">
        <f>Table1[Total_Sales]+Table1[Shipping_Cost]</f>
        <v>41.660000000000004</v>
      </c>
    </row>
    <row r="529" spans="1:18" x14ac:dyDescent="0.35">
      <c r="A529" s="3" t="s">
        <v>1114</v>
      </c>
      <c r="B529" s="2">
        <v>45219</v>
      </c>
      <c r="C529" s="1" t="s">
        <v>1115</v>
      </c>
      <c r="D529" s="1" t="s">
        <v>17</v>
      </c>
      <c r="E529" s="1" t="s">
        <v>37</v>
      </c>
      <c r="F529" s="1" t="s">
        <v>26</v>
      </c>
      <c r="G529" s="1" t="s">
        <v>20</v>
      </c>
      <c r="H529" s="1" t="s">
        <v>199</v>
      </c>
      <c r="I529" s="1">
        <v>5</v>
      </c>
      <c r="J529" s="1">
        <v>68.150000000000006</v>
      </c>
      <c r="K529" s="1">
        <v>20</v>
      </c>
      <c r="L529" s="1">
        <v>272.60000000000002</v>
      </c>
      <c r="M529" s="1">
        <v>12.18</v>
      </c>
      <c r="N529" s="1">
        <v>73.010000000000005</v>
      </c>
      <c r="O529" s="6" t="s">
        <v>34</v>
      </c>
      <c r="P529" s="8">
        <f>Table1[Quantity]*Table1[Unit_Price]</f>
        <v>340.75</v>
      </c>
      <c r="Q529" s="1">
        <f>Table1[Profit]/Table1[Total_Sales]</f>
        <v>0.26782831988261191</v>
      </c>
      <c r="R529" s="14">
        <f>Table1[Total_Sales]+Table1[Shipping_Cost]</f>
        <v>284.78000000000003</v>
      </c>
    </row>
    <row r="530" spans="1:18" x14ac:dyDescent="0.35">
      <c r="A530" s="3" t="s">
        <v>1116</v>
      </c>
      <c r="B530" s="2">
        <v>45219</v>
      </c>
      <c r="C530" s="1" t="s">
        <v>807</v>
      </c>
      <c r="D530" s="1" t="s">
        <v>17</v>
      </c>
      <c r="E530" s="1" t="s">
        <v>18</v>
      </c>
      <c r="F530" s="1" t="s">
        <v>19</v>
      </c>
      <c r="G530" s="1" t="s">
        <v>42</v>
      </c>
      <c r="H530" s="1" t="s">
        <v>64</v>
      </c>
      <c r="I530" s="1">
        <v>1</v>
      </c>
      <c r="J530" s="1">
        <v>129.24</v>
      </c>
      <c r="K530" s="1">
        <v>20</v>
      </c>
      <c r="L530" s="1">
        <v>103.39</v>
      </c>
      <c r="M530" s="1">
        <v>5.96</v>
      </c>
      <c r="N530" s="1">
        <v>19.89</v>
      </c>
      <c r="O530" s="6" t="s">
        <v>34</v>
      </c>
      <c r="P530" s="8">
        <f>Table1[Quantity]*Table1[Unit_Price]</f>
        <v>129.24</v>
      </c>
      <c r="Q530" s="1">
        <f>Table1[Profit]/Table1[Total_Sales]</f>
        <v>0.19237837315020795</v>
      </c>
      <c r="R530" s="14">
        <f>Table1[Total_Sales]+Table1[Shipping_Cost]</f>
        <v>109.35</v>
      </c>
    </row>
    <row r="531" spans="1:18" x14ac:dyDescent="0.35">
      <c r="A531" s="3" t="s">
        <v>1117</v>
      </c>
      <c r="B531" s="2">
        <v>45219</v>
      </c>
      <c r="C531" s="1" t="s">
        <v>1118</v>
      </c>
      <c r="D531" s="1" t="s">
        <v>17</v>
      </c>
      <c r="E531" s="1" t="s">
        <v>85</v>
      </c>
      <c r="F531" s="1" t="s">
        <v>60</v>
      </c>
      <c r="G531" s="1" t="s">
        <v>69</v>
      </c>
      <c r="H531" s="1" t="s">
        <v>79</v>
      </c>
      <c r="I531" s="1">
        <v>1</v>
      </c>
      <c r="J531" s="1">
        <v>82.52</v>
      </c>
      <c r="K531" s="1">
        <v>20</v>
      </c>
      <c r="L531" s="1">
        <v>66.02</v>
      </c>
      <c r="M531" s="1">
        <v>9.64</v>
      </c>
      <c r="N531" s="1">
        <v>15.12</v>
      </c>
      <c r="O531" s="6" t="s">
        <v>22</v>
      </c>
      <c r="P531" s="8">
        <f>Table1[Quantity]*Table1[Unit_Price]</f>
        <v>82.52</v>
      </c>
      <c r="Q531" s="1">
        <f>Table1[Profit]/Table1[Total_Sales]</f>
        <v>0.22902150863374734</v>
      </c>
      <c r="R531" s="14">
        <f>Table1[Total_Sales]+Table1[Shipping_Cost]</f>
        <v>75.66</v>
      </c>
    </row>
    <row r="532" spans="1:18" x14ac:dyDescent="0.35">
      <c r="A532" s="3" t="s">
        <v>1119</v>
      </c>
      <c r="B532" s="2">
        <v>45220</v>
      </c>
      <c r="C532" s="1" t="s">
        <v>1120</v>
      </c>
      <c r="D532" s="1" t="s">
        <v>17</v>
      </c>
      <c r="E532" s="1" t="s">
        <v>85</v>
      </c>
      <c r="F532" s="1" t="s">
        <v>60</v>
      </c>
      <c r="G532" s="1" t="s">
        <v>42</v>
      </c>
      <c r="H532" s="1" t="s">
        <v>64</v>
      </c>
      <c r="I532" s="1">
        <v>5</v>
      </c>
      <c r="J532" s="1">
        <v>127.98</v>
      </c>
      <c r="K532" s="1">
        <v>20</v>
      </c>
      <c r="L532" s="1">
        <v>511.92</v>
      </c>
      <c r="M532" s="1">
        <v>13.19</v>
      </c>
      <c r="N532" s="1">
        <v>114.79</v>
      </c>
      <c r="O532" s="6" t="s">
        <v>34</v>
      </c>
      <c r="P532" s="8">
        <f>Table1[Quantity]*Table1[Unit_Price]</f>
        <v>639.9</v>
      </c>
      <c r="Q532" s="1">
        <f>Table1[Profit]/Table1[Total_Sales]</f>
        <v>0.22423425535239883</v>
      </c>
      <c r="R532" s="14">
        <f>Table1[Total_Sales]+Table1[Shipping_Cost]</f>
        <v>525.11</v>
      </c>
    </row>
    <row r="533" spans="1:18" x14ac:dyDescent="0.35">
      <c r="A533" s="3" t="s">
        <v>1121</v>
      </c>
      <c r="B533" s="2">
        <v>45221</v>
      </c>
      <c r="C533" s="1" t="s">
        <v>238</v>
      </c>
      <c r="D533" s="1" t="s">
        <v>49</v>
      </c>
      <c r="E533" s="1" t="s">
        <v>248</v>
      </c>
      <c r="F533" s="1" t="s">
        <v>26</v>
      </c>
      <c r="G533" s="1" t="s">
        <v>20</v>
      </c>
      <c r="H533" s="1" t="s">
        <v>55</v>
      </c>
      <c r="I533" s="1">
        <v>9</v>
      </c>
      <c r="J533" s="1">
        <v>33.479999999999997</v>
      </c>
      <c r="K533" s="1">
        <v>10</v>
      </c>
      <c r="L533" s="1">
        <v>271.19</v>
      </c>
      <c r="M533" s="1">
        <v>12.56</v>
      </c>
      <c r="N533" s="1">
        <v>92.9</v>
      </c>
      <c r="O533" s="6" t="s">
        <v>22</v>
      </c>
      <c r="P533" s="8">
        <f>Table1[Quantity]*Table1[Unit_Price]</f>
        <v>301.32</v>
      </c>
      <c r="Q533" s="1">
        <f>Table1[Profit]/Table1[Total_Sales]</f>
        <v>0.34256425384416833</v>
      </c>
      <c r="R533" s="14">
        <f>Table1[Total_Sales]+Table1[Shipping_Cost]</f>
        <v>283.75</v>
      </c>
    </row>
    <row r="534" spans="1:18" x14ac:dyDescent="0.35">
      <c r="A534" s="3" t="s">
        <v>1122</v>
      </c>
      <c r="B534" s="2">
        <v>45221</v>
      </c>
      <c r="C534" s="1" t="s">
        <v>724</v>
      </c>
      <c r="D534" s="1" t="s">
        <v>30</v>
      </c>
      <c r="E534" s="1" t="s">
        <v>129</v>
      </c>
      <c r="F534" s="1" t="s">
        <v>19</v>
      </c>
      <c r="G534" s="1" t="s">
        <v>32</v>
      </c>
      <c r="H534" s="1" t="s">
        <v>50</v>
      </c>
      <c r="I534" s="1">
        <v>1</v>
      </c>
      <c r="J534" s="1">
        <v>20.53</v>
      </c>
      <c r="K534" s="1">
        <v>0</v>
      </c>
      <c r="L534" s="1">
        <v>20.53</v>
      </c>
      <c r="M534" s="1">
        <v>6.24</v>
      </c>
      <c r="N534" s="1">
        <v>5.05</v>
      </c>
      <c r="O534" s="6" t="s">
        <v>34</v>
      </c>
      <c r="P534" s="8">
        <f>Table1[Quantity]*Table1[Unit_Price]</f>
        <v>20.53</v>
      </c>
      <c r="Q534" s="1">
        <f>Table1[Profit]/Table1[Total_Sales]</f>
        <v>0.24598149050170481</v>
      </c>
      <c r="R534" s="14">
        <f>Table1[Total_Sales]+Table1[Shipping_Cost]</f>
        <v>26.770000000000003</v>
      </c>
    </row>
    <row r="535" spans="1:18" x14ac:dyDescent="0.35">
      <c r="A535" s="3" t="s">
        <v>1123</v>
      </c>
      <c r="B535" s="2">
        <v>45222</v>
      </c>
      <c r="C535" s="1" t="s">
        <v>1115</v>
      </c>
      <c r="D535" s="1" t="s">
        <v>17</v>
      </c>
      <c r="E535" s="1" t="s">
        <v>121</v>
      </c>
      <c r="F535" s="1" t="s">
        <v>68</v>
      </c>
      <c r="G535" s="1" t="s">
        <v>42</v>
      </c>
      <c r="H535" s="1" t="s">
        <v>371</v>
      </c>
      <c r="I535" s="1">
        <v>7</v>
      </c>
      <c r="J535" s="1">
        <v>151.91999999999999</v>
      </c>
      <c r="K535" s="1">
        <v>15</v>
      </c>
      <c r="L535" s="1">
        <v>903.92</v>
      </c>
      <c r="M535" s="1">
        <v>23.57</v>
      </c>
      <c r="N535" s="1">
        <v>242.29</v>
      </c>
      <c r="O535" s="6" t="s">
        <v>34</v>
      </c>
      <c r="P535" s="8">
        <f>Table1[Quantity]*Table1[Unit_Price]</f>
        <v>1063.4399999999998</v>
      </c>
      <c r="Q535" s="1">
        <f>Table1[Profit]/Table1[Total_Sales]</f>
        <v>0.26804363217983895</v>
      </c>
      <c r="R535" s="14">
        <f>Table1[Total_Sales]+Table1[Shipping_Cost]</f>
        <v>927.49</v>
      </c>
    </row>
    <row r="536" spans="1:18" x14ac:dyDescent="0.35">
      <c r="A536" s="3" t="s">
        <v>1124</v>
      </c>
      <c r="B536" s="2">
        <v>45222</v>
      </c>
      <c r="C536" s="1" t="s">
        <v>141</v>
      </c>
      <c r="D536" s="1" t="s">
        <v>30</v>
      </c>
      <c r="E536" s="1" t="s">
        <v>85</v>
      </c>
      <c r="F536" s="1" t="s">
        <v>60</v>
      </c>
      <c r="G536" s="1" t="s">
        <v>20</v>
      </c>
      <c r="H536" s="1" t="s">
        <v>122</v>
      </c>
      <c r="I536" s="1">
        <v>3</v>
      </c>
      <c r="J536" s="1">
        <v>108.96</v>
      </c>
      <c r="K536" s="1">
        <v>10</v>
      </c>
      <c r="L536" s="1">
        <v>294.19</v>
      </c>
      <c r="M536" s="1">
        <v>14.91</v>
      </c>
      <c r="N536" s="1">
        <v>99.5</v>
      </c>
      <c r="O536" s="6" t="s">
        <v>39</v>
      </c>
      <c r="P536" s="8">
        <f>Table1[Quantity]*Table1[Unit_Price]</f>
        <v>326.88</v>
      </c>
      <c r="Q536" s="1">
        <f>Table1[Profit]/Table1[Total_Sales]</f>
        <v>0.3382167986675278</v>
      </c>
      <c r="R536" s="14">
        <f>Table1[Total_Sales]+Table1[Shipping_Cost]</f>
        <v>309.10000000000002</v>
      </c>
    </row>
    <row r="537" spans="1:18" x14ac:dyDescent="0.35">
      <c r="A537" s="3" t="s">
        <v>1125</v>
      </c>
      <c r="B537" s="2">
        <v>45222</v>
      </c>
      <c r="C537" s="1" t="s">
        <v>1126</v>
      </c>
      <c r="D537" s="1" t="s">
        <v>17</v>
      </c>
      <c r="E537" s="1" t="s">
        <v>121</v>
      </c>
      <c r="F537" s="1" t="s">
        <v>68</v>
      </c>
      <c r="G537" s="1" t="s">
        <v>32</v>
      </c>
      <c r="H537" s="1" t="s">
        <v>33</v>
      </c>
      <c r="I537" s="1">
        <v>7</v>
      </c>
      <c r="J537" s="1">
        <v>11.09</v>
      </c>
      <c r="K537" s="1">
        <v>10</v>
      </c>
      <c r="L537" s="1">
        <v>69.87</v>
      </c>
      <c r="M537" s="1">
        <v>22.14</v>
      </c>
      <c r="N537" s="1">
        <v>12.8</v>
      </c>
      <c r="O537" s="6" t="s">
        <v>34</v>
      </c>
      <c r="P537" s="8">
        <f>Table1[Quantity]*Table1[Unit_Price]</f>
        <v>77.63</v>
      </c>
      <c r="Q537" s="1">
        <f>Table1[Profit]/Table1[Total_Sales]</f>
        <v>0.18319736653785601</v>
      </c>
      <c r="R537" s="14">
        <f>Table1[Total_Sales]+Table1[Shipping_Cost]</f>
        <v>92.01</v>
      </c>
    </row>
    <row r="538" spans="1:18" x14ac:dyDescent="0.35">
      <c r="A538" s="3" t="s">
        <v>1127</v>
      </c>
      <c r="B538" s="2">
        <v>45223</v>
      </c>
      <c r="C538" s="1" t="s">
        <v>1050</v>
      </c>
      <c r="D538" s="1" t="s">
        <v>30</v>
      </c>
      <c r="E538" s="1" t="s">
        <v>31</v>
      </c>
      <c r="F538" s="1" t="s">
        <v>19</v>
      </c>
      <c r="G538" s="1" t="s">
        <v>69</v>
      </c>
      <c r="H538" s="1" t="s">
        <v>98</v>
      </c>
      <c r="I538" s="1">
        <v>4</v>
      </c>
      <c r="J538" s="1">
        <v>33.979999999999997</v>
      </c>
      <c r="K538" s="1">
        <v>5</v>
      </c>
      <c r="L538" s="1">
        <v>129.12</v>
      </c>
      <c r="M538" s="1">
        <v>14.26</v>
      </c>
      <c r="N538" s="1">
        <v>46.9</v>
      </c>
      <c r="O538" s="6" t="s">
        <v>34</v>
      </c>
      <c r="P538" s="8">
        <f>Table1[Quantity]*Table1[Unit_Price]</f>
        <v>135.91999999999999</v>
      </c>
      <c r="Q538" s="1">
        <f>Table1[Profit]/Table1[Total_Sales]</f>
        <v>0.36322800495662949</v>
      </c>
      <c r="R538" s="14">
        <f>Table1[Total_Sales]+Table1[Shipping_Cost]</f>
        <v>143.38</v>
      </c>
    </row>
    <row r="539" spans="1:18" x14ac:dyDescent="0.35">
      <c r="A539" s="3" t="s">
        <v>1128</v>
      </c>
      <c r="B539" s="2">
        <v>45223</v>
      </c>
      <c r="C539" s="1" t="s">
        <v>1129</v>
      </c>
      <c r="D539" s="1" t="s">
        <v>49</v>
      </c>
      <c r="E539" s="1" t="s">
        <v>59</v>
      </c>
      <c r="F539" s="1" t="s">
        <v>60</v>
      </c>
      <c r="G539" s="1" t="s">
        <v>20</v>
      </c>
      <c r="H539" s="1" t="s">
        <v>264</v>
      </c>
      <c r="I539" s="1">
        <v>11</v>
      </c>
      <c r="J539" s="1">
        <v>52.9</v>
      </c>
      <c r="K539" s="1">
        <v>0</v>
      </c>
      <c r="L539" s="1">
        <v>581.9</v>
      </c>
      <c r="M539" s="1">
        <v>17.52</v>
      </c>
      <c r="N539" s="1">
        <v>244.33</v>
      </c>
      <c r="O539" s="6" t="s">
        <v>56</v>
      </c>
      <c r="P539" s="8">
        <f>Table1[Quantity]*Table1[Unit_Price]</f>
        <v>581.9</v>
      </c>
      <c r="Q539" s="1">
        <f>Table1[Profit]/Table1[Total_Sales]</f>
        <v>0.41988314143323596</v>
      </c>
      <c r="R539" s="14">
        <f>Table1[Total_Sales]+Table1[Shipping_Cost]</f>
        <v>599.41999999999996</v>
      </c>
    </row>
    <row r="540" spans="1:18" x14ac:dyDescent="0.35">
      <c r="A540" s="3" t="s">
        <v>1130</v>
      </c>
      <c r="B540" s="2">
        <v>45223</v>
      </c>
      <c r="C540" s="1" t="s">
        <v>1131</v>
      </c>
      <c r="D540" s="1" t="s">
        <v>17</v>
      </c>
      <c r="E540" s="1" t="s">
        <v>129</v>
      </c>
      <c r="F540" s="1" t="s">
        <v>19</v>
      </c>
      <c r="G540" s="1" t="s">
        <v>20</v>
      </c>
      <c r="H540" s="1" t="s">
        <v>175</v>
      </c>
      <c r="I540" s="1">
        <v>2</v>
      </c>
      <c r="J540" s="1">
        <v>33.200000000000003</v>
      </c>
      <c r="K540" s="1">
        <v>0</v>
      </c>
      <c r="L540" s="1">
        <v>66.400000000000006</v>
      </c>
      <c r="M540" s="1">
        <v>8.8800000000000008</v>
      </c>
      <c r="N540" s="1">
        <v>21</v>
      </c>
      <c r="O540" s="6" t="s">
        <v>39</v>
      </c>
      <c r="P540" s="8">
        <f>Table1[Quantity]*Table1[Unit_Price]</f>
        <v>66.400000000000006</v>
      </c>
      <c r="Q540" s="1">
        <f>Table1[Profit]/Table1[Total_Sales]</f>
        <v>0.31626506024096385</v>
      </c>
      <c r="R540" s="14">
        <f>Table1[Total_Sales]+Table1[Shipping_Cost]</f>
        <v>75.28</v>
      </c>
    </row>
    <row r="541" spans="1:18" x14ac:dyDescent="0.35">
      <c r="A541" s="3" t="s">
        <v>1132</v>
      </c>
      <c r="B541" s="2">
        <v>45224</v>
      </c>
      <c r="C541" s="1" t="s">
        <v>1133</v>
      </c>
      <c r="D541" s="1" t="s">
        <v>30</v>
      </c>
      <c r="E541" s="1" t="s">
        <v>67</v>
      </c>
      <c r="F541" s="1" t="s">
        <v>68</v>
      </c>
      <c r="G541" s="1" t="s">
        <v>32</v>
      </c>
      <c r="H541" s="1" t="s">
        <v>82</v>
      </c>
      <c r="I541" s="1">
        <v>5</v>
      </c>
      <c r="J541" s="1">
        <v>18.760000000000002</v>
      </c>
      <c r="K541" s="1">
        <v>15</v>
      </c>
      <c r="L541" s="1">
        <v>79.73</v>
      </c>
      <c r="M541" s="1">
        <v>18.239999999999998</v>
      </c>
      <c r="N541" s="1">
        <v>19.28</v>
      </c>
      <c r="O541" s="6" t="s">
        <v>22</v>
      </c>
      <c r="P541" s="8">
        <f>Table1[Quantity]*Table1[Unit_Price]</f>
        <v>93.800000000000011</v>
      </c>
      <c r="Q541" s="1">
        <f>Table1[Profit]/Table1[Total_Sales]</f>
        <v>0.24181612943684938</v>
      </c>
      <c r="R541" s="14">
        <f>Table1[Total_Sales]+Table1[Shipping_Cost]</f>
        <v>97.97</v>
      </c>
    </row>
    <row r="542" spans="1:18" x14ac:dyDescent="0.35">
      <c r="A542" s="3" t="s">
        <v>1134</v>
      </c>
      <c r="B542" s="2">
        <v>45225</v>
      </c>
      <c r="C542" s="1" t="s">
        <v>1135</v>
      </c>
      <c r="D542" s="1" t="s">
        <v>49</v>
      </c>
      <c r="E542" s="1" t="s">
        <v>92</v>
      </c>
      <c r="F542" s="1" t="s">
        <v>60</v>
      </c>
      <c r="G542" s="1" t="s">
        <v>42</v>
      </c>
      <c r="H542" s="1" t="s">
        <v>371</v>
      </c>
      <c r="I542" s="1">
        <v>2</v>
      </c>
      <c r="J542" s="1">
        <v>113.95</v>
      </c>
      <c r="K542" s="1">
        <v>15</v>
      </c>
      <c r="L542" s="1">
        <v>193.72</v>
      </c>
      <c r="M542" s="1">
        <v>13.41</v>
      </c>
      <c r="N542" s="1">
        <v>43.57</v>
      </c>
      <c r="O542" s="6" t="s">
        <v>34</v>
      </c>
      <c r="P542" s="8">
        <f>Table1[Quantity]*Table1[Unit_Price]</f>
        <v>227.9</v>
      </c>
      <c r="Q542" s="1">
        <f>Table1[Profit]/Table1[Total_Sales]</f>
        <v>0.2249122444765641</v>
      </c>
      <c r="R542" s="14">
        <f>Table1[Total_Sales]+Table1[Shipping_Cost]</f>
        <v>207.13</v>
      </c>
    </row>
    <row r="543" spans="1:18" x14ac:dyDescent="0.35">
      <c r="A543" s="3" t="s">
        <v>1136</v>
      </c>
      <c r="B543" s="2">
        <v>45225</v>
      </c>
      <c r="C543" s="1" t="s">
        <v>1137</v>
      </c>
      <c r="D543" s="1" t="s">
        <v>17</v>
      </c>
      <c r="E543" s="1" t="s">
        <v>37</v>
      </c>
      <c r="F543" s="1" t="s">
        <v>26</v>
      </c>
      <c r="G543" s="1" t="s">
        <v>20</v>
      </c>
      <c r="H543" s="1" t="s">
        <v>122</v>
      </c>
      <c r="I543" s="1">
        <v>2</v>
      </c>
      <c r="J543" s="1">
        <v>81.19</v>
      </c>
      <c r="K543" s="1">
        <v>5</v>
      </c>
      <c r="L543" s="1">
        <v>154.26</v>
      </c>
      <c r="M543" s="1">
        <v>10.33</v>
      </c>
      <c r="N543" s="1">
        <v>54.62</v>
      </c>
      <c r="O543" s="6" t="s">
        <v>39</v>
      </c>
      <c r="P543" s="8">
        <f>Table1[Quantity]*Table1[Unit_Price]</f>
        <v>162.38</v>
      </c>
      <c r="Q543" s="1">
        <f>Table1[Profit]/Table1[Total_Sales]</f>
        <v>0.35407753144042525</v>
      </c>
      <c r="R543" s="14">
        <f>Table1[Total_Sales]+Table1[Shipping_Cost]</f>
        <v>164.59</v>
      </c>
    </row>
    <row r="544" spans="1:18" x14ac:dyDescent="0.35">
      <c r="A544" s="3" t="s">
        <v>1138</v>
      </c>
      <c r="B544" s="2">
        <v>45226</v>
      </c>
      <c r="C544" s="1" t="s">
        <v>1139</v>
      </c>
      <c r="D544" s="1" t="s">
        <v>17</v>
      </c>
      <c r="E544" s="1" t="s">
        <v>135</v>
      </c>
      <c r="F544" s="1" t="s">
        <v>26</v>
      </c>
      <c r="G544" s="1" t="s">
        <v>32</v>
      </c>
      <c r="H544" s="1" t="s">
        <v>348</v>
      </c>
      <c r="I544" s="1">
        <v>1</v>
      </c>
      <c r="J544" s="1">
        <v>13.39</v>
      </c>
      <c r="K544" s="1">
        <v>15</v>
      </c>
      <c r="L544" s="1">
        <v>11.38</v>
      </c>
      <c r="M544" s="1">
        <v>7.96</v>
      </c>
      <c r="N544" s="1">
        <v>-2.61</v>
      </c>
      <c r="O544" s="6" t="s">
        <v>34</v>
      </c>
      <c r="P544" s="8">
        <f>Table1[Quantity]*Table1[Unit_Price]</f>
        <v>13.39</v>
      </c>
      <c r="Q544" s="1">
        <f>Table1[Profit]/Table1[Total_Sales]</f>
        <v>-0.22934973637961334</v>
      </c>
      <c r="R544" s="14">
        <f>Table1[Total_Sales]+Table1[Shipping_Cost]</f>
        <v>19.34</v>
      </c>
    </row>
    <row r="545" spans="1:18" x14ac:dyDescent="0.35">
      <c r="A545" s="3" t="s">
        <v>1140</v>
      </c>
      <c r="B545" s="2">
        <v>45227</v>
      </c>
      <c r="C545" s="1" t="s">
        <v>1141</v>
      </c>
      <c r="D545" s="1" t="s">
        <v>30</v>
      </c>
      <c r="E545" s="1" t="s">
        <v>169</v>
      </c>
      <c r="F545" s="1" t="s">
        <v>68</v>
      </c>
      <c r="G545" s="1" t="s">
        <v>42</v>
      </c>
      <c r="H545" s="1" t="s">
        <v>294</v>
      </c>
      <c r="I545" s="1">
        <v>5</v>
      </c>
      <c r="J545" s="1">
        <v>183.81</v>
      </c>
      <c r="K545" s="1">
        <v>25</v>
      </c>
      <c r="L545" s="1">
        <v>689.29</v>
      </c>
      <c r="M545" s="1">
        <v>20.65</v>
      </c>
      <c r="N545" s="1">
        <v>117.21</v>
      </c>
      <c r="O545" s="6" t="s">
        <v>34</v>
      </c>
      <c r="P545" s="8">
        <f>Table1[Quantity]*Table1[Unit_Price]</f>
        <v>919.05</v>
      </c>
      <c r="Q545" s="1">
        <f>Table1[Profit]/Table1[Total_Sales]</f>
        <v>0.17004453858317981</v>
      </c>
      <c r="R545" s="14">
        <f>Table1[Total_Sales]+Table1[Shipping_Cost]</f>
        <v>709.93999999999994</v>
      </c>
    </row>
    <row r="546" spans="1:18" x14ac:dyDescent="0.35">
      <c r="A546" s="3" t="s">
        <v>1142</v>
      </c>
      <c r="B546" s="2">
        <v>45227</v>
      </c>
      <c r="C546" s="1" t="s">
        <v>1143</v>
      </c>
      <c r="D546" s="1" t="s">
        <v>49</v>
      </c>
      <c r="E546" s="1" t="s">
        <v>129</v>
      </c>
      <c r="F546" s="1" t="s">
        <v>19</v>
      </c>
      <c r="G546" s="1" t="s">
        <v>20</v>
      </c>
      <c r="H546" s="1" t="s">
        <v>106</v>
      </c>
      <c r="I546" s="1">
        <v>8</v>
      </c>
      <c r="J546" s="1">
        <v>58.27</v>
      </c>
      <c r="K546" s="1">
        <v>10</v>
      </c>
      <c r="L546" s="1">
        <v>419.54</v>
      </c>
      <c r="M546" s="1">
        <v>24.05</v>
      </c>
      <c r="N546" s="1">
        <v>139.1</v>
      </c>
      <c r="O546" s="6" t="s">
        <v>39</v>
      </c>
      <c r="P546" s="8">
        <f>Table1[Quantity]*Table1[Unit_Price]</f>
        <v>466.16</v>
      </c>
      <c r="Q546" s="1">
        <f>Table1[Profit]/Table1[Total_Sales]</f>
        <v>0.33155360633074316</v>
      </c>
      <c r="R546" s="14">
        <f>Table1[Total_Sales]+Table1[Shipping_Cost]</f>
        <v>443.59000000000003</v>
      </c>
    </row>
    <row r="547" spans="1:18" x14ac:dyDescent="0.35">
      <c r="A547" s="3" t="s">
        <v>1144</v>
      </c>
      <c r="B547" s="2">
        <v>45228</v>
      </c>
      <c r="C547" s="1" t="s">
        <v>1030</v>
      </c>
      <c r="D547" s="1" t="s">
        <v>49</v>
      </c>
      <c r="E547" s="1" t="s">
        <v>148</v>
      </c>
      <c r="F547" s="1" t="s">
        <v>60</v>
      </c>
      <c r="G547" s="1" t="s">
        <v>32</v>
      </c>
      <c r="H547" s="1" t="s">
        <v>348</v>
      </c>
      <c r="I547" s="1">
        <v>1</v>
      </c>
      <c r="J547" s="1">
        <v>7.39</v>
      </c>
      <c r="K547" s="1">
        <v>5</v>
      </c>
      <c r="L547" s="1">
        <v>7.02</v>
      </c>
      <c r="M547" s="1">
        <v>9.58</v>
      </c>
      <c r="N547" s="1">
        <v>-5.89</v>
      </c>
      <c r="O547" s="6" t="s">
        <v>39</v>
      </c>
      <c r="P547" s="8">
        <f>Table1[Quantity]*Table1[Unit_Price]</f>
        <v>7.39</v>
      </c>
      <c r="Q547" s="1">
        <f>Table1[Profit]/Table1[Total_Sales]</f>
        <v>-0.83903133903133909</v>
      </c>
      <c r="R547" s="14">
        <f>Table1[Total_Sales]+Table1[Shipping_Cost]</f>
        <v>16.600000000000001</v>
      </c>
    </row>
    <row r="548" spans="1:18" x14ac:dyDescent="0.35">
      <c r="A548" s="3" t="s">
        <v>1145</v>
      </c>
      <c r="B548" s="2">
        <v>45231</v>
      </c>
      <c r="C548" s="1" t="s">
        <v>1146</v>
      </c>
      <c r="D548" s="1" t="s">
        <v>17</v>
      </c>
      <c r="E548" s="1" t="s">
        <v>59</v>
      </c>
      <c r="F548" s="1" t="s">
        <v>60</v>
      </c>
      <c r="G548" s="1" t="s">
        <v>20</v>
      </c>
      <c r="H548" s="1" t="s">
        <v>170</v>
      </c>
      <c r="I548" s="1">
        <v>2</v>
      </c>
      <c r="J548" s="1">
        <v>38.06</v>
      </c>
      <c r="K548" s="1">
        <v>5</v>
      </c>
      <c r="L548" s="1">
        <v>72.31</v>
      </c>
      <c r="M548" s="1">
        <v>10.58</v>
      </c>
      <c r="N548" s="1">
        <v>19.86</v>
      </c>
      <c r="O548" s="6" t="s">
        <v>34</v>
      </c>
      <c r="P548" s="8">
        <f>Table1[Quantity]*Table1[Unit_Price]</f>
        <v>76.12</v>
      </c>
      <c r="Q548" s="1">
        <f>Table1[Profit]/Table1[Total_Sales]</f>
        <v>0.2746508090167335</v>
      </c>
      <c r="R548" s="14">
        <f>Table1[Total_Sales]+Table1[Shipping_Cost]</f>
        <v>82.89</v>
      </c>
    </row>
    <row r="549" spans="1:18" x14ac:dyDescent="0.35">
      <c r="A549" s="3" t="s">
        <v>1147</v>
      </c>
      <c r="B549" s="2">
        <v>45231</v>
      </c>
      <c r="C549" s="1" t="s">
        <v>1148</v>
      </c>
      <c r="D549" s="1" t="s">
        <v>49</v>
      </c>
      <c r="E549" s="1" t="s">
        <v>53</v>
      </c>
      <c r="F549" s="1" t="s">
        <v>54</v>
      </c>
      <c r="G549" s="1" t="s">
        <v>20</v>
      </c>
      <c r="H549" s="1" t="s">
        <v>175</v>
      </c>
      <c r="I549" s="1">
        <v>1</v>
      </c>
      <c r="J549" s="1">
        <v>17.559999999999999</v>
      </c>
      <c r="K549" s="1">
        <v>0</v>
      </c>
      <c r="L549" s="1">
        <v>17.559999999999999</v>
      </c>
      <c r="M549" s="1">
        <v>13.21</v>
      </c>
      <c r="N549" s="1">
        <v>-5.31</v>
      </c>
      <c r="O549" s="6" t="s">
        <v>34</v>
      </c>
      <c r="P549" s="8">
        <f>Table1[Quantity]*Table1[Unit_Price]</f>
        <v>17.559999999999999</v>
      </c>
      <c r="Q549" s="1">
        <f>Table1[Profit]/Table1[Total_Sales]</f>
        <v>-0.30239179954441914</v>
      </c>
      <c r="R549" s="14">
        <f>Table1[Total_Sales]+Table1[Shipping_Cost]</f>
        <v>30.77</v>
      </c>
    </row>
    <row r="550" spans="1:18" x14ac:dyDescent="0.35">
      <c r="A550" s="3" t="s">
        <v>1149</v>
      </c>
      <c r="B550" s="2">
        <v>45231</v>
      </c>
      <c r="C550" s="1" t="s">
        <v>1150</v>
      </c>
      <c r="D550" s="1" t="s">
        <v>30</v>
      </c>
      <c r="E550" s="1" t="s">
        <v>76</v>
      </c>
      <c r="F550" s="1" t="s">
        <v>26</v>
      </c>
      <c r="G550" s="1" t="s">
        <v>20</v>
      </c>
      <c r="H550" s="1" t="s">
        <v>122</v>
      </c>
      <c r="I550" s="1">
        <v>3</v>
      </c>
      <c r="J550" s="1">
        <v>145.72999999999999</v>
      </c>
      <c r="K550" s="1">
        <v>10</v>
      </c>
      <c r="L550" s="1">
        <v>393.47</v>
      </c>
      <c r="M550" s="1">
        <v>9.99</v>
      </c>
      <c r="N550" s="1">
        <v>143.03</v>
      </c>
      <c r="O550" s="6" t="s">
        <v>56</v>
      </c>
      <c r="P550" s="8">
        <f>Table1[Quantity]*Table1[Unit_Price]</f>
        <v>437.18999999999994</v>
      </c>
      <c r="Q550" s="1">
        <f>Table1[Profit]/Table1[Total_Sales]</f>
        <v>0.36350928914529695</v>
      </c>
      <c r="R550" s="14">
        <f>Table1[Total_Sales]+Table1[Shipping_Cost]</f>
        <v>403.46000000000004</v>
      </c>
    </row>
    <row r="551" spans="1:18" x14ac:dyDescent="0.35">
      <c r="A551" s="3" t="s">
        <v>1151</v>
      </c>
      <c r="B551" s="2">
        <v>45232</v>
      </c>
      <c r="C551" s="1" t="s">
        <v>1152</v>
      </c>
      <c r="D551" s="1" t="s">
        <v>17</v>
      </c>
      <c r="E551" s="1" t="s">
        <v>59</v>
      </c>
      <c r="F551" s="1" t="s">
        <v>60</v>
      </c>
      <c r="G551" s="1" t="s">
        <v>69</v>
      </c>
      <c r="H551" s="1" t="s">
        <v>139</v>
      </c>
      <c r="I551" s="1">
        <v>1</v>
      </c>
      <c r="J551" s="1">
        <v>30.54</v>
      </c>
      <c r="K551" s="1">
        <v>10</v>
      </c>
      <c r="L551" s="1">
        <v>27.49</v>
      </c>
      <c r="M551" s="1">
        <v>10.33</v>
      </c>
      <c r="N551" s="1">
        <v>1.89</v>
      </c>
      <c r="O551" s="6" t="s">
        <v>39</v>
      </c>
      <c r="P551" s="8">
        <f>Table1[Quantity]*Table1[Unit_Price]</f>
        <v>30.54</v>
      </c>
      <c r="Q551" s="1">
        <f>Table1[Profit]/Table1[Total_Sales]</f>
        <v>6.8752273554019638E-2</v>
      </c>
      <c r="R551" s="14">
        <f>Table1[Total_Sales]+Table1[Shipping_Cost]</f>
        <v>37.82</v>
      </c>
    </row>
    <row r="552" spans="1:18" x14ac:dyDescent="0.35">
      <c r="A552" s="3" t="s">
        <v>1153</v>
      </c>
      <c r="B552" s="2">
        <v>45232</v>
      </c>
      <c r="C552" s="1" t="s">
        <v>1154</v>
      </c>
      <c r="D552" s="1" t="s">
        <v>30</v>
      </c>
      <c r="E552" s="1" t="s">
        <v>248</v>
      </c>
      <c r="F552" s="1" t="s">
        <v>26</v>
      </c>
      <c r="G552" s="1" t="s">
        <v>20</v>
      </c>
      <c r="H552" s="1" t="s">
        <v>38</v>
      </c>
      <c r="I552" s="1">
        <v>3</v>
      </c>
      <c r="J552" s="1">
        <v>40.21</v>
      </c>
      <c r="K552" s="1">
        <v>0</v>
      </c>
      <c r="L552" s="1">
        <v>120.63</v>
      </c>
      <c r="M552" s="1">
        <v>11.66</v>
      </c>
      <c r="N552" s="1">
        <v>42.62</v>
      </c>
      <c r="O552" s="6" t="s">
        <v>56</v>
      </c>
      <c r="P552" s="8">
        <f>Table1[Quantity]*Table1[Unit_Price]</f>
        <v>120.63</v>
      </c>
      <c r="Q552" s="1">
        <f>Table1[Profit]/Table1[Total_Sales]</f>
        <v>0.35331177982259804</v>
      </c>
      <c r="R552" s="14">
        <f>Table1[Total_Sales]+Table1[Shipping_Cost]</f>
        <v>132.29</v>
      </c>
    </row>
    <row r="553" spans="1:18" x14ac:dyDescent="0.35">
      <c r="A553" s="3" t="s">
        <v>1155</v>
      </c>
      <c r="B553" s="2">
        <v>45232</v>
      </c>
      <c r="C553" s="1" t="s">
        <v>1156</v>
      </c>
      <c r="D553" s="1" t="s">
        <v>49</v>
      </c>
      <c r="E553" s="1" t="s">
        <v>92</v>
      </c>
      <c r="F553" s="1" t="s">
        <v>60</v>
      </c>
      <c r="G553" s="1" t="s">
        <v>42</v>
      </c>
      <c r="H553" s="1" t="s">
        <v>93</v>
      </c>
      <c r="I553" s="1">
        <v>6</v>
      </c>
      <c r="J553" s="1">
        <v>302.02999999999997</v>
      </c>
      <c r="K553" s="1">
        <v>20</v>
      </c>
      <c r="L553" s="1">
        <v>1449.74</v>
      </c>
      <c r="M553" s="1">
        <v>13.81</v>
      </c>
      <c r="N553" s="1">
        <v>348.62</v>
      </c>
      <c r="O553" s="6" t="s">
        <v>22</v>
      </c>
      <c r="P553" s="8">
        <f>Table1[Quantity]*Table1[Unit_Price]</f>
        <v>1812.1799999999998</v>
      </c>
      <c r="Q553" s="1">
        <f>Table1[Profit]/Table1[Total_Sales]</f>
        <v>0.24047070509194751</v>
      </c>
      <c r="R553" s="14">
        <f>Table1[Total_Sales]+Table1[Shipping_Cost]</f>
        <v>1463.55</v>
      </c>
    </row>
    <row r="554" spans="1:18" x14ac:dyDescent="0.35">
      <c r="A554" s="3" t="s">
        <v>1157</v>
      </c>
      <c r="B554" s="2">
        <v>45232</v>
      </c>
      <c r="C554" s="1" t="s">
        <v>1158</v>
      </c>
      <c r="D554" s="1" t="s">
        <v>30</v>
      </c>
      <c r="E554" s="1" t="s">
        <v>166</v>
      </c>
      <c r="F554" s="1" t="s">
        <v>60</v>
      </c>
      <c r="G554" s="1" t="s">
        <v>20</v>
      </c>
      <c r="H554" s="1" t="s">
        <v>175</v>
      </c>
      <c r="I554" s="1">
        <v>2</v>
      </c>
      <c r="J554" s="1">
        <v>34.799999999999997</v>
      </c>
      <c r="K554" s="1">
        <v>5</v>
      </c>
      <c r="L554" s="1">
        <v>66.12</v>
      </c>
      <c r="M554" s="1">
        <v>10.050000000000001</v>
      </c>
      <c r="N554" s="1">
        <v>17.79</v>
      </c>
      <c r="O554" s="6" t="s">
        <v>22</v>
      </c>
      <c r="P554" s="8">
        <f>Table1[Quantity]*Table1[Unit_Price]</f>
        <v>69.599999999999994</v>
      </c>
      <c r="Q554" s="1">
        <f>Table1[Profit]/Table1[Total_Sales]</f>
        <v>0.26905626134301269</v>
      </c>
      <c r="R554" s="14">
        <f>Table1[Total_Sales]+Table1[Shipping_Cost]</f>
        <v>76.17</v>
      </c>
    </row>
    <row r="555" spans="1:18" x14ac:dyDescent="0.35">
      <c r="A555" s="3" t="s">
        <v>1159</v>
      </c>
      <c r="B555" s="2">
        <v>45232</v>
      </c>
      <c r="C555" s="1" t="s">
        <v>1160</v>
      </c>
      <c r="D555" s="1" t="s">
        <v>30</v>
      </c>
      <c r="E555" s="1" t="s">
        <v>138</v>
      </c>
      <c r="F555" s="1" t="s">
        <v>54</v>
      </c>
      <c r="G555" s="1" t="s">
        <v>32</v>
      </c>
      <c r="H555" s="1" t="s">
        <v>33</v>
      </c>
      <c r="I555" s="1">
        <v>6</v>
      </c>
      <c r="J555" s="1">
        <v>14.97</v>
      </c>
      <c r="K555" s="1">
        <v>5</v>
      </c>
      <c r="L555" s="1">
        <v>85.33</v>
      </c>
      <c r="M555" s="1">
        <v>22.3</v>
      </c>
      <c r="N555" s="1">
        <v>22.61</v>
      </c>
      <c r="O555" s="6" t="s">
        <v>39</v>
      </c>
      <c r="P555" s="8">
        <f>Table1[Quantity]*Table1[Unit_Price]</f>
        <v>89.820000000000007</v>
      </c>
      <c r="Q555" s="1">
        <f>Table1[Profit]/Table1[Total_Sales]</f>
        <v>0.26497128794093522</v>
      </c>
      <c r="R555" s="14">
        <f>Table1[Total_Sales]+Table1[Shipping_Cost]</f>
        <v>107.63</v>
      </c>
    </row>
    <row r="556" spans="1:18" x14ac:dyDescent="0.35">
      <c r="A556" s="3" t="s">
        <v>1161</v>
      </c>
      <c r="B556" s="2">
        <v>45233</v>
      </c>
      <c r="C556" s="1" t="s">
        <v>1162</v>
      </c>
      <c r="D556" s="1" t="s">
        <v>30</v>
      </c>
      <c r="E556" s="1" t="s">
        <v>121</v>
      </c>
      <c r="F556" s="1" t="s">
        <v>68</v>
      </c>
      <c r="G556" s="1" t="s">
        <v>20</v>
      </c>
      <c r="H556" s="1" t="s">
        <v>38</v>
      </c>
      <c r="I556" s="1">
        <v>1</v>
      </c>
      <c r="J556" s="1">
        <v>83.28</v>
      </c>
      <c r="K556" s="1">
        <v>0</v>
      </c>
      <c r="L556" s="1">
        <v>83.28</v>
      </c>
      <c r="M556" s="1">
        <v>12.13</v>
      </c>
      <c r="N556" s="1">
        <v>25.35</v>
      </c>
      <c r="O556" s="6" t="s">
        <v>34</v>
      </c>
      <c r="P556" s="8">
        <f>Table1[Quantity]*Table1[Unit_Price]</f>
        <v>83.28</v>
      </c>
      <c r="Q556" s="1">
        <f>Table1[Profit]/Table1[Total_Sales]</f>
        <v>0.30439481268011531</v>
      </c>
      <c r="R556" s="14">
        <f>Table1[Total_Sales]+Table1[Shipping_Cost]</f>
        <v>95.41</v>
      </c>
    </row>
    <row r="557" spans="1:18" x14ac:dyDescent="0.35">
      <c r="A557" s="3" t="s">
        <v>1163</v>
      </c>
      <c r="B557" s="2">
        <v>45233</v>
      </c>
      <c r="C557" s="1" t="s">
        <v>1164</v>
      </c>
      <c r="D557" s="1" t="s">
        <v>30</v>
      </c>
      <c r="E557" s="1" t="s">
        <v>248</v>
      </c>
      <c r="F557" s="1" t="s">
        <v>26</v>
      </c>
      <c r="G557" s="1" t="s">
        <v>20</v>
      </c>
      <c r="H557" s="1" t="s">
        <v>199</v>
      </c>
      <c r="I557" s="1">
        <v>7</v>
      </c>
      <c r="J557" s="1">
        <v>95.46</v>
      </c>
      <c r="K557" s="1">
        <v>5</v>
      </c>
      <c r="L557" s="1">
        <v>634.80999999999995</v>
      </c>
      <c r="M557" s="1">
        <v>20.14</v>
      </c>
      <c r="N557" s="1">
        <v>247.15</v>
      </c>
      <c r="O557" s="6" t="s">
        <v>22</v>
      </c>
      <c r="P557" s="8">
        <f>Table1[Quantity]*Table1[Unit_Price]</f>
        <v>668.21999999999991</v>
      </c>
      <c r="Q557" s="1">
        <f>Table1[Profit]/Table1[Total_Sales]</f>
        <v>0.38932909059403603</v>
      </c>
      <c r="R557" s="14">
        <f>Table1[Total_Sales]+Table1[Shipping_Cost]</f>
        <v>654.94999999999993</v>
      </c>
    </row>
    <row r="558" spans="1:18" x14ac:dyDescent="0.35">
      <c r="A558" s="3" t="s">
        <v>1165</v>
      </c>
      <c r="B558" s="2">
        <v>45235</v>
      </c>
      <c r="C558" s="1" t="s">
        <v>1166</v>
      </c>
      <c r="D558" s="1" t="s">
        <v>30</v>
      </c>
      <c r="E558" s="1" t="s">
        <v>135</v>
      </c>
      <c r="F558" s="1" t="s">
        <v>26</v>
      </c>
      <c r="G558" s="1" t="s">
        <v>32</v>
      </c>
      <c r="H558" s="1" t="s">
        <v>73</v>
      </c>
      <c r="I558" s="1">
        <v>2</v>
      </c>
      <c r="J558" s="1">
        <v>8.91</v>
      </c>
      <c r="K558" s="1">
        <v>15</v>
      </c>
      <c r="L558" s="1">
        <v>15.15</v>
      </c>
      <c r="M558" s="1">
        <v>11.64</v>
      </c>
      <c r="N558" s="1">
        <v>-4.51</v>
      </c>
      <c r="O558" s="6" t="s">
        <v>39</v>
      </c>
      <c r="P558" s="8">
        <f>Table1[Quantity]*Table1[Unit_Price]</f>
        <v>17.82</v>
      </c>
      <c r="Q558" s="1">
        <f>Table1[Profit]/Table1[Total_Sales]</f>
        <v>-0.2976897689768977</v>
      </c>
      <c r="R558" s="14">
        <f>Table1[Total_Sales]+Table1[Shipping_Cost]</f>
        <v>26.79</v>
      </c>
    </row>
    <row r="559" spans="1:18" x14ac:dyDescent="0.35">
      <c r="A559" s="3" t="s">
        <v>1167</v>
      </c>
      <c r="B559" s="2">
        <v>45236</v>
      </c>
      <c r="C559" s="1" t="s">
        <v>553</v>
      </c>
      <c r="D559" s="1" t="s">
        <v>30</v>
      </c>
      <c r="E559" s="1" t="s">
        <v>67</v>
      </c>
      <c r="F559" s="1" t="s">
        <v>68</v>
      </c>
      <c r="G559" s="1" t="s">
        <v>69</v>
      </c>
      <c r="H559" s="1" t="s">
        <v>70</v>
      </c>
      <c r="I559" s="1">
        <v>3</v>
      </c>
      <c r="J559" s="1">
        <v>64.75</v>
      </c>
      <c r="K559" s="1">
        <v>0</v>
      </c>
      <c r="L559" s="1">
        <v>194.25</v>
      </c>
      <c r="M559" s="1">
        <v>14.63</v>
      </c>
      <c r="N559" s="1">
        <v>82.5</v>
      </c>
      <c r="O559" s="6" t="s">
        <v>34</v>
      </c>
      <c r="P559" s="8">
        <f>Table1[Quantity]*Table1[Unit_Price]</f>
        <v>194.25</v>
      </c>
      <c r="Q559" s="1">
        <f>Table1[Profit]/Table1[Total_Sales]</f>
        <v>0.42471042471042469</v>
      </c>
      <c r="R559" s="14">
        <f>Table1[Total_Sales]+Table1[Shipping_Cost]</f>
        <v>208.88</v>
      </c>
    </row>
    <row r="560" spans="1:18" x14ac:dyDescent="0.35">
      <c r="A560" s="3" t="s">
        <v>1168</v>
      </c>
      <c r="B560" s="2">
        <v>45236</v>
      </c>
      <c r="C560" s="1" t="s">
        <v>1169</v>
      </c>
      <c r="D560" s="1" t="s">
        <v>17</v>
      </c>
      <c r="E560" s="1" t="s">
        <v>59</v>
      </c>
      <c r="F560" s="1" t="s">
        <v>60</v>
      </c>
      <c r="G560" s="1" t="s">
        <v>42</v>
      </c>
      <c r="H560" s="1" t="s">
        <v>64</v>
      </c>
      <c r="I560" s="1">
        <v>4</v>
      </c>
      <c r="J560" s="1">
        <v>127.45</v>
      </c>
      <c r="K560" s="1">
        <v>15</v>
      </c>
      <c r="L560" s="1">
        <v>433.33</v>
      </c>
      <c r="M560" s="1">
        <v>12.43</v>
      </c>
      <c r="N560" s="1">
        <v>115.02</v>
      </c>
      <c r="O560" s="6" t="s">
        <v>34</v>
      </c>
      <c r="P560" s="8">
        <f>Table1[Quantity]*Table1[Unit_Price]</f>
        <v>509.8</v>
      </c>
      <c r="Q560" s="1">
        <f>Table1[Profit]/Table1[Total_Sales]</f>
        <v>0.26543281102162325</v>
      </c>
      <c r="R560" s="14">
        <f>Table1[Total_Sales]+Table1[Shipping_Cost]</f>
        <v>445.76</v>
      </c>
    </row>
    <row r="561" spans="1:18" x14ac:dyDescent="0.35">
      <c r="A561" s="3" t="s">
        <v>1170</v>
      </c>
      <c r="B561" s="2">
        <v>45237</v>
      </c>
      <c r="C561" s="1" t="s">
        <v>1171</v>
      </c>
      <c r="D561" s="1" t="s">
        <v>17</v>
      </c>
      <c r="E561" s="1" t="s">
        <v>135</v>
      </c>
      <c r="F561" s="1" t="s">
        <v>26</v>
      </c>
      <c r="G561" s="1" t="s">
        <v>42</v>
      </c>
      <c r="H561" s="1" t="s">
        <v>64</v>
      </c>
      <c r="I561" s="1">
        <v>4</v>
      </c>
      <c r="J561" s="1">
        <v>70.540000000000006</v>
      </c>
      <c r="K561" s="1">
        <v>15</v>
      </c>
      <c r="L561" s="1">
        <v>239.84</v>
      </c>
      <c r="M561" s="1">
        <v>11.23</v>
      </c>
      <c r="N561" s="1">
        <v>59.31</v>
      </c>
      <c r="O561" s="6" t="s">
        <v>56</v>
      </c>
      <c r="P561" s="8">
        <f>Table1[Quantity]*Table1[Unit_Price]</f>
        <v>282.16000000000003</v>
      </c>
      <c r="Q561" s="1">
        <f>Table1[Profit]/Table1[Total_Sales]</f>
        <v>0.2472898599066044</v>
      </c>
      <c r="R561" s="14">
        <f>Table1[Total_Sales]+Table1[Shipping_Cost]</f>
        <v>251.07</v>
      </c>
    </row>
    <row r="562" spans="1:18" x14ac:dyDescent="0.35">
      <c r="A562" s="3" t="s">
        <v>1172</v>
      </c>
      <c r="B562" s="2">
        <v>45237</v>
      </c>
      <c r="C562" s="1" t="s">
        <v>1173</v>
      </c>
      <c r="D562" s="1" t="s">
        <v>49</v>
      </c>
      <c r="E562" s="1" t="s">
        <v>85</v>
      </c>
      <c r="F562" s="1" t="s">
        <v>60</v>
      </c>
      <c r="G562" s="1" t="s">
        <v>32</v>
      </c>
      <c r="H562" s="1" t="s">
        <v>101</v>
      </c>
      <c r="I562" s="1">
        <v>7</v>
      </c>
      <c r="J562" s="1">
        <v>9.27</v>
      </c>
      <c r="K562" s="1">
        <v>5</v>
      </c>
      <c r="L562" s="1">
        <v>61.65</v>
      </c>
      <c r="M562" s="1">
        <v>19.21</v>
      </c>
      <c r="N562" s="1">
        <v>13.24</v>
      </c>
      <c r="O562" s="6" t="s">
        <v>34</v>
      </c>
      <c r="P562" s="8">
        <f>Table1[Quantity]*Table1[Unit_Price]</f>
        <v>64.89</v>
      </c>
      <c r="Q562" s="1">
        <f>Table1[Profit]/Table1[Total_Sales]</f>
        <v>0.21476074614760746</v>
      </c>
      <c r="R562" s="14">
        <f>Table1[Total_Sales]+Table1[Shipping_Cost]</f>
        <v>80.86</v>
      </c>
    </row>
    <row r="563" spans="1:18" x14ac:dyDescent="0.35">
      <c r="A563" s="3" t="s">
        <v>1174</v>
      </c>
      <c r="B563" s="2">
        <v>45239</v>
      </c>
      <c r="C563" s="1" t="s">
        <v>1175</v>
      </c>
      <c r="D563" s="1" t="s">
        <v>30</v>
      </c>
      <c r="E563" s="1" t="s">
        <v>18</v>
      </c>
      <c r="F563" s="1" t="s">
        <v>19</v>
      </c>
      <c r="G563" s="1" t="s">
        <v>20</v>
      </c>
      <c r="H563" s="1" t="s">
        <v>264</v>
      </c>
      <c r="I563" s="1">
        <v>3</v>
      </c>
      <c r="J563" s="1">
        <v>53.47</v>
      </c>
      <c r="K563" s="1">
        <v>0</v>
      </c>
      <c r="L563" s="1">
        <v>160.41</v>
      </c>
      <c r="M563" s="1">
        <v>10.7</v>
      </c>
      <c r="N563" s="1">
        <v>61.48</v>
      </c>
      <c r="O563" s="6" t="s">
        <v>56</v>
      </c>
      <c r="P563" s="8">
        <f>Table1[Quantity]*Table1[Unit_Price]</f>
        <v>160.41</v>
      </c>
      <c r="Q563" s="1">
        <f>Table1[Profit]/Table1[Total_Sales]</f>
        <v>0.38326787606757684</v>
      </c>
      <c r="R563" s="14">
        <f>Table1[Total_Sales]+Table1[Shipping_Cost]</f>
        <v>171.10999999999999</v>
      </c>
    </row>
    <row r="564" spans="1:18" x14ac:dyDescent="0.35">
      <c r="A564" s="3" t="s">
        <v>1176</v>
      </c>
      <c r="B564" s="2">
        <v>45239</v>
      </c>
      <c r="C564" s="1" t="s">
        <v>1177</v>
      </c>
      <c r="D564" s="1" t="s">
        <v>30</v>
      </c>
      <c r="E564" s="1" t="s">
        <v>59</v>
      </c>
      <c r="F564" s="1" t="s">
        <v>60</v>
      </c>
      <c r="G564" s="1" t="s">
        <v>42</v>
      </c>
      <c r="H564" s="1" t="s">
        <v>46</v>
      </c>
      <c r="I564" s="1">
        <v>1</v>
      </c>
      <c r="J564" s="1">
        <v>94.39</v>
      </c>
      <c r="K564" s="1">
        <v>15</v>
      </c>
      <c r="L564" s="1">
        <v>80.23</v>
      </c>
      <c r="M564" s="1">
        <v>11.03</v>
      </c>
      <c r="N564" s="1">
        <v>12.57</v>
      </c>
      <c r="O564" s="6" t="s">
        <v>39</v>
      </c>
      <c r="P564" s="8">
        <f>Table1[Quantity]*Table1[Unit_Price]</f>
        <v>94.39</v>
      </c>
      <c r="Q564" s="1">
        <f>Table1[Profit]/Table1[Total_Sales]</f>
        <v>0.15667456063816526</v>
      </c>
      <c r="R564" s="14">
        <f>Table1[Total_Sales]+Table1[Shipping_Cost]</f>
        <v>91.26</v>
      </c>
    </row>
    <row r="565" spans="1:18" x14ac:dyDescent="0.35">
      <c r="A565" s="3" t="s">
        <v>1178</v>
      </c>
      <c r="B565" s="2">
        <v>45240</v>
      </c>
      <c r="C565" s="1" t="s">
        <v>1179</v>
      </c>
      <c r="D565" s="1" t="s">
        <v>30</v>
      </c>
      <c r="E565" s="1" t="s">
        <v>18</v>
      </c>
      <c r="F565" s="1" t="s">
        <v>19</v>
      </c>
      <c r="G565" s="1" t="s">
        <v>20</v>
      </c>
      <c r="H565" s="1" t="s">
        <v>199</v>
      </c>
      <c r="I565" s="1">
        <v>1</v>
      </c>
      <c r="J565" s="1">
        <v>187.3</v>
      </c>
      <c r="K565" s="1">
        <v>5</v>
      </c>
      <c r="L565" s="1">
        <v>177.94</v>
      </c>
      <c r="M565" s="1">
        <v>6.98</v>
      </c>
      <c r="N565" s="1">
        <v>67.94</v>
      </c>
      <c r="O565" s="6" t="s">
        <v>34</v>
      </c>
      <c r="P565" s="8">
        <f>Table1[Quantity]*Table1[Unit_Price]</f>
        <v>187.3</v>
      </c>
      <c r="Q565" s="1">
        <f>Table1[Profit]/Table1[Total_Sales]</f>
        <v>0.38181409463864224</v>
      </c>
      <c r="R565" s="14">
        <f>Table1[Total_Sales]+Table1[Shipping_Cost]</f>
        <v>184.92</v>
      </c>
    </row>
    <row r="566" spans="1:18" x14ac:dyDescent="0.35">
      <c r="A566" s="3" t="s">
        <v>1180</v>
      </c>
      <c r="B566" s="2">
        <v>45242</v>
      </c>
      <c r="C566" s="1" t="s">
        <v>1181</v>
      </c>
      <c r="D566" s="1" t="s">
        <v>30</v>
      </c>
      <c r="E566" s="1" t="s">
        <v>129</v>
      </c>
      <c r="F566" s="1" t="s">
        <v>19</v>
      </c>
      <c r="G566" s="1" t="s">
        <v>42</v>
      </c>
      <c r="H566" s="1" t="s">
        <v>46</v>
      </c>
      <c r="I566" s="1">
        <v>2</v>
      </c>
      <c r="J566" s="1">
        <v>163.55000000000001</v>
      </c>
      <c r="K566" s="1">
        <v>0</v>
      </c>
      <c r="L566" s="1">
        <v>327.10000000000002</v>
      </c>
      <c r="M566" s="1">
        <v>6.02</v>
      </c>
      <c r="N566" s="1">
        <v>124.82</v>
      </c>
      <c r="O566" s="6" t="s">
        <v>34</v>
      </c>
      <c r="P566" s="8">
        <f>Table1[Quantity]*Table1[Unit_Price]</f>
        <v>327.10000000000002</v>
      </c>
      <c r="Q566" s="1">
        <f>Table1[Profit]/Table1[Total_Sales]</f>
        <v>0.38159584225007637</v>
      </c>
      <c r="R566" s="14">
        <f>Table1[Total_Sales]+Table1[Shipping_Cost]</f>
        <v>333.12</v>
      </c>
    </row>
    <row r="567" spans="1:18" x14ac:dyDescent="0.35">
      <c r="A567" s="3" t="s">
        <v>1182</v>
      </c>
      <c r="B567" s="2">
        <v>45242</v>
      </c>
      <c r="C567" s="1" t="s">
        <v>851</v>
      </c>
      <c r="D567" s="1" t="s">
        <v>30</v>
      </c>
      <c r="E567" s="1" t="s">
        <v>166</v>
      </c>
      <c r="F567" s="1" t="s">
        <v>60</v>
      </c>
      <c r="G567" s="1" t="s">
        <v>69</v>
      </c>
      <c r="H567" s="1" t="s">
        <v>196</v>
      </c>
      <c r="I567" s="1">
        <v>1</v>
      </c>
      <c r="J567" s="1">
        <v>22.15</v>
      </c>
      <c r="K567" s="1">
        <v>0</v>
      </c>
      <c r="L567" s="1">
        <v>22.15</v>
      </c>
      <c r="M567" s="1">
        <v>10.89</v>
      </c>
      <c r="N567" s="1">
        <v>0.18</v>
      </c>
      <c r="O567" s="6" t="s">
        <v>56</v>
      </c>
      <c r="P567" s="8">
        <f>Table1[Quantity]*Table1[Unit_Price]</f>
        <v>22.15</v>
      </c>
      <c r="Q567" s="1">
        <f>Table1[Profit]/Table1[Total_Sales]</f>
        <v>8.1264108352144468E-3</v>
      </c>
      <c r="R567" s="14">
        <f>Table1[Total_Sales]+Table1[Shipping_Cost]</f>
        <v>33.04</v>
      </c>
    </row>
    <row r="568" spans="1:18" x14ac:dyDescent="0.35">
      <c r="A568" s="3" t="s">
        <v>1183</v>
      </c>
      <c r="B568" s="2">
        <v>45243</v>
      </c>
      <c r="C568" s="1" t="s">
        <v>1184</v>
      </c>
      <c r="D568" s="1" t="s">
        <v>17</v>
      </c>
      <c r="E568" s="1" t="s">
        <v>148</v>
      </c>
      <c r="F568" s="1" t="s">
        <v>60</v>
      </c>
      <c r="G568" s="1" t="s">
        <v>20</v>
      </c>
      <c r="H568" s="1" t="s">
        <v>264</v>
      </c>
      <c r="I568" s="1">
        <v>1</v>
      </c>
      <c r="J568" s="1">
        <v>37.78</v>
      </c>
      <c r="K568" s="1">
        <v>10</v>
      </c>
      <c r="L568" s="1">
        <v>34</v>
      </c>
      <c r="M568" s="1">
        <v>10.66</v>
      </c>
      <c r="N568" s="1">
        <v>2.56</v>
      </c>
      <c r="O568" s="6" t="s">
        <v>34</v>
      </c>
      <c r="P568" s="8">
        <f>Table1[Quantity]*Table1[Unit_Price]</f>
        <v>37.78</v>
      </c>
      <c r="Q568" s="1">
        <f>Table1[Profit]/Table1[Total_Sales]</f>
        <v>7.5294117647058831E-2</v>
      </c>
      <c r="R568" s="14">
        <f>Table1[Total_Sales]+Table1[Shipping_Cost]</f>
        <v>44.66</v>
      </c>
    </row>
    <row r="569" spans="1:18" x14ac:dyDescent="0.35">
      <c r="A569" s="3" t="s">
        <v>1185</v>
      </c>
      <c r="B569" s="2">
        <v>45243</v>
      </c>
      <c r="C569" s="1" t="s">
        <v>1186</v>
      </c>
      <c r="D569" s="1" t="s">
        <v>17</v>
      </c>
      <c r="E569" s="1" t="s">
        <v>135</v>
      </c>
      <c r="F569" s="1" t="s">
        <v>26</v>
      </c>
      <c r="G569" s="1" t="s">
        <v>42</v>
      </c>
      <c r="H569" s="1" t="s">
        <v>234</v>
      </c>
      <c r="I569" s="1">
        <v>8</v>
      </c>
      <c r="J569" s="1">
        <v>64.55</v>
      </c>
      <c r="K569" s="1">
        <v>20</v>
      </c>
      <c r="L569" s="1">
        <v>413.12</v>
      </c>
      <c r="M569" s="1">
        <v>20.98</v>
      </c>
      <c r="N569" s="1">
        <v>82.3</v>
      </c>
      <c r="O569" s="6" t="s">
        <v>34</v>
      </c>
      <c r="P569" s="8">
        <f>Table1[Quantity]*Table1[Unit_Price]</f>
        <v>516.4</v>
      </c>
      <c r="Q569" s="1">
        <f>Table1[Profit]/Table1[Total_Sales]</f>
        <v>0.19921572424477149</v>
      </c>
      <c r="R569" s="14">
        <f>Table1[Total_Sales]+Table1[Shipping_Cost]</f>
        <v>434.1</v>
      </c>
    </row>
    <row r="570" spans="1:18" x14ac:dyDescent="0.35">
      <c r="A570" s="3" t="s">
        <v>1187</v>
      </c>
      <c r="B570" s="2">
        <v>45244</v>
      </c>
      <c r="C570" s="1" t="s">
        <v>1188</v>
      </c>
      <c r="D570" s="1" t="s">
        <v>17</v>
      </c>
      <c r="E570" s="1" t="s">
        <v>25</v>
      </c>
      <c r="F570" s="1" t="s">
        <v>26</v>
      </c>
      <c r="G570" s="1" t="s">
        <v>42</v>
      </c>
      <c r="H570" s="1" t="s">
        <v>43</v>
      </c>
      <c r="I570" s="1">
        <v>3</v>
      </c>
      <c r="J570" s="1">
        <v>162.18</v>
      </c>
      <c r="K570" s="1">
        <v>15</v>
      </c>
      <c r="L570" s="1">
        <v>413.56</v>
      </c>
      <c r="M570" s="1">
        <v>10.53</v>
      </c>
      <c r="N570" s="1">
        <v>111.11</v>
      </c>
      <c r="O570" s="6" t="s">
        <v>22</v>
      </c>
      <c r="P570" s="8">
        <f>Table1[Quantity]*Table1[Unit_Price]</f>
        <v>486.54</v>
      </c>
      <c r="Q570" s="1">
        <f>Table1[Profit]/Table1[Total_Sales]</f>
        <v>0.26866718251281557</v>
      </c>
      <c r="R570" s="14">
        <f>Table1[Total_Sales]+Table1[Shipping_Cost]</f>
        <v>424.09</v>
      </c>
    </row>
    <row r="571" spans="1:18" x14ac:dyDescent="0.35">
      <c r="A571" s="3" t="s">
        <v>1189</v>
      </c>
      <c r="B571" s="2">
        <v>45245</v>
      </c>
      <c r="C571" s="1" t="s">
        <v>1190</v>
      </c>
      <c r="D571" s="1" t="s">
        <v>17</v>
      </c>
      <c r="E571" s="1" t="s">
        <v>129</v>
      </c>
      <c r="F571" s="1" t="s">
        <v>19</v>
      </c>
      <c r="G571" s="1" t="s">
        <v>20</v>
      </c>
      <c r="H571" s="1" t="s">
        <v>106</v>
      </c>
      <c r="I571" s="1">
        <v>1</v>
      </c>
      <c r="J571" s="1">
        <v>40.47</v>
      </c>
      <c r="K571" s="1">
        <v>5</v>
      </c>
      <c r="L571" s="1">
        <v>38.450000000000003</v>
      </c>
      <c r="M571" s="1">
        <v>6.75</v>
      </c>
      <c r="N571" s="1">
        <v>9.44</v>
      </c>
      <c r="O571" s="6" t="s">
        <v>34</v>
      </c>
      <c r="P571" s="8">
        <f>Table1[Quantity]*Table1[Unit_Price]</f>
        <v>40.47</v>
      </c>
      <c r="Q571" s="1">
        <f>Table1[Profit]/Table1[Total_Sales]</f>
        <v>0.24551365409622883</v>
      </c>
      <c r="R571" s="14">
        <f>Table1[Total_Sales]+Table1[Shipping_Cost]</f>
        <v>45.2</v>
      </c>
    </row>
    <row r="572" spans="1:18" x14ac:dyDescent="0.35">
      <c r="A572" s="3" t="s">
        <v>1191</v>
      </c>
      <c r="B572" s="2">
        <v>45245</v>
      </c>
      <c r="C572" s="1" t="s">
        <v>1192</v>
      </c>
      <c r="D572" s="1" t="s">
        <v>30</v>
      </c>
      <c r="E572" s="1" t="s">
        <v>121</v>
      </c>
      <c r="F572" s="1" t="s">
        <v>68</v>
      </c>
      <c r="G572" s="1" t="s">
        <v>32</v>
      </c>
      <c r="H572" s="1" t="s">
        <v>50</v>
      </c>
      <c r="I572" s="1">
        <v>2</v>
      </c>
      <c r="J572" s="1">
        <v>10.67</v>
      </c>
      <c r="K572" s="1">
        <v>15</v>
      </c>
      <c r="L572" s="1">
        <v>18.14</v>
      </c>
      <c r="M572" s="1">
        <v>14.02</v>
      </c>
      <c r="N572" s="1">
        <v>-5.48</v>
      </c>
      <c r="O572" s="6" t="s">
        <v>34</v>
      </c>
      <c r="P572" s="8">
        <f>Table1[Quantity]*Table1[Unit_Price]</f>
        <v>21.34</v>
      </c>
      <c r="Q572" s="1">
        <f>Table1[Profit]/Table1[Total_Sales]</f>
        <v>-0.30209481808158767</v>
      </c>
      <c r="R572" s="14">
        <f>Table1[Total_Sales]+Table1[Shipping_Cost]</f>
        <v>32.159999999999997</v>
      </c>
    </row>
    <row r="573" spans="1:18" x14ac:dyDescent="0.35">
      <c r="A573" s="3" t="s">
        <v>1193</v>
      </c>
      <c r="B573" s="2">
        <v>45248</v>
      </c>
      <c r="C573" s="1" t="s">
        <v>857</v>
      </c>
      <c r="D573" s="1" t="s">
        <v>30</v>
      </c>
      <c r="E573" s="1" t="s">
        <v>129</v>
      </c>
      <c r="F573" s="1" t="s">
        <v>19</v>
      </c>
      <c r="G573" s="1" t="s">
        <v>32</v>
      </c>
      <c r="H573" s="1" t="s">
        <v>348</v>
      </c>
      <c r="I573" s="1">
        <v>3</v>
      </c>
      <c r="J573" s="1">
        <v>11.62</v>
      </c>
      <c r="K573" s="1">
        <v>15</v>
      </c>
      <c r="L573" s="1">
        <v>29.63</v>
      </c>
      <c r="M573" s="1">
        <v>7.43</v>
      </c>
      <c r="N573" s="1">
        <v>6.51</v>
      </c>
      <c r="O573" s="6" t="s">
        <v>34</v>
      </c>
      <c r="P573" s="8">
        <f>Table1[Quantity]*Table1[Unit_Price]</f>
        <v>34.86</v>
      </c>
      <c r="Q573" s="1">
        <f>Table1[Profit]/Table1[Total_Sales]</f>
        <v>0.21970975362807965</v>
      </c>
      <c r="R573" s="14">
        <f>Table1[Total_Sales]+Table1[Shipping_Cost]</f>
        <v>37.06</v>
      </c>
    </row>
    <row r="574" spans="1:18" x14ac:dyDescent="0.35">
      <c r="A574" s="3" t="s">
        <v>1194</v>
      </c>
      <c r="B574" s="2">
        <v>45248</v>
      </c>
      <c r="C574" s="1" t="s">
        <v>1195</v>
      </c>
      <c r="D574" s="1" t="s">
        <v>17</v>
      </c>
      <c r="E574" s="1" t="s">
        <v>92</v>
      </c>
      <c r="F574" s="1" t="s">
        <v>60</v>
      </c>
      <c r="G574" s="1" t="s">
        <v>20</v>
      </c>
      <c r="H574" s="1" t="s">
        <v>55</v>
      </c>
      <c r="I574" s="1">
        <v>11</v>
      </c>
      <c r="J574" s="1">
        <v>53.68</v>
      </c>
      <c r="K574" s="1">
        <v>0</v>
      </c>
      <c r="L574" s="1">
        <v>590.48</v>
      </c>
      <c r="M574" s="1">
        <v>19.16</v>
      </c>
      <c r="N574" s="1">
        <v>246.56</v>
      </c>
      <c r="O574" s="6" t="s">
        <v>39</v>
      </c>
      <c r="P574" s="8">
        <f>Table1[Quantity]*Table1[Unit_Price]</f>
        <v>590.48</v>
      </c>
      <c r="Q574" s="1">
        <f>Table1[Profit]/Table1[Total_Sales]</f>
        <v>0.41755859639615228</v>
      </c>
      <c r="R574" s="14">
        <f>Table1[Total_Sales]+Table1[Shipping_Cost]</f>
        <v>609.64</v>
      </c>
    </row>
    <row r="575" spans="1:18" x14ac:dyDescent="0.35">
      <c r="A575" s="3" t="s">
        <v>1196</v>
      </c>
      <c r="B575" s="2">
        <v>45249</v>
      </c>
      <c r="C575" s="1" t="s">
        <v>1197</v>
      </c>
      <c r="D575" s="1" t="s">
        <v>17</v>
      </c>
      <c r="E575" s="1" t="s">
        <v>129</v>
      </c>
      <c r="F575" s="1" t="s">
        <v>19</v>
      </c>
      <c r="G575" s="1" t="s">
        <v>32</v>
      </c>
      <c r="H575" s="1" t="s">
        <v>101</v>
      </c>
      <c r="I575" s="1">
        <v>7</v>
      </c>
      <c r="J575" s="1">
        <v>7.45</v>
      </c>
      <c r="K575" s="1">
        <v>5</v>
      </c>
      <c r="L575" s="1">
        <v>49.54</v>
      </c>
      <c r="M575" s="1">
        <v>14.62</v>
      </c>
      <c r="N575" s="1">
        <v>11.45</v>
      </c>
      <c r="O575" s="6" t="s">
        <v>39</v>
      </c>
      <c r="P575" s="8">
        <f>Table1[Quantity]*Table1[Unit_Price]</f>
        <v>52.15</v>
      </c>
      <c r="Q575" s="1">
        <f>Table1[Profit]/Table1[Total_Sales]</f>
        <v>0.23112636253532498</v>
      </c>
      <c r="R575" s="14">
        <f>Table1[Total_Sales]+Table1[Shipping_Cost]</f>
        <v>64.16</v>
      </c>
    </row>
    <row r="576" spans="1:18" x14ac:dyDescent="0.35">
      <c r="A576" s="3" t="s">
        <v>1198</v>
      </c>
      <c r="B576" s="2">
        <v>45250</v>
      </c>
      <c r="C576" s="1" t="s">
        <v>1199</v>
      </c>
      <c r="D576" s="1" t="s">
        <v>30</v>
      </c>
      <c r="E576" s="1" t="s">
        <v>59</v>
      </c>
      <c r="F576" s="1" t="s">
        <v>60</v>
      </c>
      <c r="G576" s="1" t="s">
        <v>32</v>
      </c>
      <c r="H576" s="1" t="s">
        <v>115</v>
      </c>
      <c r="I576" s="1">
        <v>3</v>
      </c>
      <c r="J576" s="1">
        <v>10.56</v>
      </c>
      <c r="K576" s="1">
        <v>5</v>
      </c>
      <c r="L576" s="1">
        <v>30.1</v>
      </c>
      <c r="M576" s="1">
        <v>14.07</v>
      </c>
      <c r="N576" s="1">
        <v>1.77</v>
      </c>
      <c r="O576" s="6" t="s">
        <v>39</v>
      </c>
      <c r="P576" s="8">
        <f>Table1[Quantity]*Table1[Unit_Price]</f>
        <v>31.68</v>
      </c>
      <c r="Q576" s="1">
        <f>Table1[Profit]/Table1[Total_Sales]</f>
        <v>5.880398671096345E-2</v>
      </c>
      <c r="R576" s="14">
        <f>Table1[Total_Sales]+Table1[Shipping_Cost]</f>
        <v>44.17</v>
      </c>
    </row>
    <row r="577" spans="1:18" x14ac:dyDescent="0.35">
      <c r="A577" s="3" t="s">
        <v>1200</v>
      </c>
      <c r="B577" s="2">
        <v>45250</v>
      </c>
      <c r="C577" s="1" t="s">
        <v>1201</v>
      </c>
      <c r="D577" s="1" t="s">
        <v>30</v>
      </c>
      <c r="E577" s="1" t="s">
        <v>67</v>
      </c>
      <c r="F577" s="1" t="s">
        <v>68</v>
      </c>
      <c r="G577" s="1" t="s">
        <v>20</v>
      </c>
      <c r="H577" s="1" t="s">
        <v>175</v>
      </c>
      <c r="I577" s="1">
        <v>2</v>
      </c>
      <c r="J577" s="1">
        <v>53.62</v>
      </c>
      <c r="K577" s="1">
        <v>0</v>
      </c>
      <c r="L577" s="1">
        <v>107.24</v>
      </c>
      <c r="M577" s="1">
        <v>11.75</v>
      </c>
      <c r="N577" s="1">
        <v>36.51</v>
      </c>
      <c r="O577" s="6" t="s">
        <v>56</v>
      </c>
      <c r="P577" s="8">
        <f>Table1[Quantity]*Table1[Unit_Price]</f>
        <v>107.24</v>
      </c>
      <c r="Q577" s="1">
        <f>Table1[Profit]/Table1[Total_Sales]</f>
        <v>0.34045132413278628</v>
      </c>
      <c r="R577" s="14">
        <f>Table1[Total_Sales]+Table1[Shipping_Cost]</f>
        <v>118.99</v>
      </c>
    </row>
    <row r="578" spans="1:18" x14ac:dyDescent="0.35">
      <c r="A578" s="3" t="s">
        <v>1202</v>
      </c>
      <c r="B578" s="2">
        <v>45251</v>
      </c>
      <c r="C578" s="1" t="s">
        <v>1203</v>
      </c>
      <c r="D578" s="1" t="s">
        <v>30</v>
      </c>
      <c r="E578" s="1" t="s">
        <v>121</v>
      </c>
      <c r="F578" s="1" t="s">
        <v>68</v>
      </c>
      <c r="G578" s="1" t="s">
        <v>32</v>
      </c>
      <c r="H578" s="1" t="s">
        <v>50</v>
      </c>
      <c r="I578" s="1">
        <v>3</v>
      </c>
      <c r="J578" s="1">
        <v>20.66</v>
      </c>
      <c r="K578" s="1">
        <v>0</v>
      </c>
      <c r="L578" s="1">
        <v>61.98</v>
      </c>
      <c r="M578" s="1">
        <v>14.39</v>
      </c>
      <c r="N578" s="1">
        <v>19.7</v>
      </c>
      <c r="O578" s="6" t="s">
        <v>34</v>
      </c>
      <c r="P578" s="8">
        <f>Table1[Quantity]*Table1[Unit_Price]</f>
        <v>61.980000000000004</v>
      </c>
      <c r="Q578" s="1">
        <f>Table1[Profit]/Table1[Total_Sales]</f>
        <v>0.31784446595676025</v>
      </c>
      <c r="R578" s="14">
        <f>Table1[Total_Sales]+Table1[Shipping_Cost]</f>
        <v>76.37</v>
      </c>
    </row>
    <row r="579" spans="1:18" x14ac:dyDescent="0.35">
      <c r="A579" s="3" t="s">
        <v>1204</v>
      </c>
      <c r="B579" s="2">
        <v>45251</v>
      </c>
      <c r="C579" s="1" t="s">
        <v>1205</v>
      </c>
      <c r="D579" s="1" t="s">
        <v>17</v>
      </c>
      <c r="E579" s="1" t="s">
        <v>85</v>
      </c>
      <c r="F579" s="1" t="s">
        <v>60</v>
      </c>
      <c r="G579" s="1" t="s">
        <v>32</v>
      </c>
      <c r="H579" s="1" t="s">
        <v>115</v>
      </c>
      <c r="I579" s="1">
        <v>1</v>
      </c>
      <c r="J579" s="1">
        <v>18.510000000000002</v>
      </c>
      <c r="K579" s="1">
        <v>10</v>
      </c>
      <c r="L579" s="1">
        <v>16.66</v>
      </c>
      <c r="M579" s="1">
        <v>11.16</v>
      </c>
      <c r="N579" s="1">
        <v>-2.83</v>
      </c>
      <c r="O579" s="6" t="s">
        <v>39</v>
      </c>
      <c r="P579" s="8">
        <f>Table1[Quantity]*Table1[Unit_Price]</f>
        <v>18.510000000000002</v>
      </c>
      <c r="Q579" s="1">
        <f>Table1[Profit]/Table1[Total_Sales]</f>
        <v>-0.16986794717887155</v>
      </c>
      <c r="R579" s="14">
        <f>Table1[Total_Sales]+Table1[Shipping_Cost]</f>
        <v>27.82</v>
      </c>
    </row>
    <row r="580" spans="1:18" x14ac:dyDescent="0.35">
      <c r="A580" s="3" t="s">
        <v>1206</v>
      </c>
      <c r="B580" s="2">
        <v>45252</v>
      </c>
      <c r="C580" s="1" t="s">
        <v>1207</v>
      </c>
      <c r="D580" s="1" t="s">
        <v>17</v>
      </c>
      <c r="E580" s="1" t="s">
        <v>18</v>
      </c>
      <c r="F580" s="1" t="s">
        <v>19</v>
      </c>
      <c r="G580" s="1" t="s">
        <v>42</v>
      </c>
      <c r="H580" s="1" t="s">
        <v>93</v>
      </c>
      <c r="I580" s="1">
        <v>1</v>
      </c>
      <c r="J580" s="1">
        <v>209.98</v>
      </c>
      <c r="K580" s="1">
        <v>5</v>
      </c>
      <c r="L580" s="1">
        <v>199.48</v>
      </c>
      <c r="M580" s="1">
        <v>7.19</v>
      </c>
      <c r="N580" s="1">
        <v>66.3</v>
      </c>
      <c r="O580" s="6" t="s">
        <v>39</v>
      </c>
      <c r="P580" s="8">
        <f>Table1[Quantity]*Table1[Unit_Price]</f>
        <v>209.98</v>
      </c>
      <c r="Q580" s="1">
        <f>Table1[Profit]/Table1[Total_Sales]</f>
        <v>0.33236414678163223</v>
      </c>
      <c r="R580" s="14">
        <f>Table1[Total_Sales]+Table1[Shipping_Cost]</f>
        <v>206.67</v>
      </c>
    </row>
    <row r="581" spans="1:18" x14ac:dyDescent="0.35">
      <c r="A581" s="3" t="s">
        <v>1208</v>
      </c>
      <c r="B581" s="2">
        <v>45253</v>
      </c>
      <c r="C581" s="1" t="s">
        <v>1209</v>
      </c>
      <c r="D581" s="1" t="s">
        <v>30</v>
      </c>
      <c r="E581" s="1" t="s">
        <v>248</v>
      </c>
      <c r="F581" s="1" t="s">
        <v>26</v>
      </c>
      <c r="G581" s="1" t="s">
        <v>69</v>
      </c>
      <c r="H581" s="1" t="s">
        <v>98</v>
      </c>
      <c r="I581" s="1">
        <v>1</v>
      </c>
      <c r="J581" s="1">
        <v>15.72</v>
      </c>
      <c r="K581" s="1">
        <v>5</v>
      </c>
      <c r="L581" s="1">
        <v>14.93</v>
      </c>
      <c r="M581" s="1">
        <v>8.51</v>
      </c>
      <c r="N581" s="1">
        <v>-1.44</v>
      </c>
      <c r="O581" s="6" t="s">
        <v>39</v>
      </c>
      <c r="P581" s="8">
        <f>Table1[Quantity]*Table1[Unit_Price]</f>
        <v>15.72</v>
      </c>
      <c r="Q581" s="1">
        <f>Table1[Profit]/Table1[Total_Sales]</f>
        <v>-9.6450100468854646E-2</v>
      </c>
      <c r="R581" s="14">
        <f>Table1[Total_Sales]+Table1[Shipping_Cost]</f>
        <v>23.439999999999998</v>
      </c>
    </row>
    <row r="582" spans="1:18" x14ac:dyDescent="0.35">
      <c r="A582" s="3" t="s">
        <v>1210</v>
      </c>
      <c r="B582" s="2">
        <v>45255</v>
      </c>
      <c r="C582" s="1" t="s">
        <v>1211</v>
      </c>
      <c r="D582" s="1" t="s">
        <v>49</v>
      </c>
      <c r="E582" s="1" t="s">
        <v>37</v>
      </c>
      <c r="F582" s="1" t="s">
        <v>26</v>
      </c>
      <c r="G582" s="1" t="s">
        <v>20</v>
      </c>
      <c r="H582" s="1" t="s">
        <v>264</v>
      </c>
      <c r="I582" s="1">
        <v>2</v>
      </c>
      <c r="J582" s="1">
        <v>29.09</v>
      </c>
      <c r="K582" s="1">
        <v>5</v>
      </c>
      <c r="L582" s="1">
        <v>55.27</v>
      </c>
      <c r="M582" s="1">
        <v>9.82</v>
      </c>
      <c r="N582" s="1">
        <v>13.45</v>
      </c>
      <c r="O582" s="6" t="s">
        <v>34</v>
      </c>
      <c r="P582" s="8">
        <f>Table1[Quantity]*Table1[Unit_Price]</f>
        <v>58.18</v>
      </c>
      <c r="Q582" s="1">
        <f>Table1[Profit]/Table1[Total_Sales]</f>
        <v>0.24335082323140941</v>
      </c>
      <c r="R582" s="14">
        <f>Table1[Total_Sales]+Table1[Shipping_Cost]</f>
        <v>65.09</v>
      </c>
    </row>
    <row r="583" spans="1:18" x14ac:dyDescent="0.35">
      <c r="A583" s="3" t="s">
        <v>1212</v>
      </c>
      <c r="B583" s="2">
        <v>45255</v>
      </c>
      <c r="C583" s="1" t="s">
        <v>1213</v>
      </c>
      <c r="D583" s="1" t="s">
        <v>17</v>
      </c>
      <c r="E583" s="1" t="s">
        <v>31</v>
      </c>
      <c r="F583" s="1" t="s">
        <v>19</v>
      </c>
      <c r="G583" s="1" t="s">
        <v>20</v>
      </c>
      <c r="H583" s="1" t="s">
        <v>170</v>
      </c>
      <c r="I583" s="1">
        <v>6</v>
      </c>
      <c r="J583" s="1">
        <v>40.22</v>
      </c>
      <c r="K583" s="1">
        <v>10</v>
      </c>
      <c r="L583" s="1">
        <v>217.19</v>
      </c>
      <c r="M583" s="1">
        <v>13.45</v>
      </c>
      <c r="N583" s="1">
        <v>71.010000000000005</v>
      </c>
      <c r="O583" s="6" t="s">
        <v>56</v>
      </c>
      <c r="P583" s="8">
        <f>Table1[Quantity]*Table1[Unit_Price]</f>
        <v>241.32</v>
      </c>
      <c r="Q583" s="1">
        <f>Table1[Profit]/Table1[Total_Sales]</f>
        <v>0.3269487545467103</v>
      </c>
      <c r="R583" s="14">
        <f>Table1[Total_Sales]+Table1[Shipping_Cost]</f>
        <v>230.64</v>
      </c>
    </row>
    <row r="584" spans="1:18" x14ac:dyDescent="0.35">
      <c r="A584" s="3" t="s">
        <v>1214</v>
      </c>
      <c r="B584" s="2">
        <v>45255</v>
      </c>
      <c r="C584" s="1" t="s">
        <v>1215</v>
      </c>
      <c r="D584" s="1" t="s">
        <v>30</v>
      </c>
      <c r="E584" s="1" t="s">
        <v>76</v>
      </c>
      <c r="F584" s="1" t="s">
        <v>26</v>
      </c>
      <c r="G584" s="1" t="s">
        <v>32</v>
      </c>
      <c r="H584" s="1" t="s">
        <v>82</v>
      </c>
      <c r="I584" s="1">
        <v>2</v>
      </c>
      <c r="J584" s="1">
        <v>9.1300000000000008</v>
      </c>
      <c r="K584" s="1">
        <v>10</v>
      </c>
      <c r="L584" s="1">
        <v>16.43</v>
      </c>
      <c r="M584" s="1">
        <v>10.19</v>
      </c>
      <c r="N584" s="1">
        <v>-1.98</v>
      </c>
      <c r="O584" s="6" t="s">
        <v>34</v>
      </c>
      <c r="P584" s="8">
        <f>Table1[Quantity]*Table1[Unit_Price]</f>
        <v>18.260000000000002</v>
      </c>
      <c r="Q584" s="1">
        <f>Table1[Profit]/Table1[Total_Sales]</f>
        <v>-0.12051125989044431</v>
      </c>
      <c r="R584" s="14">
        <f>Table1[Total_Sales]+Table1[Shipping_Cost]</f>
        <v>26.619999999999997</v>
      </c>
    </row>
    <row r="585" spans="1:18" x14ac:dyDescent="0.35">
      <c r="A585" s="3" t="s">
        <v>1216</v>
      </c>
      <c r="B585" s="2">
        <v>45255</v>
      </c>
      <c r="C585" s="1" t="s">
        <v>1217</v>
      </c>
      <c r="D585" s="1" t="s">
        <v>17</v>
      </c>
      <c r="E585" s="1" t="s">
        <v>37</v>
      </c>
      <c r="F585" s="1" t="s">
        <v>26</v>
      </c>
      <c r="G585" s="1" t="s">
        <v>32</v>
      </c>
      <c r="H585" s="1" t="s">
        <v>115</v>
      </c>
      <c r="I585" s="1">
        <v>1</v>
      </c>
      <c r="J585" s="1">
        <v>15.28</v>
      </c>
      <c r="K585" s="1">
        <v>10</v>
      </c>
      <c r="L585" s="1">
        <v>13.75</v>
      </c>
      <c r="M585" s="1">
        <v>9.42</v>
      </c>
      <c r="N585" s="1">
        <v>-2.5499999999999998</v>
      </c>
      <c r="O585" s="6" t="s">
        <v>56</v>
      </c>
      <c r="P585" s="8">
        <f>Table1[Quantity]*Table1[Unit_Price]</f>
        <v>15.28</v>
      </c>
      <c r="Q585" s="1">
        <f>Table1[Profit]/Table1[Total_Sales]</f>
        <v>-0.18545454545454546</v>
      </c>
      <c r="R585" s="14">
        <f>Table1[Total_Sales]+Table1[Shipping_Cost]</f>
        <v>23.17</v>
      </c>
    </row>
    <row r="586" spans="1:18" x14ac:dyDescent="0.35">
      <c r="A586" s="3" t="s">
        <v>1218</v>
      </c>
      <c r="B586" s="2">
        <v>45256</v>
      </c>
      <c r="C586" s="1" t="s">
        <v>1219</v>
      </c>
      <c r="D586" s="1" t="s">
        <v>30</v>
      </c>
      <c r="E586" s="1" t="s">
        <v>31</v>
      </c>
      <c r="F586" s="1" t="s">
        <v>19</v>
      </c>
      <c r="G586" s="1" t="s">
        <v>42</v>
      </c>
      <c r="H586" s="1" t="s">
        <v>64</v>
      </c>
      <c r="I586" s="1">
        <v>6</v>
      </c>
      <c r="J586" s="1">
        <v>90.7</v>
      </c>
      <c r="K586" s="1">
        <v>20</v>
      </c>
      <c r="L586" s="1">
        <v>435.36</v>
      </c>
      <c r="M586" s="1">
        <v>10.26</v>
      </c>
      <c r="N586" s="1">
        <v>98.58</v>
      </c>
      <c r="O586" s="6" t="s">
        <v>39</v>
      </c>
      <c r="P586" s="8">
        <f>Table1[Quantity]*Table1[Unit_Price]</f>
        <v>544.20000000000005</v>
      </c>
      <c r="Q586" s="1">
        <f>Table1[Profit]/Table1[Total_Sales]</f>
        <v>0.2264332965821389</v>
      </c>
      <c r="R586" s="14">
        <f>Table1[Total_Sales]+Table1[Shipping_Cost]</f>
        <v>445.62</v>
      </c>
    </row>
    <row r="587" spans="1:18" x14ac:dyDescent="0.35">
      <c r="A587" s="3" t="s">
        <v>1220</v>
      </c>
      <c r="B587" s="2">
        <v>45256</v>
      </c>
      <c r="C587" s="1" t="s">
        <v>1221</v>
      </c>
      <c r="D587" s="1" t="s">
        <v>30</v>
      </c>
      <c r="E587" s="1" t="s">
        <v>67</v>
      </c>
      <c r="F587" s="1" t="s">
        <v>68</v>
      </c>
      <c r="G587" s="1" t="s">
        <v>20</v>
      </c>
      <c r="H587" s="1" t="s">
        <v>264</v>
      </c>
      <c r="I587" s="1">
        <v>5</v>
      </c>
      <c r="J587" s="1">
        <v>24.47</v>
      </c>
      <c r="K587" s="1">
        <v>0</v>
      </c>
      <c r="L587" s="1">
        <v>122.35</v>
      </c>
      <c r="M587" s="1">
        <v>17.010000000000002</v>
      </c>
      <c r="N587" s="1">
        <v>38.049999999999997</v>
      </c>
      <c r="O587" s="6" t="s">
        <v>34</v>
      </c>
      <c r="P587" s="8">
        <f>Table1[Quantity]*Table1[Unit_Price]</f>
        <v>122.35</v>
      </c>
      <c r="Q587" s="1">
        <f>Table1[Profit]/Table1[Total_Sales]</f>
        <v>0.31099305271761341</v>
      </c>
      <c r="R587" s="14">
        <f>Table1[Total_Sales]+Table1[Shipping_Cost]</f>
        <v>139.35999999999999</v>
      </c>
    </row>
    <row r="588" spans="1:18" x14ac:dyDescent="0.35">
      <c r="A588" s="3" t="s">
        <v>1222</v>
      </c>
      <c r="B588" s="2">
        <v>45257</v>
      </c>
      <c r="C588" s="1" t="s">
        <v>1223</v>
      </c>
      <c r="D588" s="1" t="s">
        <v>30</v>
      </c>
      <c r="E588" s="1" t="s">
        <v>18</v>
      </c>
      <c r="F588" s="1" t="s">
        <v>19</v>
      </c>
      <c r="G588" s="1" t="s">
        <v>69</v>
      </c>
      <c r="H588" s="1" t="s">
        <v>163</v>
      </c>
      <c r="I588" s="1">
        <v>1</v>
      </c>
      <c r="J588" s="1">
        <v>45.68</v>
      </c>
      <c r="K588" s="1">
        <v>10</v>
      </c>
      <c r="L588" s="1">
        <v>41.11</v>
      </c>
      <c r="M588" s="1">
        <v>5.64</v>
      </c>
      <c r="N588" s="1">
        <v>12.63</v>
      </c>
      <c r="O588" s="6" t="s">
        <v>56</v>
      </c>
      <c r="P588" s="8">
        <f>Table1[Quantity]*Table1[Unit_Price]</f>
        <v>45.68</v>
      </c>
      <c r="Q588" s="1">
        <f>Table1[Profit]/Table1[Total_Sales]</f>
        <v>0.30722451958161034</v>
      </c>
      <c r="R588" s="14">
        <f>Table1[Total_Sales]+Table1[Shipping_Cost]</f>
        <v>46.75</v>
      </c>
    </row>
    <row r="589" spans="1:18" x14ac:dyDescent="0.35">
      <c r="A589" s="3" t="s">
        <v>1224</v>
      </c>
      <c r="B589" s="2">
        <v>45258</v>
      </c>
      <c r="C589" s="1" t="s">
        <v>1225</v>
      </c>
      <c r="D589" s="1" t="s">
        <v>30</v>
      </c>
      <c r="E589" s="1" t="s">
        <v>59</v>
      </c>
      <c r="F589" s="1" t="s">
        <v>60</v>
      </c>
      <c r="G589" s="1" t="s">
        <v>32</v>
      </c>
      <c r="H589" s="1" t="s">
        <v>50</v>
      </c>
      <c r="I589" s="1">
        <v>2</v>
      </c>
      <c r="J589" s="1">
        <v>9.14</v>
      </c>
      <c r="K589" s="1">
        <v>0</v>
      </c>
      <c r="L589" s="1">
        <v>18.28</v>
      </c>
      <c r="M589" s="1">
        <v>11.84</v>
      </c>
      <c r="N589" s="1">
        <v>-1.79</v>
      </c>
      <c r="O589" s="6" t="s">
        <v>56</v>
      </c>
      <c r="P589" s="8">
        <f>Table1[Quantity]*Table1[Unit_Price]</f>
        <v>18.28</v>
      </c>
      <c r="Q589" s="1">
        <f>Table1[Profit]/Table1[Total_Sales]</f>
        <v>-9.7921225382932159E-2</v>
      </c>
      <c r="R589" s="14">
        <f>Table1[Total_Sales]+Table1[Shipping_Cost]</f>
        <v>30.12</v>
      </c>
    </row>
    <row r="590" spans="1:18" x14ac:dyDescent="0.35">
      <c r="A590" s="3" t="s">
        <v>1226</v>
      </c>
      <c r="B590" s="2">
        <v>45258</v>
      </c>
      <c r="C590" s="1" t="s">
        <v>1227</v>
      </c>
      <c r="D590" s="1" t="s">
        <v>17</v>
      </c>
      <c r="E590" s="1" t="s">
        <v>67</v>
      </c>
      <c r="F590" s="1" t="s">
        <v>68</v>
      </c>
      <c r="G590" s="1" t="s">
        <v>69</v>
      </c>
      <c r="H590" s="1" t="s">
        <v>79</v>
      </c>
      <c r="I590" s="1">
        <v>5</v>
      </c>
      <c r="J590" s="1">
        <v>43.67</v>
      </c>
      <c r="K590" s="1">
        <v>15</v>
      </c>
      <c r="L590" s="1">
        <v>185.6</v>
      </c>
      <c r="M590" s="1">
        <v>13.12</v>
      </c>
      <c r="N590" s="1">
        <v>63.3</v>
      </c>
      <c r="O590" s="6" t="s">
        <v>39</v>
      </c>
      <c r="P590" s="8">
        <f>Table1[Quantity]*Table1[Unit_Price]</f>
        <v>218.35000000000002</v>
      </c>
      <c r="Q590" s="1">
        <f>Table1[Profit]/Table1[Total_Sales]</f>
        <v>0.34105603448275862</v>
      </c>
      <c r="R590" s="14">
        <f>Table1[Total_Sales]+Table1[Shipping_Cost]</f>
        <v>198.72</v>
      </c>
    </row>
    <row r="591" spans="1:18" x14ac:dyDescent="0.35">
      <c r="A591" s="3" t="s">
        <v>1228</v>
      </c>
      <c r="B591" s="2">
        <v>45259</v>
      </c>
      <c r="C591" s="1" t="s">
        <v>997</v>
      </c>
      <c r="D591" s="1" t="s">
        <v>30</v>
      </c>
      <c r="E591" s="1" t="s">
        <v>25</v>
      </c>
      <c r="F591" s="1" t="s">
        <v>26</v>
      </c>
      <c r="G591" s="1" t="s">
        <v>42</v>
      </c>
      <c r="H591" s="1" t="s">
        <v>371</v>
      </c>
      <c r="I591" s="1">
        <v>4</v>
      </c>
      <c r="J591" s="1">
        <v>182.4</v>
      </c>
      <c r="K591" s="1">
        <v>10</v>
      </c>
      <c r="L591" s="1">
        <v>656.64</v>
      </c>
      <c r="M591" s="1">
        <v>9.07</v>
      </c>
      <c r="N591" s="1">
        <v>209.81</v>
      </c>
      <c r="O591" s="6" t="s">
        <v>39</v>
      </c>
      <c r="P591" s="8">
        <f>Table1[Quantity]*Table1[Unit_Price]</f>
        <v>729.6</v>
      </c>
      <c r="Q591" s="1">
        <f>Table1[Profit]/Table1[Total_Sales]</f>
        <v>0.31952058966861602</v>
      </c>
      <c r="R591" s="14">
        <f>Table1[Total_Sales]+Table1[Shipping_Cost]</f>
        <v>665.71</v>
      </c>
    </row>
    <row r="592" spans="1:18" x14ac:dyDescent="0.35">
      <c r="A592" s="3" t="s">
        <v>1229</v>
      </c>
      <c r="B592" s="2">
        <v>45259</v>
      </c>
      <c r="C592" s="1" t="s">
        <v>1181</v>
      </c>
      <c r="D592" s="1" t="s">
        <v>17</v>
      </c>
      <c r="E592" s="1" t="s">
        <v>166</v>
      </c>
      <c r="F592" s="1" t="s">
        <v>60</v>
      </c>
      <c r="G592" s="1" t="s">
        <v>32</v>
      </c>
      <c r="H592" s="1" t="s">
        <v>101</v>
      </c>
      <c r="I592" s="1">
        <v>3</v>
      </c>
      <c r="J592" s="1">
        <v>9.44</v>
      </c>
      <c r="K592" s="1">
        <v>10</v>
      </c>
      <c r="L592" s="1">
        <v>25.49</v>
      </c>
      <c r="M592" s="1">
        <v>16.13</v>
      </c>
      <c r="N592" s="1">
        <v>-3.38</v>
      </c>
      <c r="O592" s="6" t="s">
        <v>34</v>
      </c>
      <c r="P592" s="8">
        <f>Table1[Quantity]*Table1[Unit_Price]</f>
        <v>28.32</v>
      </c>
      <c r="Q592" s="1">
        <f>Table1[Profit]/Table1[Total_Sales]</f>
        <v>-0.13260102000784621</v>
      </c>
      <c r="R592" s="14">
        <f>Table1[Total_Sales]+Table1[Shipping_Cost]</f>
        <v>41.62</v>
      </c>
    </row>
    <row r="593" spans="1:18" x14ac:dyDescent="0.35">
      <c r="A593" s="3" t="s">
        <v>1230</v>
      </c>
      <c r="B593" s="2">
        <v>45260</v>
      </c>
      <c r="C593" s="1" t="s">
        <v>1231</v>
      </c>
      <c r="D593" s="1" t="s">
        <v>30</v>
      </c>
      <c r="E593" s="1" t="s">
        <v>169</v>
      </c>
      <c r="F593" s="1" t="s">
        <v>68</v>
      </c>
      <c r="G593" s="1" t="s">
        <v>32</v>
      </c>
      <c r="H593" s="1" t="s">
        <v>50</v>
      </c>
      <c r="I593" s="1">
        <v>1</v>
      </c>
      <c r="J593" s="1">
        <v>8.8000000000000007</v>
      </c>
      <c r="K593" s="1">
        <v>10</v>
      </c>
      <c r="L593" s="1">
        <v>7.92</v>
      </c>
      <c r="M593" s="1">
        <v>11.94</v>
      </c>
      <c r="N593" s="1">
        <v>-7.98</v>
      </c>
      <c r="O593" s="6" t="s">
        <v>56</v>
      </c>
      <c r="P593" s="8">
        <f>Table1[Quantity]*Table1[Unit_Price]</f>
        <v>8.8000000000000007</v>
      </c>
      <c r="Q593" s="1">
        <f>Table1[Profit]/Table1[Total_Sales]</f>
        <v>-1.0075757575757576</v>
      </c>
      <c r="R593" s="14">
        <f>Table1[Total_Sales]+Table1[Shipping_Cost]</f>
        <v>19.86</v>
      </c>
    </row>
    <row r="594" spans="1:18" x14ac:dyDescent="0.35">
      <c r="A594" s="3" t="s">
        <v>1232</v>
      </c>
      <c r="B594" s="2">
        <v>45261</v>
      </c>
      <c r="C594" s="1" t="s">
        <v>1233</v>
      </c>
      <c r="D594" s="1" t="s">
        <v>30</v>
      </c>
      <c r="E594" s="1" t="s">
        <v>166</v>
      </c>
      <c r="F594" s="1" t="s">
        <v>60</v>
      </c>
      <c r="G594" s="1" t="s">
        <v>20</v>
      </c>
      <c r="H594" s="1" t="s">
        <v>38</v>
      </c>
      <c r="I594" s="1">
        <v>8</v>
      </c>
      <c r="J594" s="1">
        <v>55.17</v>
      </c>
      <c r="K594" s="1">
        <v>5</v>
      </c>
      <c r="L594" s="1">
        <v>419.29</v>
      </c>
      <c r="M594" s="1">
        <v>17.64</v>
      </c>
      <c r="N594" s="1">
        <v>158.9</v>
      </c>
      <c r="O594" s="6" t="s">
        <v>39</v>
      </c>
      <c r="P594" s="8">
        <f>Table1[Quantity]*Table1[Unit_Price]</f>
        <v>441.36</v>
      </c>
      <c r="Q594" s="1">
        <f>Table1[Profit]/Table1[Total_Sales]</f>
        <v>0.37897397982303416</v>
      </c>
      <c r="R594" s="14">
        <f>Table1[Total_Sales]+Table1[Shipping_Cost]</f>
        <v>436.93</v>
      </c>
    </row>
    <row r="595" spans="1:18" x14ac:dyDescent="0.35">
      <c r="A595" s="3" t="s">
        <v>1234</v>
      </c>
      <c r="B595" s="2">
        <v>45261</v>
      </c>
      <c r="C595" s="1" t="s">
        <v>1235</v>
      </c>
      <c r="D595" s="1" t="s">
        <v>17</v>
      </c>
      <c r="E595" s="1" t="s">
        <v>31</v>
      </c>
      <c r="F595" s="1" t="s">
        <v>19</v>
      </c>
      <c r="G595" s="1" t="s">
        <v>42</v>
      </c>
      <c r="H595" s="1" t="s">
        <v>43</v>
      </c>
      <c r="I595" s="1">
        <v>4</v>
      </c>
      <c r="J595" s="1">
        <v>336.19</v>
      </c>
      <c r="K595" s="1">
        <v>25</v>
      </c>
      <c r="L595" s="1">
        <v>1008.57</v>
      </c>
      <c r="M595" s="1">
        <v>8.15</v>
      </c>
      <c r="N595" s="1">
        <v>193.56</v>
      </c>
      <c r="O595" s="6" t="s">
        <v>34</v>
      </c>
      <c r="P595" s="8">
        <f>Table1[Quantity]*Table1[Unit_Price]</f>
        <v>1344.76</v>
      </c>
      <c r="Q595" s="1">
        <f>Table1[Profit]/Table1[Total_Sales]</f>
        <v>0.19191528599898866</v>
      </c>
      <c r="R595" s="14">
        <f>Table1[Total_Sales]+Table1[Shipping_Cost]</f>
        <v>1016.72</v>
      </c>
    </row>
    <row r="596" spans="1:18" x14ac:dyDescent="0.35">
      <c r="A596" s="3" t="s">
        <v>1236</v>
      </c>
      <c r="B596" s="2">
        <v>45262</v>
      </c>
      <c r="C596" s="1" t="s">
        <v>1237</v>
      </c>
      <c r="D596" s="1" t="s">
        <v>17</v>
      </c>
      <c r="E596" s="1" t="s">
        <v>85</v>
      </c>
      <c r="F596" s="1" t="s">
        <v>60</v>
      </c>
      <c r="G596" s="1" t="s">
        <v>69</v>
      </c>
      <c r="H596" s="1" t="s">
        <v>163</v>
      </c>
      <c r="I596" s="1">
        <v>8</v>
      </c>
      <c r="J596" s="1">
        <v>48.93</v>
      </c>
      <c r="K596" s="1">
        <v>10</v>
      </c>
      <c r="L596" s="1">
        <v>352.3</v>
      </c>
      <c r="M596" s="1">
        <v>27.53</v>
      </c>
      <c r="N596" s="1">
        <v>129.05000000000001</v>
      </c>
      <c r="O596" s="6" t="s">
        <v>34</v>
      </c>
      <c r="P596" s="8">
        <f>Table1[Quantity]*Table1[Unit_Price]</f>
        <v>391.44</v>
      </c>
      <c r="Q596" s="1">
        <f>Table1[Profit]/Table1[Total_Sales]</f>
        <v>0.36630712460970766</v>
      </c>
      <c r="R596" s="14">
        <f>Table1[Total_Sales]+Table1[Shipping_Cost]</f>
        <v>379.83000000000004</v>
      </c>
    </row>
    <row r="597" spans="1:18" x14ac:dyDescent="0.35">
      <c r="A597" s="3" t="s">
        <v>1238</v>
      </c>
      <c r="B597" s="2">
        <v>45262</v>
      </c>
      <c r="C597" s="1" t="s">
        <v>1239</v>
      </c>
      <c r="D597" s="1" t="s">
        <v>49</v>
      </c>
      <c r="E597" s="1" t="s">
        <v>129</v>
      </c>
      <c r="F597" s="1" t="s">
        <v>19</v>
      </c>
      <c r="G597" s="1" t="s">
        <v>42</v>
      </c>
      <c r="H597" s="1" t="s">
        <v>46</v>
      </c>
      <c r="I597" s="1">
        <v>6</v>
      </c>
      <c r="J597" s="1">
        <v>191.06</v>
      </c>
      <c r="K597" s="1">
        <v>20</v>
      </c>
      <c r="L597" s="1">
        <v>917.09</v>
      </c>
      <c r="M597" s="1">
        <v>19.84</v>
      </c>
      <c r="N597" s="1">
        <v>209.43</v>
      </c>
      <c r="O597" s="6" t="s">
        <v>34</v>
      </c>
      <c r="P597" s="8">
        <f>Table1[Quantity]*Table1[Unit_Price]</f>
        <v>1146.3600000000001</v>
      </c>
      <c r="Q597" s="1">
        <f>Table1[Profit]/Table1[Total_Sales]</f>
        <v>0.22836362843341437</v>
      </c>
      <c r="R597" s="14">
        <f>Table1[Total_Sales]+Table1[Shipping_Cost]</f>
        <v>936.93000000000006</v>
      </c>
    </row>
    <row r="598" spans="1:18" x14ac:dyDescent="0.35">
      <c r="A598" s="3" t="s">
        <v>1240</v>
      </c>
      <c r="B598" s="2">
        <v>45263</v>
      </c>
      <c r="C598" s="1" t="s">
        <v>1241</v>
      </c>
      <c r="D598" s="1" t="s">
        <v>17</v>
      </c>
      <c r="E598" s="1" t="s">
        <v>85</v>
      </c>
      <c r="F598" s="1" t="s">
        <v>60</v>
      </c>
      <c r="G598" s="1" t="s">
        <v>42</v>
      </c>
      <c r="H598" s="1" t="s">
        <v>294</v>
      </c>
      <c r="I598" s="1">
        <v>4</v>
      </c>
      <c r="J598" s="1">
        <v>112.46</v>
      </c>
      <c r="K598" s="1">
        <v>5</v>
      </c>
      <c r="L598" s="1">
        <v>427.35</v>
      </c>
      <c r="M598" s="1">
        <v>18.440000000000001</v>
      </c>
      <c r="N598" s="1">
        <v>139.01</v>
      </c>
      <c r="O598" s="6" t="s">
        <v>34</v>
      </c>
      <c r="P598" s="8">
        <f>Table1[Quantity]*Table1[Unit_Price]</f>
        <v>449.84</v>
      </c>
      <c r="Q598" s="1">
        <f>Table1[Profit]/Table1[Total_Sales]</f>
        <v>0.32528372528372523</v>
      </c>
      <c r="R598" s="14">
        <f>Table1[Total_Sales]+Table1[Shipping_Cost]</f>
        <v>445.79</v>
      </c>
    </row>
    <row r="599" spans="1:18" x14ac:dyDescent="0.35">
      <c r="A599" s="3" t="s">
        <v>1242</v>
      </c>
      <c r="B599" s="2">
        <v>45263</v>
      </c>
      <c r="C599" s="1" t="s">
        <v>1190</v>
      </c>
      <c r="D599" s="1" t="s">
        <v>49</v>
      </c>
      <c r="E599" s="1" t="s">
        <v>92</v>
      </c>
      <c r="F599" s="1" t="s">
        <v>60</v>
      </c>
      <c r="G599" s="1" t="s">
        <v>69</v>
      </c>
      <c r="H599" s="1" t="s">
        <v>160</v>
      </c>
      <c r="I599" s="1">
        <v>2</v>
      </c>
      <c r="J599" s="1">
        <v>16.62</v>
      </c>
      <c r="K599" s="1">
        <v>5</v>
      </c>
      <c r="L599" s="1">
        <v>31.58</v>
      </c>
      <c r="M599" s="1">
        <v>12.84</v>
      </c>
      <c r="N599" s="1">
        <v>2.12</v>
      </c>
      <c r="O599" s="6" t="s">
        <v>39</v>
      </c>
      <c r="P599" s="8">
        <f>Table1[Quantity]*Table1[Unit_Price]</f>
        <v>33.24</v>
      </c>
      <c r="Q599" s="1">
        <f>Table1[Profit]/Table1[Total_Sales]</f>
        <v>6.7131095630145673E-2</v>
      </c>
      <c r="R599" s="14">
        <f>Table1[Total_Sales]+Table1[Shipping_Cost]</f>
        <v>44.42</v>
      </c>
    </row>
    <row r="600" spans="1:18" x14ac:dyDescent="0.35">
      <c r="A600" s="3" t="s">
        <v>1243</v>
      </c>
      <c r="B600" s="2">
        <v>45263</v>
      </c>
      <c r="C600" s="1" t="s">
        <v>1244</v>
      </c>
      <c r="D600" s="1" t="s">
        <v>49</v>
      </c>
      <c r="E600" s="1" t="s">
        <v>76</v>
      </c>
      <c r="F600" s="1" t="s">
        <v>26</v>
      </c>
      <c r="G600" s="1" t="s">
        <v>42</v>
      </c>
      <c r="H600" s="1" t="s">
        <v>234</v>
      </c>
      <c r="I600" s="1">
        <v>4</v>
      </c>
      <c r="J600" s="1">
        <v>42.01</v>
      </c>
      <c r="K600" s="1">
        <v>5</v>
      </c>
      <c r="L600" s="1">
        <v>159.63999999999999</v>
      </c>
      <c r="M600" s="1">
        <v>12.21</v>
      </c>
      <c r="N600" s="1">
        <v>46.61</v>
      </c>
      <c r="O600" s="6" t="s">
        <v>39</v>
      </c>
      <c r="P600" s="8">
        <f>Table1[Quantity]*Table1[Unit_Price]</f>
        <v>168.04</v>
      </c>
      <c r="Q600" s="1">
        <f>Table1[Profit]/Table1[Total_Sales]</f>
        <v>0.2919694312202456</v>
      </c>
      <c r="R600" s="14">
        <f>Table1[Total_Sales]+Table1[Shipping_Cost]</f>
        <v>171.85</v>
      </c>
    </row>
    <row r="601" spans="1:18" x14ac:dyDescent="0.35">
      <c r="A601" s="3" t="s">
        <v>1245</v>
      </c>
      <c r="B601" s="2">
        <v>45263</v>
      </c>
      <c r="C601" s="1" t="s">
        <v>1246</v>
      </c>
      <c r="D601" s="1" t="s">
        <v>30</v>
      </c>
      <c r="E601" s="1" t="s">
        <v>31</v>
      </c>
      <c r="F601" s="1" t="s">
        <v>19</v>
      </c>
      <c r="G601" s="1" t="s">
        <v>42</v>
      </c>
      <c r="H601" s="1" t="s">
        <v>234</v>
      </c>
      <c r="I601" s="1">
        <v>2</v>
      </c>
      <c r="J601" s="1">
        <v>43.95</v>
      </c>
      <c r="K601" s="1">
        <v>20</v>
      </c>
      <c r="L601" s="1">
        <v>70.319999999999993</v>
      </c>
      <c r="M601" s="1">
        <v>6.77</v>
      </c>
      <c r="N601" s="1">
        <v>10.81</v>
      </c>
      <c r="O601" s="6" t="s">
        <v>34</v>
      </c>
      <c r="P601" s="8">
        <f>Table1[Quantity]*Table1[Unit_Price]</f>
        <v>87.9</v>
      </c>
      <c r="Q601" s="1">
        <f>Table1[Profit]/Table1[Total_Sales]</f>
        <v>0.15372582480091015</v>
      </c>
      <c r="R601" s="14">
        <f>Table1[Total_Sales]+Table1[Shipping_Cost]</f>
        <v>77.089999999999989</v>
      </c>
    </row>
    <row r="602" spans="1:18" x14ac:dyDescent="0.35">
      <c r="A602" s="3" t="s">
        <v>1247</v>
      </c>
      <c r="B602" s="2">
        <v>45263</v>
      </c>
      <c r="C602" s="1" t="s">
        <v>1248</v>
      </c>
      <c r="D602" s="1" t="s">
        <v>49</v>
      </c>
      <c r="E602" s="1" t="s">
        <v>129</v>
      </c>
      <c r="F602" s="1" t="s">
        <v>19</v>
      </c>
      <c r="G602" s="1" t="s">
        <v>42</v>
      </c>
      <c r="H602" s="1" t="s">
        <v>93</v>
      </c>
      <c r="I602" s="1">
        <v>5</v>
      </c>
      <c r="J602" s="1">
        <v>233.71</v>
      </c>
      <c r="K602" s="1">
        <v>0</v>
      </c>
      <c r="L602" s="1">
        <v>1168.55</v>
      </c>
      <c r="M602" s="1">
        <v>8.94</v>
      </c>
      <c r="N602" s="1">
        <v>458.48</v>
      </c>
      <c r="O602" s="6" t="s">
        <v>56</v>
      </c>
      <c r="P602" s="8">
        <f>Table1[Quantity]*Table1[Unit_Price]</f>
        <v>1168.55</v>
      </c>
      <c r="Q602" s="1">
        <f>Table1[Profit]/Table1[Total_Sales]</f>
        <v>0.3923494929613624</v>
      </c>
      <c r="R602" s="14">
        <f>Table1[Total_Sales]+Table1[Shipping_Cost]</f>
        <v>1177.49</v>
      </c>
    </row>
    <row r="603" spans="1:18" x14ac:dyDescent="0.35">
      <c r="A603" s="3" t="s">
        <v>1249</v>
      </c>
      <c r="B603" s="2">
        <v>45264</v>
      </c>
      <c r="C603" s="1" t="s">
        <v>1250</v>
      </c>
      <c r="D603" s="1" t="s">
        <v>30</v>
      </c>
      <c r="E603" s="1" t="s">
        <v>85</v>
      </c>
      <c r="F603" s="1" t="s">
        <v>60</v>
      </c>
      <c r="G603" s="1" t="s">
        <v>42</v>
      </c>
      <c r="H603" s="1" t="s">
        <v>118</v>
      </c>
      <c r="I603" s="1">
        <v>2</v>
      </c>
      <c r="J603" s="1">
        <v>55.94</v>
      </c>
      <c r="K603" s="1">
        <v>0</v>
      </c>
      <c r="L603" s="1">
        <v>111.88</v>
      </c>
      <c r="M603" s="1">
        <v>10.95</v>
      </c>
      <c r="N603" s="1">
        <v>33.799999999999997</v>
      </c>
      <c r="O603" s="6" t="s">
        <v>56</v>
      </c>
      <c r="P603" s="8">
        <f>Table1[Quantity]*Table1[Unit_Price]</f>
        <v>111.88</v>
      </c>
      <c r="Q603" s="1">
        <f>Table1[Profit]/Table1[Total_Sales]</f>
        <v>0.30210940293171251</v>
      </c>
      <c r="R603" s="14">
        <f>Table1[Total_Sales]+Table1[Shipping_Cost]</f>
        <v>122.83</v>
      </c>
    </row>
    <row r="604" spans="1:18" x14ac:dyDescent="0.35">
      <c r="A604" s="3" t="s">
        <v>1251</v>
      </c>
      <c r="B604" s="2">
        <v>45265</v>
      </c>
      <c r="C604" s="1" t="s">
        <v>1252</v>
      </c>
      <c r="D604" s="1" t="s">
        <v>30</v>
      </c>
      <c r="E604" s="1" t="s">
        <v>18</v>
      </c>
      <c r="F604" s="1" t="s">
        <v>19</v>
      </c>
      <c r="G604" s="1" t="s">
        <v>42</v>
      </c>
      <c r="H604" s="1" t="s">
        <v>89</v>
      </c>
      <c r="I604" s="1">
        <v>1</v>
      </c>
      <c r="J604" s="1">
        <v>263.20999999999998</v>
      </c>
      <c r="K604" s="1">
        <v>20</v>
      </c>
      <c r="L604" s="1">
        <v>210.57</v>
      </c>
      <c r="M604" s="1">
        <v>6.52</v>
      </c>
      <c r="N604" s="1">
        <v>46.12</v>
      </c>
      <c r="O604" s="6" t="s">
        <v>39</v>
      </c>
      <c r="P604" s="8">
        <f>Table1[Quantity]*Table1[Unit_Price]</f>
        <v>263.20999999999998</v>
      </c>
      <c r="Q604" s="1">
        <f>Table1[Profit]/Table1[Total_Sales]</f>
        <v>0.21902455240537588</v>
      </c>
      <c r="R604" s="14">
        <f>Table1[Total_Sales]+Table1[Shipping_Cost]</f>
        <v>217.09</v>
      </c>
    </row>
    <row r="605" spans="1:18" x14ac:dyDescent="0.35">
      <c r="A605" s="3" t="s">
        <v>1253</v>
      </c>
      <c r="B605" s="2">
        <v>45265</v>
      </c>
      <c r="C605" s="1" t="s">
        <v>1254</v>
      </c>
      <c r="D605" s="1" t="s">
        <v>30</v>
      </c>
      <c r="E605" s="1" t="s">
        <v>85</v>
      </c>
      <c r="F605" s="1" t="s">
        <v>60</v>
      </c>
      <c r="G605" s="1" t="s">
        <v>42</v>
      </c>
      <c r="H605" s="1" t="s">
        <v>234</v>
      </c>
      <c r="I605" s="1">
        <v>2</v>
      </c>
      <c r="J605" s="1">
        <v>67.5</v>
      </c>
      <c r="K605" s="1">
        <v>0</v>
      </c>
      <c r="L605" s="1">
        <v>135</v>
      </c>
      <c r="M605" s="1">
        <v>13.37</v>
      </c>
      <c r="N605" s="1">
        <v>40.630000000000003</v>
      </c>
      <c r="O605" s="6" t="s">
        <v>34</v>
      </c>
      <c r="P605" s="8">
        <f>Table1[Quantity]*Table1[Unit_Price]</f>
        <v>135</v>
      </c>
      <c r="Q605" s="1">
        <f>Table1[Profit]/Table1[Total_Sales]</f>
        <v>0.30096296296296299</v>
      </c>
      <c r="R605" s="14">
        <f>Table1[Total_Sales]+Table1[Shipping_Cost]</f>
        <v>148.37</v>
      </c>
    </row>
    <row r="606" spans="1:18" x14ac:dyDescent="0.35">
      <c r="A606" s="3" t="s">
        <v>1255</v>
      </c>
      <c r="B606" s="2">
        <v>45265</v>
      </c>
      <c r="C606" s="1" t="s">
        <v>1256</v>
      </c>
      <c r="D606" s="1" t="s">
        <v>30</v>
      </c>
      <c r="E606" s="1" t="s">
        <v>129</v>
      </c>
      <c r="F606" s="1" t="s">
        <v>19</v>
      </c>
      <c r="G606" s="1" t="s">
        <v>32</v>
      </c>
      <c r="H606" s="1" t="s">
        <v>50</v>
      </c>
      <c r="I606" s="1">
        <v>1</v>
      </c>
      <c r="J606" s="1">
        <v>8.8699999999999992</v>
      </c>
      <c r="K606" s="1">
        <v>0</v>
      </c>
      <c r="L606" s="1">
        <v>8.8699999999999992</v>
      </c>
      <c r="M606" s="1">
        <v>7.47</v>
      </c>
      <c r="N606" s="1">
        <v>-2.59</v>
      </c>
      <c r="O606" s="6" t="s">
        <v>39</v>
      </c>
      <c r="P606" s="8">
        <f>Table1[Quantity]*Table1[Unit_Price]</f>
        <v>8.8699999999999992</v>
      </c>
      <c r="Q606" s="1">
        <f>Table1[Profit]/Table1[Total_Sales]</f>
        <v>-0.29199549041713641</v>
      </c>
      <c r="R606" s="14">
        <f>Table1[Total_Sales]+Table1[Shipping_Cost]</f>
        <v>16.34</v>
      </c>
    </row>
    <row r="607" spans="1:18" x14ac:dyDescent="0.35">
      <c r="A607" s="3" t="s">
        <v>1257</v>
      </c>
      <c r="B607" s="2">
        <v>45266</v>
      </c>
      <c r="C607" s="1" t="s">
        <v>1258</v>
      </c>
      <c r="D607" s="1" t="s">
        <v>30</v>
      </c>
      <c r="E607" s="1" t="s">
        <v>31</v>
      </c>
      <c r="F607" s="1" t="s">
        <v>19</v>
      </c>
      <c r="G607" s="1" t="s">
        <v>32</v>
      </c>
      <c r="H607" s="1" t="s">
        <v>50</v>
      </c>
      <c r="I607" s="1">
        <v>4</v>
      </c>
      <c r="J607" s="1">
        <v>14.98</v>
      </c>
      <c r="K607" s="1">
        <v>0</v>
      </c>
      <c r="L607" s="1">
        <v>59.92</v>
      </c>
      <c r="M607" s="1">
        <v>10.55</v>
      </c>
      <c r="N607" s="1">
        <v>22.41</v>
      </c>
      <c r="O607" s="6" t="s">
        <v>34</v>
      </c>
      <c r="P607" s="8">
        <f>Table1[Quantity]*Table1[Unit_Price]</f>
        <v>59.92</v>
      </c>
      <c r="Q607" s="1">
        <f>Table1[Profit]/Table1[Total_Sales]</f>
        <v>0.37399866488651534</v>
      </c>
      <c r="R607" s="14">
        <f>Table1[Total_Sales]+Table1[Shipping_Cost]</f>
        <v>70.47</v>
      </c>
    </row>
    <row r="608" spans="1:18" x14ac:dyDescent="0.35">
      <c r="A608" s="3" t="s">
        <v>1259</v>
      </c>
      <c r="B608" s="2">
        <v>45266</v>
      </c>
      <c r="C608" s="1" t="s">
        <v>1260</v>
      </c>
      <c r="D608" s="1" t="s">
        <v>30</v>
      </c>
      <c r="E608" s="1" t="s">
        <v>31</v>
      </c>
      <c r="F608" s="1" t="s">
        <v>19</v>
      </c>
      <c r="G608" s="1" t="s">
        <v>20</v>
      </c>
      <c r="H608" s="1" t="s">
        <v>55</v>
      </c>
      <c r="I608" s="1">
        <v>4</v>
      </c>
      <c r="J608" s="1">
        <v>33.03</v>
      </c>
      <c r="K608" s="1">
        <v>0</v>
      </c>
      <c r="L608" s="1">
        <v>132.12</v>
      </c>
      <c r="M608" s="1">
        <v>7.2</v>
      </c>
      <c r="N608" s="1">
        <v>52.25</v>
      </c>
      <c r="O608" s="6" t="s">
        <v>34</v>
      </c>
      <c r="P608" s="8">
        <f>Table1[Quantity]*Table1[Unit_Price]</f>
        <v>132.12</v>
      </c>
      <c r="Q608" s="1">
        <f>Table1[Profit]/Table1[Total_Sales]</f>
        <v>0.39547381168634571</v>
      </c>
      <c r="R608" s="14">
        <f>Table1[Total_Sales]+Table1[Shipping_Cost]</f>
        <v>139.32</v>
      </c>
    </row>
    <row r="609" spans="1:18" x14ac:dyDescent="0.35">
      <c r="A609" s="3" t="s">
        <v>1261</v>
      </c>
      <c r="B609" s="2">
        <v>45266</v>
      </c>
      <c r="C609" s="1" t="s">
        <v>1262</v>
      </c>
      <c r="D609" s="1" t="s">
        <v>30</v>
      </c>
      <c r="E609" s="1" t="s">
        <v>109</v>
      </c>
      <c r="F609" s="1" t="s">
        <v>54</v>
      </c>
      <c r="G609" s="1" t="s">
        <v>42</v>
      </c>
      <c r="H609" s="1" t="s">
        <v>234</v>
      </c>
      <c r="I609" s="1">
        <v>3</v>
      </c>
      <c r="J609" s="1">
        <v>66.28</v>
      </c>
      <c r="K609" s="1">
        <v>0</v>
      </c>
      <c r="L609" s="1">
        <v>198.84</v>
      </c>
      <c r="M609" s="1">
        <v>16.2</v>
      </c>
      <c r="N609" s="1">
        <v>63.34</v>
      </c>
      <c r="O609" s="6" t="s">
        <v>39</v>
      </c>
      <c r="P609" s="8">
        <f>Table1[Quantity]*Table1[Unit_Price]</f>
        <v>198.84</v>
      </c>
      <c r="Q609" s="1">
        <f>Table1[Profit]/Table1[Total_Sales]</f>
        <v>0.31854757594045463</v>
      </c>
      <c r="R609" s="14">
        <f>Table1[Total_Sales]+Table1[Shipping_Cost]</f>
        <v>215.04</v>
      </c>
    </row>
    <row r="610" spans="1:18" x14ac:dyDescent="0.35">
      <c r="A610" s="3" t="s">
        <v>1263</v>
      </c>
      <c r="B610" s="2">
        <v>45266</v>
      </c>
      <c r="C610" s="1" t="s">
        <v>1264</v>
      </c>
      <c r="D610" s="1" t="s">
        <v>17</v>
      </c>
      <c r="E610" s="1" t="s">
        <v>166</v>
      </c>
      <c r="F610" s="1" t="s">
        <v>60</v>
      </c>
      <c r="G610" s="1" t="s">
        <v>42</v>
      </c>
      <c r="H610" s="1" t="s">
        <v>89</v>
      </c>
      <c r="I610" s="1">
        <v>3</v>
      </c>
      <c r="J610" s="1">
        <v>216.54</v>
      </c>
      <c r="K610" s="1">
        <v>0</v>
      </c>
      <c r="L610" s="1">
        <v>649.62</v>
      </c>
      <c r="M610" s="1">
        <v>16.39</v>
      </c>
      <c r="N610" s="1">
        <v>243.46</v>
      </c>
      <c r="O610" s="6" t="s">
        <v>34</v>
      </c>
      <c r="P610" s="8">
        <f>Table1[Quantity]*Table1[Unit_Price]</f>
        <v>649.62</v>
      </c>
      <c r="Q610" s="1">
        <f>Table1[Profit]/Table1[Total_Sales]</f>
        <v>0.37477294418275298</v>
      </c>
      <c r="R610" s="14">
        <f>Table1[Total_Sales]+Table1[Shipping_Cost]</f>
        <v>666.01</v>
      </c>
    </row>
    <row r="611" spans="1:18" x14ac:dyDescent="0.35">
      <c r="A611" s="3" t="s">
        <v>1265</v>
      </c>
      <c r="B611" s="2">
        <v>45267</v>
      </c>
      <c r="C611" s="1" t="s">
        <v>1266</v>
      </c>
      <c r="D611" s="1" t="s">
        <v>17</v>
      </c>
      <c r="E611" s="1" t="s">
        <v>166</v>
      </c>
      <c r="F611" s="1" t="s">
        <v>60</v>
      </c>
      <c r="G611" s="1" t="s">
        <v>32</v>
      </c>
      <c r="H611" s="1" t="s">
        <v>50</v>
      </c>
      <c r="I611" s="1">
        <v>4</v>
      </c>
      <c r="J611" s="1">
        <v>17.57</v>
      </c>
      <c r="K611" s="1">
        <v>15</v>
      </c>
      <c r="L611" s="1">
        <v>59.74</v>
      </c>
      <c r="M611" s="1">
        <v>18.73</v>
      </c>
      <c r="N611" s="1">
        <v>9.3800000000000008</v>
      </c>
      <c r="O611" s="6" t="s">
        <v>34</v>
      </c>
      <c r="P611" s="8">
        <f>Table1[Quantity]*Table1[Unit_Price]</f>
        <v>70.28</v>
      </c>
      <c r="Q611" s="1">
        <f>Table1[Profit]/Table1[Total_Sales]</f>
        <v>0.15701372614663542</v>
      </c>
      <c r="R611" s="14">
        <f>Table1[Total_Sales]+Table1[Shipping_Cost]</f>
        <v>78.47</v>
      </c>
    </row>
    <row r="612" spans="1:18" x14ac:dyDescent="0.35">
      <c r="A612" s="3" t="s">
        <v>1267</v>
      </c>
      <c r="B612" s="2">
        <v>45267</v>
      </c>
      <c r="C612" s="1" t="s">
        <v>1268</v>
      </c>
      <c r="D612" s="1" t="s">
        <v>17</v>
      </c>
      <c r="E612" s="1" t="s">
        <v>166</v>
      </c>
      <c r="F612" s="1" t="s">
        <v>60</v>
      </c>
      <c r="G612" s="1" t="s">
        <v>69</v>
      </c>
      <c r="H612" s="1" t="s">
        <v>79</v>
      </c>
      <c r="I612" s="1">
        <v>2</v>
      </c>
      <c r="J612" s="1">
        <v>68.14</v>
      </c>
      <c r="K612" s="1">
        <v>25</v>
      </c>
      <c r="L612" s="1">
        <v>102.21</v>
      </c>
      <c r="M612" s="1">
        <v>10.95</v>
      </c>
      <c r="N612" s="1">
        <v>23.12</v>
      </c>
      <c r="O612" s="6" t="s">
        <v>34</v>
      </c>
      <c r="P612" s="8">
        <f>Table1[Quantity]*Table1[Unit_Price]</f>
        <v>136.28</v>
      </c>
      <c r="Q612" s="1">
        <f>Table1[Profit]/Table1[Total_Sales]</f>
        <v>0.22620095881029256</v>
      </c>
      <c r="R612" s="14">
        <f>Table1[Total_Sales]+Table1[Shipping_Cost]</f>
        <v>113.16</v>
      </c>
    </row>
    <row r="613" spans="1:18" x14ac:dyDescent="0.35">
      <c r="A613" s="3" t="s">
        <v>1269</v>
      </c>
      <c r="B613" s="2">
        <v>45267</v>
      </c>
      <c r="C613" s="1" t="s">
        <v>1270</v>
      </c>
      <c r="D613" s="1" t="s">
        <v>30</v>
      </c>
      <c r="E613" s="1" t="s">
        <v>129</v>
      </c>
      <c r="F613" s="1" t="s">
        <v>19</v>
      </c>
      <c r="G613" s="1" t="s">
        <v>32</v>
      </c>
      <c r="H613" s="1" t="s">
        <v>348</v>
      </c>
      <c r="I613" s="1">
        <v>1</v>
      </c>
      <c r="J613" s="1">
        <v>9.23</v>
      </c>
      <c r="K613" s="1">
        <v>0</v>
      </c>
      <c r="L613" s="1">
        <v>9.23</v>
      </c>
      <c r="M613" s="1">
        <v>6.44</v>
      </c>
      <c r="N613" s="1">
        <v>-1.36</v>
      </c>
      <c r="O613" s="6" t="s">
        <v>56</v>
      </c>
      <c r="P613" s="8">
        <f>Table1[Quantity]*Table1[Unit_Price]</f>
        <v>9.23</v>
      </c>
      <c r="Q613" s="1">
        <f>Table1[Profit]/Table1[Total_Sales]</f>
        <v>-0.14734561213434452</v>
      </c>
      <c r="R613" s="14">
        <f>Table1[Total_Sales]+Table1[Shipping_Cost]</f>
        <v>15.670000000000002</v>
      </c>
    </row>
    <row r="614" spans="1:18" x14ac:dyDescent="0.35">
      <c r="A614" s="3" t="s">
        <v>1271</v>
      </c>
      <c r="B614" s="2">
        <v>45267</v>
      </c>
      <c r="C614" s="1" t="s">
        <v>1272</v>
      </c>
      <c r="D614" s="1" t="s">
        <v>49</v>
      </c>
      <c r="E614" s="1" t="s">
        <v>18</v>
      </c>
      <c r="F614" s="1" t="s">
        <v>19</v>
      </c>
      <c r="G614" s="1" t="s">
        <v>32</v>
      </c>
      <c r="H614" s="1" t="s">
        <v>149</v>
      </c>
      <c r="I614" s="1">
        <v>1</v>
      </c>
      <c r="J614" s="1">
        <v>9.6</v>
      </c>
      <c r="K614" s="1">
        <v>5</v>
      </c>
      <c r="L614" s="1">
        <v>9.1199999999999992</v>
      </c>
      <c r="M614" s="1">
        <v>5.52</v>
      </c>
      <c r="N614" s="1">
        <v>-0.72</v>
      </c>
      <c r="O614" s="6" t="s">
        <v>34</v>
      </c>
      <c r="P614" s="8">
        <f>Table1[Quantity]*Table1[Unit_Price]</f>
        <v>9.6</v>
      </c>
      <c r="Q614" s="1">
        <f>Table1[Profit]/Table1[Total_Sales]</f>
        <v>-7.8947368421052641E-2</v>
      </c>
      <c r="R614" s="14">
        <f>Table1[Total_Sales]+Table1[Shipping_Cost]</f>
        <v>14.639999999999999</v>
      </c>
    </row>
    <row r="615" spans="1:18" x14ac:dyDescent="0.35">
      <c r="A615" s="3" t="s">
        <v>1273</v>
      </c>
      <c r="B615" s="2">
        <v>45267</v>
      </c>
      <c r="C615" s="1" t="s">
        <v>1274</v>
      </c>
      <c r="D615" s="1" t="s">
        <v>30</v>
      </c>
      <c r="E615" s="1" t="s">
        <v>31</v>
      </c>
      <c r="F615" s="1" t="s">
        <v>19</v>
      </c>
      <c r="G615" s="1" t="s">
        <v>69</v>
      </c>
      <c r="H615" s="1" t="s">
        <v>79</v>
      </c>
      <c r="I615" s="1">
        <v>2</v>
      </c>
      <c r="J615" s="1">
        <v>57.77</v>
      </c>
      <c r="K615" s="1">
        <v>5</v>
      </c>
      <c r="L615" s="1">
        <v>109.76</v>
      </c>
      <c r="M615" s="1">
        <v>9.89</v>
      </c>
      <c r="N615" s="1">
        <v>42.1</v>
      </c>
      <c r="O615" s="6" t="s">
        <v>34</v>
      </c>
      <c r="P615" s="8">
        <f>Table1[Quantity]*Table1[Unit_Price]</f>
        <v>115.54</v>
      </c>
      <c r="Q615" s="1">
        <f>Table1[Profit]/Table1[Total_Sales]</f>
        <v>0.38356413994169097</v>
      </c>
      <c r="R615" s="14">
        <f>Table1[Total_Sales]+Table1[Shipping_Cost]</f>
        <v>119.65</v>
      </c>
    </row>
    <row r="616" spans="1:18" x14ac:dyDescent="0.35">
      <c r="A616" s="3" t="s">
        <v>1275</v>
      </c>
      <c r="B616" s="2">
        <v>45267</v>
      </c>
      <c r="C616" s="1" t="s">
        <v>1203</v>
      </c>
      <c r="D616" s="1" t="s">
        <v>30</v>
      </c>
      <c r="E616" s="1" t="s">
        <v>31</v>
      </c>
      <c r="F616" s="1" t="s">
        <v>19</v>
      </c>
      <c r="G616" s="1" t="s">
        <v>32</v>
      </c>
      <c r="H616" s="1" t="s">
        <v>50</v>
      </c>
      <c r="I616" s="1">
        <v>2</v>
      </c>
      <c r="J616" s="1">
        <v>24.03</v>
      </c>
      <c r="K616" s="1">
        <v>10</v>
      </c>
      <c r="L616" s="1">
        <v>43.25</v>
      </c>
      <c r="M616" s="1">
        <v>9.26</v>
      </c>
      <c r="N616" s="1">
        <v>12.36</v>
      </c>
      <c r="O616" s="6" t="s">
        <v>22</v>
      </c>
      <c r="P616" s="8">
        <f>Table1[Quantity]*Table1[Unit_Price]</f>
        <v>48.06</v>
      </c>
      <c r="Q616" s="1">
        <f>Table1[Profit]/Table1[Total_Sales]</f>
        <v>0.28578034682080922</v>
      </c>
      <c r="R616" s="14">
        <f>Table1[Total_Sales]+Table1[Shipping_Cost]</f>
        <v>52.51</v>
      </c>
    </row>
    <row r="617" spans="1:18" x14ac:dyDescent="0.35">
      <c r="A617" s="3" t="s">
        <v>1276</v>
      </c>
      <c r="B617" s="2">
        <v>45267</v>
      </c>
      <c r="C617" s="1" t="s">
        <v>1277</v>
      </c>
      <c r="D617" s="1" t="s">
        <v>17</v>
      </c>
      <c r="E617" s="1" t="s">
        <v>31</v>
      </c>
      <c r="F617" s="1" t="s">
        <v>19</v>
      </c>
      <c r="G617" s="1" t="s">
        <v>69</v>
      </c>
      <c r="H617" s="1" t="s">
        <v>196</v>
      </c>
      <c r="I617" s="1">
        <v>3</v>
      </c>
      <c r="J617" s="1">
        <v>21.32</v>
      </c>
      <c r="K617" s="1">
        <v>15</v>
      </c>
      <c r="L617" s="1">
        <v>54.37</v>
      </c>
      <c r="M617" s="1">
        <v>7.01</v>
      </c>
      <c r="N617" s="1">
        <v>15.38</v>
      </c>
      <c r="O617" s="6" t="s">
        <v>34</v>
      </c>
      <c r="P617" s="8">
        <f>Table1[Quantity]*Table1[Unit_Price]</f>
        <v>63.96</v>
      </c>
      <c r="Q617" s="1">
        <f>Table1[Profit]/Table1[Total_Sales]</f>
        <v>0.28287658635276808</v>
      </c>
      <c r="R617" s="14">
        <f>Table1[Total_Sales]+Table1[Shipping_Cost]</f>
        <v>61.379999999999995</v>
      </c>
    </row>
    <row r="618" spans="1:18" x14ac:dyDescent="0.35">
      <c r="A618" s="3" t="s">
        <v>1278</v>
      </c>
      <c r="B618" s="2">
        <v>45268</v>
      </c>
      <c r="C618" s="1" t="s">
        <v>1279</v>
      </c>
      <c r="D618" s="1" t="s">
        <v>30</v>
      </c>
      <c r="E618" s="1" t="s">
        <v>37</v>
      </c>
      <c r="F618" s="1" t="s">
        <v>26</v>
      </c>
      <c r="G618" s="1" t="s">
        <v>42</v>
      </c>
      <c r="H618" s="1" t="s">
        <v>234</v>
      </c>
      <c r="I618" s="1">
        <v>7</v>
      </c>
      <c r="J618" s="1">
        <v>67.53</v>
      </c>
      <c r="K618" s="1">
        <v>10</v>
      </c>
      <c r="L618" s="1">
        <v>425.44</v>
      </c>
      <c r="M618" s="1">
        <v>12.11</v>
      </c>
      <c r="N618" s="1">
        <v>129.69999999999999</v>
      </c>
      <c r="O618" s="6" t="s">
        <v>56</v>
      </c>
      <c r="P618" s="8">
        <f>Table1[Quantity]*Table1[Unit_Price]</f>
        <v>472.71000000000004</v>
      </c>
      <c r="Q618" s="1">
        <f>Table1[Profit]/Table1[Total_Sales]</f>
        <v>0.30486084994358781</v>
      </c>
      <c r="R618" s="14">
        <f>Table1[Total_Sales]+Table1[Shipping_Cost]</f>
        <v>437.55</v>
      </c>
    </row>
    <row r="619" spans="1:18" x14ac:dyDescent="0.35">
      <c r="A619" s="3" t="s">
        <v>1280</v>
      </c>
      <c r="B619" s="2">
        <v>45268</v>
      </c>
      <c r="C619" s="1" t="s">
        <v>1281</v>
      </c>
      <c r="D619" s="1" t="s">
        <v>30</v>
      </c>
      <c r="E619" s="1" t="s">
        <v>67</v>
      </c>
      <c r="F619" s="1" t="s">
        <v>68</v>
      </c>
      <c r="G619" s="1" t="s">
        <v>32</v>
      </c>
      <c r="H619" s="1" t="s">
        <v>73</v>
      </c>
      <c r="I619" s="1">
        <v>1</v>
      </c>
      <c r="J619" s="1">
        <v>9.18</v>
      </c>
      <c r="K619" s="1">
        <v>5</v>
      </c>
      <c r="L619" s="1">
        <v>8.7200000000000006</v>
      </c>
      <c r="M619" s="1">
        <v>11.53</v>
      </c>
      <c r="N619" s="1">
        <v>-6.94</v>
      </c>
      <c r="O619" s="6" t="s">
        <v>39</v>
      </c>
      <c r="P619" s="8">
        <f>Table1[Quantity]*Table1[Unit_Price]</f>
        <v>9.18</v>
      </c>
      <c r="Q619" s="1">
        <f>Table1[Profit]/Table1[Total_Sales]</f>
        <v>-0.79587155963302747</v>
      </c>
      <c r="R619" s="14">
        <f>Table1[Total_Sales]+Table1[Shipping_Cost]</f>
        <v>20.25</v>
      </c>
    </row>
    <row r="620" spans="1:18" x14ac:dyDescent="0.35">
      <c r="A620" s="3" t="s">
        <v>1282</v>
      </c>
      <c r="B620" s="2">
        <v>45269</v>
      </c>
      <c r="C620" s="1" t="s">
        <v>1005</v>
      </c>
      <c r="D620" s="1" t="s">
        <v>30</v>
      </c>
      <c r="E620" s="1" t="s">
        <v>76</v>
      </c>
      <c r="F620" s="1" t="s">
        <v>26</v>
      </c>
      <c r="G620" s="1" t="s">
        <v>42</v>
      </c>
      <c r="H620" s="1" t="s">
        <v>294</v>
      </c>
      <c r="I620" s="1">
        <v>5</v>
      </c>
      <c r="J620" s="1">
        <v>152.94999999999999</v>
      </c>
      <c r="K620" s="1">
        <v>5</v>
      </c>
      <c r="L620" s="1">
        <v>726.51</v>
      </c>
      <c r="M620" s="1">
        <v>18.940000000000001</v>
      </c>
      <c r="N620" s="1">
        <v>248.72</v>
      </c>
      <c r="O620" s="6" t="s">
        <v>56</v>
      </c>
      <c r="P620" s="8">
        <f>Table1[Quantity]*Table1[Unit_Price]</f>
        <v>764.75</v>
      </c>
      <c r="Q620" s="1">
        <f>Table1[Profit]/Table1[Total_Sales]</f>
        <v>0.34234903855418369</v>
      </c>
      <c r="R620" s="14">
        <f>Table1[Total_Sales]+Table1[Shipping_Cost]</f>
        <v>745.45</v>
      </c>
    </row>
    <row r="621" spans="1:18" x14ac:dyDescent="0.35">
      <c r="A621" s="3" t="s">
        <v>1283</v>
      </c>
      <c r="B621" s="2">
        <v>45269</v>
      </c>
      <c r="C621" s="1" t="s">
        <v>1284</v>
      </c>
      <c r="D621" s="1" t="s">
        <v>30</v>
      </c>
      <c r="E621" s="1" t="s">
        <v>85</v>
      </c>
      <c r="F621" s="1" t="s">
        <v>60</v>
      </c>
      <c r="G621" s="1" t="s">
        <v>42</v>
      </c>
      <c r="H621" s="1" t="s">
        <v>255</v>
      </c>
      <c r="I621" s="1">
        <v>4</v>
      </c>
      <c r="J621" s="1">
        <v>52.21</v>
      </c>
      <c r="K621" s="1">
        <v>5</v>
      </c>
      <c r="L621" s="1">
        <v>198.4</v>
      </c>
      <c r="M621" s="1">
        <v>16.48</v>
      </c>
      <c r="N621" s="1">
        <v>56.62</v>
      </c>
      <c r="O621" s="6" t="s">
        <v>39</v>
      </c>
      <c r="P621" s="8">
        <f>Table1[Quantity]*Table1[Unit_Price]</f>
        <v>208.84</v>
      </c>
      <c r="Q621" s="1">
        <f>Table1[Profit]/Table1[Total_Sales]</f>
        <v>0.28538306451612899</v>
      </c>
      <c r="R621" s="14">
        <f>Table1[Total_Sales]+Table1[Shipping_Cost]</f>
        <v>214.88</v>
      </c>
    </row>
    <row r="622" spans="1:18" x14ac:dyDescent="0.35">
      <c r="A622" s="3" t="s">
        <v>1285</v>
      </c>
      <c r="B622" s="2">
        <v>45269</v>
      </c>
      <c r="C622" s="1" t="s">
        <v>1286</v>
      </c>
      <c r="D622" s="1" t="s">
        <v>17</v>
      </c>
      <c r="E622" s="1" t="s">
        <v>18</v>
      </c>
      <c r="F622" s="1" t="s">
        <v>19</v>
      </c>
      <c r="G622" s="1" t="s">
        <v>20</v>
      </c>
      <c r="H622" s="1" t="s">
        <v>170</v>
      </c>
      <c r="I622" s="1">
        <v>1</v>
      </c>
      <c r="J622" s="1">
        <v>58.09</v>
      </c>
      <c r="K622" s="1">
        <v>15</v>
      </c>
      <c r="L622" s="1">
        <v>49.38</v>
      </c>
      <c r="M622" s="1">
        <v>6.23</v>
      </c>
      <c r="N622" s="1">
        <v>11.2</v>
      </c>
      <c r="O622" s="6" t="s">
        <v>56</v>
      </c>
      <c r="P622" s="8">
        <f>Table1[Quantity]*Table1[Unit_Price]</f>
        <v>58.09</v>
      </c>
      <c r="Q622" s="1">
        <f>Table1[Profit]/Table1[Total_Sales]</f>
        <v>0.22681247468610771</v>
      </c>
      <c r="R622" s="14">
        <f>Table1[Total_Sales]+Table1[Shipping_Cost]</f>
        <v>55.61</v>
      </c>
    </row>
    <row r="623" spans="1:18" x14ac:dyDescent="0.35">
      <c r="A623" s="3" t="s">
        <v>1287</v>
      </c>
      <c r="B623" s="2">
        <v>45269</v>
      </c>
      <c r="C623" s="1" t="s">
        <v>1288</v>
      </c>
      <c r="D623" s="1" t="s">
        <v>17</v>
      </c>
      <c r="E623" s="1" t="s">
        <v>92</v>
      </c>
      <c r="F623" s="1" t="s">
        <v>60</v>
      </c>
      <c r="G623" s="1" t="s">
        <v>32</v>
      </c>
      <c r="H623" s="1" t="s">
        <v>149</v>
      </c>
      <c r="I623" s="1">
        <v>3</v>
      </c>
      <c r="J623" s="1">
        <v>9.9600000000000009</v>
      </c>
      <c r="K623" s="1">
        <v>15</v>
      </c>
      <c r="L623" s="1">
        <v>25.4</v>
      </c>
      <c r="M623" s="1">
        <v>15</v>
      </c>
      <c r="N623" s="1">
        <v>-3.05</v>
      </c>
      <c r="O623" s="6" t="s">
        <v>56</v>
      </c>
      <c r="P623" s="8">
        <f>Table1[Quantity]*Table1[Unit_Price]</f>
        <v>29.880000000000003</v>
      </c>
      <c r="Q623" s="1">
        <f>Table1[Profit]/Table1[Total_Sales]</f>
        <v>-0.12007874015748031</v>
      </c>
      <c r="R623" s="14">
        <f>Table1[Total_Sales]+Table1[Shipping_Cost]</f>
        <v>40.4</v>
      </c>
    </row>
    <row r="624" spans="1:18" x14ac:dyDescent="0.35">
      <c r="A624" s="3" t="s">
        <v>1289</v>
      </c>
      <c r="B624" s="2">
        <v>45270</v>
      </c>
      <c r="C624" s="1" t="s">
        <v>1290</v>
      </c>
      <c r="D624" s="1" t="s">
        <v>49</v>
      </c>
      <c r="E624" s="1" t="s">
        <v>31</v>
      </c>
      <c r="F624" s="1" t="s">
        <v>19</v>
      </c>
      <c r="G624" s="1" t="s">
        <v>32</v>
      </c>
      <c r="H624" s="1" t="s">
        <v>50</v>
      </c>
      <c r="I624" s="1">
        <v>1</v>
      </c>
      <c r="J624" s="1">
        <v>15.07</v>
      </c>
      <c r="K624" s="1">
        <v>5</v>
      </c>
      <c r="L624" s="1">
        <v>14.32</v>
      </c>
      <c r="M624" s="1">
        <v>6.62</v>
      </c>
      <c r="N624" s="1">
        <v>0.92</v>
      </c>
      <c r="O624" s="6" t="s">
        <v>34</v>
      </c>
      <c r="P624" s="8">
        <f>Table1[Quantity]*Table1[Unit_Price]</f>
        <v>15.07</v>
      </c>
      <c r="Q624" s="1">
        <f>Table1[Profit]/Table1[Total_Sales]</f>
        <v>6.4245810055865923E-2</v>
      </c>
      <c r="R624" s="14">
        <f>Table1[Total_Sales]+Table1[Shipping_Cost]</f>
        <v>20.94</v>
      </c>
    </row>
    <row r="625" spans="1:18" x14ac:dyDescent="0.35">
      <c r="A625" s="3" t="s">
        <v>1291</v>
      </c>
      <c r="B625" s="2">
        <v>45270</v>
      </c>
      <c r="C625" s="1" t="s">
        <v>1292</v>
      </c>
      <c r="D625" s="1" t="s">
        <v>17</v>
      </c>
      <c r="E625" s="1" t="s">
        <v>31</v>
      </c>
      <c r="F625" s="1" t="s">
        <v>19</v>
      </c>
      <c r="G625" s="1" t="s">
        <v>69</v>
      </c>
      <c r="H625" s="1" t="s">
        <v>139</v>
      </c>
      <c r="I625" s="1">
        <v>10</v>
      </c>
      <c r="J625" s="1">
        <v>38.590000000000003</v>
      </c>
      <c r="K625" s="1">
        <v>10</v>
      </c>
      <c r="L625" s="1">
        <v>347.31</v>
      </c>
      <c r="M625" s="1">
        <v>26.11</v>
      </c>
      <c r="N625" s="1">
        <v>128.25</v>
      </c>
      <c r="O625" s="6" t="s">
        <v>34</v>
      </c>
      <c r="P625" s="8">
        <f>Table1[Quantity]*Table1[Unit_Price]</f>
        <v>385.90000000000003</v>
      </c>
      <c r="Q625" s="1">
        <f>Table1[Profit]/Table1[Total_Sales]</f>
        <v>0.36926664939103393</v>
      </c>
      <c r="R625" s="14">
        <f>Table1[Total_Sales]+Table1[Shipping_Cost]</f>
        <v>373.42</v>
      </c>
    </row>
    <row r="626" spans="1:18" x14ac:dyDescent="0.35">
      <c r="A626" s="3" t="s">
        <v>1293</v>
      </c>
      <c r="B626" s="2">
        <v>45271</v>
      </c>
      <c r="C626" s="1" t="s">
        <v>1294</v>
      </c>
      <c r="D626" s="1" t="s">
        <v>30</v>
      </c>
      <c r="E626" s="1" t="s">
        <v>129</v>
      </c>
      <c r="F626" s="1" t="s">
        <v>19</v>
      </c>
      <c r="G626" s="1" t="s">
        <v>32</v>
      </c>
      <c r="H626" s="1" t="s">
        <v>132</v>
      </c>
      <c r="I626" s="1">
        <v>5</v>
      </c>
      <c r="J626" s="1">
        <v>16.649999999999999</v>
      </c>
      <c r="K626" s="1">
        <v>5</v>
      </c>
      <c r="L626" s="1">
        <v>79.09</v>
      </c>
      <c r="M626" s="1">
        <v>8.6300000000000008</v>
      </c>
      <c r="N626" s="1">
        <v>33</v>
      </c>
      <c r="O626" s="6" t="s">
        <v>34</v>
      </c>
      <c r="P626" s="8">
        <f>Table1[Quantity]*Table1[Unit_Price]</f>
        <v>83.25</v>
      </c>
      <c r="Q626" s="1">
        <f>Table1[Profit]/Table1[Total_Sales]</f>
        <v>0.41724617524339358</v>
      </c>
      <c r="R626" s="14">
        <f>Table1[Total_Sales]+Table1[Shipping_Cost]</f>
        <v>87.72</v>
      </c>
    </row>
    <row r="627" spans="1:18" x14ac:dyDescent="0.35">
      <c r="A627" s="3" t="s">
        <v>1295</v>
      </c>
      <c r="B627" s="2">
        <v>45271</v>
      </c>
      <c r="C627" s="1" t="s">
        <v>1296</v>
      </c>
      <c r="D627" s="1" t="s">
        <v>30</v>
      </c>
      <c r="E627" s="1" t="s">
        <v>129</v>
      </c>
      <c r="F627" s="1" t="s">
        <v>19</v>
      </c>
      <c r="G627" s="1" t="s">
        <v>32</v>
      </c>
      <c r="H627" s="1" t="s">
        <v>82</v>
      </c>
      <c r="I627" s="1">
        <v>1</v>
      </c>
      <c r="J627" s="1">
        <v>10.81</v>
      </c>
      <c r="K627" s="1">
        <v>10</v>
      </c>
      <c r="L627" s="1">
        <v>9.73</v>
      </c>
      <c r="M627" s="1">
        <v>5.77</v>
      </c>
      <c r="N627" s="1">
        <v>-0.9</v>
      </c>
      <c r="O627" s="6" t="s">
        <v>56</v>
      </c>
      <c r="P627" s="8">
        <f>Table1[Quantity]*Table1[Unit_Price]</f>
        <v>10.81</v>
      </c>
      <c r="Q627" s="1">
        <f>Table1[Profit]/Table1[Total_Sales]</f>
        <v>-9.249743062692703E-2</v>
      </c>
      <c r="R627" s="14">
        <f>Table1[Total_Sales]+Table1[Shipping_Cost]</f>
        <v>15.5</v>
      </c>
    </row>
    <row r="628" spans="1:18" x14ac:dyDescent="0.35">
      <c r="A628" s="3" t="s">
        <v>1297</v>
      </c>
      <c r="B628" s="2">
        <v>45271</v>
      </c>
      <c r="C628" s="1" t="s">
        <v>1298</v>
      </c>
      <c r="D628" s="1" t="s">
        <v>30</v>
      </c>
      <c r="E628" s="1" t="s">
        <v>53</v>
      </c>
      <c r="F628" s="1" t="s">
        <v>54</v>
      </c>
      <c r="G628" s="1" t="s">
        <v>69</v>
      </c>
      <c r="H628" s="1" t="s">
        <v>163</v>
      </c>
      <c r="I628" s="1">
        <v>3</v>
      </c>
      <c r="J628" s="1">
        <v>44.11</v>
      </c>
      <c r="K628" s="1">
        <v>0</v>
      </c>
      <c r="L628" s="1">
        <v>132.33000000000001</v>
      </c>
      <c r="M628" s="1">
        <v>13.52</v>
      </c>
      <c r="N628" s="1">
        <v>52.65</v>
      </c>
      <c r="O628" s="6" t="s">
        <v>22</v>
      </c>
      <c r="P628" s="8">
        <f>Table1[Quantity]*Table1[Unit_Price]</f>
        <v>132.32999999999998</v>
      </c>
      <c r="Q628" s="1">
        <f>Table1[Profit]/Table1[Total_Sales]</f>
        <v>0.39786896395375193</v>
      </c>
      <c r="R628" s="14">
        <f>Table1[Total_Sales]+Table1[Shipping_Cost]</f>
        <v>145.85000000000002</v>
      </c>
    </row>
    <row r="629" spans="1:18" x14ac:dyDescent="0.35">
      <c r="A629" s="3" t="s">
        <v>1299</v>
      </c>
      <c r="B629" s="2">
        <v>45271</v>
      </c>
      <c r="C629" s="1" t="s">
        <v>1300</v>
      </c>
      <c r="D629" s="1" t="s">
        <v>17</v>
      </c>
      <c r="E629" s="1" t="s">
        <v>121</v>
      </c>
      <c r="F629" s="1" t="s">
        <v>68</v>
      </c>
      <c r="G629" s="1" t="s">
        <v>32</v>
      </c>
      <c r="H629" s="1" t="s">
        <v>73</v>
      </c>
      <c r="I629" s="1">
        <v>3</v>
      </c>
      <c r="J629" s="1">
        <v>6.13</v>
      </c>
      <c r="K629" s="1">
        <v>5</v>
      </c>
      <c r="L629" s="1">
        <v>17.47</v>
      </c>
      <c r="M629" s="1">
        <v>16.059999999999999</v>
      </c>
      <c r="N629" s="1">
        <v>-6.87</v>
      </c>
      <c r="O629" s="6" t="s">
        <v>22</v>
      </c>
      <c r="P629" s="8">
        <f>Table1[Quantity]*Table1[Unit_Price]</f>
        <v>18.39</v>
      </c>
      <c r="Q629" s="1">
        <f>Table1[Profit]/Table1[Total_Sales]</f>
        <v>-0.3932455638236978</v>
      </c>
      <c r="R629" s="14">
        <f>Table1[Total_Sales]+Table1[Shipping_Cost]</f>
        <v>33.53</v>
      </c>
    </row>
    <row r="630" spans="1:18" x14ac:dyDescent="0.35">
      <c r="A630" s="3" t="s">
        <v>1301</v>
      </c>
      <c r="B630" s="2">
        <v>45271</v>
      </c>
      <c r="C630" s="1" t="s">
        <v>1302</v>
      </c>
      <c r="D630" s="1" t="s">
        <v>30</v>
      </c>
      <c r="E630" s="1" t="s">
        <v>135</v>
      </c>
      <c r="F630" s="1" t="s">
        <v>26</v>
      </c>
      <c r="G630" s="1" t="s">
        <v>20</v>
      </c>
      <c r="H630" s="1" t="s">
        <v>55</v>
      </c>
      <c r="I630" s="1">
        <v>5</v>
      </c>
      <c r="J630" s="1">
        <v>30.27</v>
      </c>
      <c r="K630" s="1">
        <v>0</v>
      </c>
      <c r="L630" s="1">
        <v>151.35</v>
      </c>
      <c r="M630" s="1">
        <v>13.59</v>
      </c>
      <c r="N630" s="1">
        <v>54.52</v>
      </c>
      <c r="O630" s="6" t="s">
        <v>34</v>
      </c>
      <c r="P630" s="8">
        <f>Table1[Quantity]*Table1[Unit_Price]</f>
        <v>151.35</v>
      </c>
      <c r="Q630" s="1">
        <f>Table1[Profit]/Table1[Total_Sales]</f>
        <v>0.36022464486290062</v>
      </c>
      <c r="R630" s="14">
        <f>Table1[Total_Sales]+Table1[Shipping_Cost]</f>
        <v>164.94</v>
      </c>
    </row>
    <row r="631" spans="1:18" x14ac:dyDescent="0.35">
      <c r="A631" s="3" t="s">
        <v>1303</v>
      </c>
      <c r="B631" s="2">
        <v>45271</v>
      </c>
      <c r="C631" s="1" t="s">
        <v>1304</v>
      </c>
      <c r="D631" s="1" t="s">
        <v>17</v>
      </c>
      <c r="E631" s="1" t="s">
        <v>76</v>
      </c>
      <c r="F631" s="1" t="s">
        <v>26</v>
      </c>
      <c r="G631" s="1" t="s">
        <v>69</v>
      </c>
      <c r="H631" s="1" t="s">
        <v>305</v>
      </c>
      <c r="I631" s="1">
        <v>3</v>
      </c>
      <c r="J631" s="1">
        <v>43.37</v>
      </c>
      <c r="K631" s="1">
        <v>15</v>
      </c>
      <c r="L631" s="1">
        <v>110.59</v>
      </c>
      <c r="M631" s="1">
        <v>14.43</v>
      </c>
      <c r="N631" s="1">
        <v>31.11</v>
      </c>
      <c r="O631" s="6" t="s">
        <v>56</v>
      </c>
      <c r="P631" s="8">
        <f>Table1[Quantity]*Table1[Unit_Price]</f>
        <v>130.10999999999999</v>
      </c>
      <c r="Q631" s="1">
        <f>Table1[Profit]/Table1[Total_Sales]</f>
        <v>0.28130934080839132</v>
      </c>
      <c r="R631" s="14">
        <f>Table1[Total_Sales]+Table1[Shipping_Cost]</f>
        <v>125.02000000000001</v>
      </c>
    </row>
    <row r="632" spans="1:18" x14ac:dyDescent="0.35">
      <c r="A632" s="3" t="s">
        <v>1305</v>
      </c>
      <c r="B632" s="2">
        <v>45271</v>
      </c>
      <c r="C632" s="1" t="s">
        <v>864</v>
      </c>
      <c r="D632" s="1" t="s">
        <v>30</v>
      </c>
      <c r="E632" s="1" t="s">
        <v>92</v>
      </c>
      <c r="F632" s="1" t="s">
        <v>60</v>
      </c>
      <c r="G632" s="1" t="s">
        <v>69</v>
      </c>
      <c r="H632" s="1" t="s">
        <v>86</v>
      </c>
      <c r="I632" s="1">
        <v>3</v>
      </c>
      <c r="J632" s="1">
        <v>126.07</v>
      </c>
      <c r="K632" s="1">
        <v>0</v>
      </c>
      <c r="L632" s="1">
        <v>378.21</v>
      </c>
      <c r="M632" s="1">
        <v>16.14</v>
      </c>
      <c r="N632" s="1">
        <v>172.96</v>
      </c>
      <c r="O632" s="6" t="s">
        <v>56</v>
      </c>
      <c r="P632" s="8">
        <f>Table1[Quantity]*Table1[Unit_Price]</f>
        <v>378.21</v>
      </c>
      <c r="Q632" s="1">
        <f>Table1[Profit]/Table1[Total_Sales]</f>
        <v>0.4573120753020809</v>
      </c>
      <c r="R632" s="14">
        <f>Table1[Total_Sales]+Table1[Shipping_Cost]</f>
        <v>394.34999999999997</v>
      </c>
    </row>
    <row r="633" spans="1:18" x14ac:dyDescent="0.35">
      <c r="A633" s="3" t="s">
        <v>1306</v>
      </c>
      <c r="B633" s="2">
        <v>45271</v>
      </c>
      <c r="C633" s="1" t="s">
        <v>1307</v>
      </c>
      <c r="D633" s="1" t="s">
        <v>49</v>
      </c>
      <c r="E633" s="1" t="s">
        <v>18</v>
      </c>
      <c r="F633" s="1" t="s">
        <v>19</v>
      </c>
      <c r="G633" s="1" t="s">
        <v>32</v>
      </c>
      <c r="H633" s="1" t="s">
        <v>101</v>
      </c>
      <c r="I633" s="1">
        <v>2</v>
      </c>
      <c r="J633" s="1">
        <v>19.32</v>
      </c>
      <c r="K633" s="1">
        <v>0</v>
      </c>
      <c r="L633" s="1">
        <v>38.64</v>
      </c>
      <c r="M633" s="1">
        <v>9.4700000000000006</v>
      </c>
      <c r="N633" s="1">
        <v>11.78</v>
      </c>
      <c r="O633" s="6" t="s">
        <v>39</v>
      </c>
      <c r="P633" s="8">
        <f>Table1[Quantity]*Table1[Unit_Price]</f>
        <v>38.64</v>
      </c>
      <c r="Q633" s="1">
        <f>Table1[Profit]/Table1[Total_Sales]</f>
        <v>0.3048654244306418</v>
      </c>
      <c r="R633" s="14">
        <f>Table1[Total_Sales]+Table1[Shipping_Cost]</f>
        <v>48.11</v>
      </c>
    </row>
    <row r="634" spans="1:18" x14ac:dyDescent="0.35">
      <c r="A634" s="3" t="s">
        <v>1308</v>
      </c>
      <c r="B634" s="2">
        <v>45273</v>
      </c>
      <c r="C634" s="1" t="s">
        <v>1309</v>
      </c>
      <c r="D634" s="1" t="s">
        <v>30</v>
      </c>
      <c r="E634" s="1" t="s">
        <v>18</v>
      </c>
      <c r="F634" s="1" t="s">
        <v>19</v>
      </c>
      <c r="G634" s="1" t="s">
        <v>42</v>
      </c>
      <c r="H634" s="1" t="s">
        <v>118</v>
      </c>
      <c r="I634" s="1">
        <v>3</v>
      </c>
      <c r="J634" s="1">
        <v>47.08</v>
      </c>
      <c r="K634" s="1">
        <v>10</v>
      </c>
      <c r="L634" s="1">
        <v>127.12</v>
      </c>
      <c r="M634" s="1">
        <v>11.82</v>
      </c>
      <c r="N634" s="1">
        <v>30.56</v>
      </c>
      <c r="O634" s="6" t="s">
        <v>56</v>
      </c>
      <c r="P634" s="8">
        <f>Table1[Quantity]*Table1[Unit_Price]</f>
        <v>141.24</v>
      </c>
      <c r="Q634" s="1">
        <f>Table1[Profit]/Table1[Total_Sales]</f>
        <v>0.24040276903713026</v>
      </c>
      <c r="R634" s="14">
        <f>Table1[Total_Sales]+Table1[Shipping_Cost]</f>
        <v>138.94</v>
      </c>
    </row>
    <row r="635" spans="1:18" x14ac:dyDescent="0.35">
      <c r="A635" s="3" t="s">
        <v>1310</v>
      </c>
      <c r="B635" s="2">
        <v>45273</v>
      </c>
      <c r="C635" s="1" t="s">
        <v>1311</v>
      </c>
      <c r="D635" s="1" t="s">
        <v>30</v>
      </c>
      <c r="E635" s="1" t="s">
        <v>25</v>
      </c>
      <c r="F635" s="1" t="s">
        <v>26</v>
      </c>
      <c r="G635" s="1" t="s">
        <v>42</v>
      </c>
      <c r="H635" s="1" t="s">
        <v>371</v>
      </c>
      <c r="I635" s="1">
        <v>5</v>
      </c>
      <c r="J635" s="1">
        <v>109.55</v>
      </c>
      <c r="K635" s="1">
        <v>10</v>
      </c>
      <c r="L635" s="1">
        <v>492.98</v>
      </c>
      <c r="M635" s="1">
        <v>16.350000000000001</v>
      </c>
      <c r="N635" s="1">
        <v>147.97999999999999</v>
      </c>
      <c r="O635" s="6" t="s">
        <v>34</v>
      </c>
      <c r="P635" s="8">
        <f>Table1[Quantity]*Table1[Unit_Price]</f>
        <v>547.75</v>
      </c>
      <c r="Q635" s="1">
        <f>Table1[Profit]/Table1[Total_Sales]</f>
        <v>0.30017444926771875</v>
      </c>
      <c r="R635" s="14">
        <f>Table1[Total_Sales]+Table1[Shipping_Cost]</f>
        <v>509.33000000000004</v>
      </c>
    </row>
    <row r="636" spans="1:18" x14ac:dyDescent="0.35">
      <c r="A636" s="3" t="s">
        <v>1312</v>
      </c>
      <c r="B636" s="2">
        <v>45274</v>
      </c>
      <c r="C636" s="1" t="s">
        <v>1313</v>
      </c>
      <c r="D636" s="1" t="s">
        <v>30</v>
      </c>
      <c r="E636" s="1" t="s">
        <v>248</v>
      </c>
      <c r="F636" s="1" t="s">
        <v>26</v>
      </c>
      <c r="G636" s="1" t="s">
        <v>20</v>
      </c>
      <c r="H636" s="1" t="s">
        <v>38</v>
      </c>
      <c r="I636" s="1">
        <v>4</v>
      </c>
      <c r="J636" s="1">
        <v>32.24</v>
      </c>
      <c r="K636" s="1">
        <v>5</v>
      </c>
      <c r="L636" s="1">
        <v>122.51</v>
      </c>
      <c r="M636" s="1">
        <v>13.12</v>
      </c>
      <c r="N636" s="1">
        <v>38.46</v>
      </c>
      <c r="O636" s="6" t="s">
        <v>39</v>
      </c>
      <c r="P636" s="8">
        <f>Table1[Quantity]*Table1[Unit_Price]</f>
        <v>128.96</v>
      </c>
      <c r="Q636" s="1">
        <f>Table1[Profit]/Table1[Total_Sales]</f>
        <v>0.31393355644437188</v>
      </c>
      <c r="R636" s="14">
        <f>Table1[Total_Sales]+Table1[Shipping_Cost]</f>
        <v>135.63</v>
      </c>
    </row>
    <row r="637" spans="1:18" x14ac:dyDescent="0.35">
      <c r="A637" s="3" t="s">
        <v>1314</v>
      </c>
      <c r="B637" s="2">
        <v>45274</v>
      </c>
      <c r="C637" s="1" t="s">
        <v>1315</v>
      </c>
      <c r="D637" s="1" t="s">
        <v>30</v>
      </c>
      <c r="E637" s="1" t="s">
        <v>53</v>
      </c>
      <c r="F637" s="1" t="s">
        <v>54</v>
      </c>
      <c r="G637" s="1" t="s">
        <v>69</v>
      </c>
      <c r="H637" s="1" t="s">
        <v>70</v>
      </c>
      <c r="I637" s="1">
        <v>1</v>
      </c>
      <c r="J637" s="1">
        <v>32.68</v>
      </c>
      <c r="K637" s="1">
        <v>5</v>
      </c>
      <c r="L637" s="1">
        <v>31.05</v>
      </c>
      <c r="M637" s="1">
        <v>13.1</v>
      </c>
      <c r="N637" s="1">
        <v>1.61</v>
      </c>
      <c r="O637" s="6" t="s">
        <v>34</v>
      </c>
      <c r="P637" s="8">
        <f>Table1[Quantity]*Table1[Unit_Price]</f>
        <v>32.68</v>
      </c>
      <c r="Q637" s="1">
        <f>Table1[Profit]/Table1[Total_Sales]</f>
        <v>5.185185185185185E-2</v>
      </c>
      <c r="R637" s="14">
        <f>Table1[Total_Sales]+Table1[Shipping_Cost]</f>
        <v>44.15</v>
      </c>
    </row>
    <row r="638" spans="1:18" x14ac:dyDescent="0.35">
      <c r="A638" s="3" t="s">
        <v>1316</v>
      </c>
      <c r="B638" s="2">
        <v>45276</v>
      </c>
      <c r="C638" s="1" t="s">
        <v>1317</v>
      </c>
      <c r="D638" s="1" t="s">
        <v>17</v>
      </c>
      <c r="E638" s="1" t="s">
        <v>92</v>
      </c>
      <c r="F638" s="1" t="s">
        <v>60</v>
      </c>
      <c r="G638" s="1" t="s">
        <v>20</v>
      </c>
      <c r="H638" s="1" t="s">
        <v>27</v>
      </c>
      <c r="I638" s="1">
        <v>8</v>
      </c>
      <c r="J638" s="1">
        <v>85.21</v>
      </c>
      <c r="K638" s="1">
        <v>15</v>
      </c>
      <c r="L638" s="1">
        <v>579.42999999999995</v>
      </c>
      <c r="M638" s="1">
        <v>13.75</v>
      </c>
      <c r="N638" s="1">
        <v>190.76</v>
      </c>
      <c r="O638" s="6" t="s">
        <v>39</v>
      </c>
      <c r="P638" s="8">
        <f>Table1[Quantity]*Table1[Unit_Price]</f>
        <v>681.68</v>
      </c>
      <c r="Q638" s="1">
        <f>Table1[Profit]/Table1[Total_Sales]</f>
        <v>0.32922009561120413</v>
      </c>
      <c r="R638" s="14">
        <f>Table1[Total_Sales]+Table1[Shipping_Cost]</f>
        <v>593.17999999999995</v>
      </c>
    </row>
    <row r="639" spans="1:18" x14ac:dyDescent="0.35">
      <c r="A639" s="3" t="s">
        <v>1318</v>
      </c>
      <c r="B639" s="2">
        <v>45277</v>
      </c>
      <c r="C639" s="1" t="s">
        <v>684</v>
      </c>
      <c r="D639" s="1" t="s">
        <v>17</v>
      </c>
      <c r="E639" s="1" t="s">
        <v>148</v>
      </c>
      <c r="F639" s="1" t="s">
        <v>60</v>
      </c>
      <c r="G639" s="1" t="s">
        <v>20</v>
      </c>
      <c r="H639" s="1" t="s">
        <v>21</v>
      </c>
      <c r="I639" s="1">
        <v>3</v>
      </c>
      <c r="J639" s="1">
        <v>166.63</v>
      </c>
      <c r="K639" s="1">
        <v>0</v>
      </c>
      <c r="L639" s="1">
        <v>499.89</v>
      </c>
      <c r="M639" s="1">
        <v>14.84</v>
      </c>
      <c r="N639" s="1">
        <v>210.11</v>
      </c>
      <c r="O639" s="6" t="s">
        <v>56</v>
      </c>
      <c r="P639" s="8">
        <f>Table1[Quantity]*Table1[Unit_Price]</f>
        <v>499.89</v>
      </c>
      <c r="Q639" s="1">
        <f>Table1[Profit]/Table1[Total_Sales]</f>
        <v>0.4203124687431235</v>
      </c>
      <c r="R639" s="14">
        <f>Table1[Total_Sales]+Table1[Shipping_Cost]</f>
        <v>514.73</v>
      </c>
    </row>
    <row r="640" spans="1:18" x14ac:dyDescent="0.35">
      <c r="A640" s="3" t="s">
        <v>1319</v>
      </c>
      <c r="B640" s="2">
        <v>45278</v>
      </c>
      <c r="C640" s="1" t="s">
        <v>1320</v>
      </c>
      <c r="D640" s="1" t="s">
        <v>30</v>
      </c>
      <c r="E640" s="1" t="s">
        <v>129</v>
      </c>
      <c r="F640" s="1" t="s">
        <v>19</v>
      </c>
      <c r="G640" s="1" t="s">
        <v>32</v>
      </c>
      <c r="H640" s="1" t="s">
        <v>110</v>
      </c>
      <c r="I640" s="1">
        <v>10</v>
      </c>
      <c r="J640" s="1">
        <v>9.33</v>
      </c>
      <c r="K640" s="1">
        <v>15</v>
      </c>
      <c r="L640" s="1">
        <v>79.3</v>
      </c>
      <c r="M640" s="1">
        <v>10.95</v>
      </c>
      <c r="N640" s="1">
        <v>26.36</v>
      </c>
      <c r="O640" s="6" t="s">
        <v>34</v>
      </c>
      <c r="P640" s="8">
        <f>Table1[Quantity]*Table1[Unit_Price]</f>
        <v>93.3</v>
      </c>
      <c r="Q640" s="1">
        <f>Table1[Profit]/Table1[Total_Sales]</f>
        <v>0.33240857503152588</v>
      </c>
      <c r="R640" s="14">
        <f>Table1[Total_Sales]+Table1[Shipping_Cost]</f>
        <v>90.25</v>
      </c>
    </row>
    <row r="641" spans="1:18" x14ac:dyDescent="0.35">
      <c r="A641" s="3" t="s">
        <v>1321</v>
      </c>
      <c r="B641" s="2">
        <v>45278</v>
      </c>
      <c r="C641" s="1" t="s">
        <v>1322</v>
      </c>
      <c r="D641" s="1" t="s">
        <v>30</v>
      </c>
      <c r="E641" s="1" t="s">
        <v>129</v>
      </c>
      <c r="F641" s="1" t="s">
        <v>19</v>
      </c>
      <c r="G641" s="1" t="s">
        <v>69</v>
      </c>
      <c r="H641" s="1" t="s">
        <v>196</v>
      </c>
      <c r="I641" s="1">
        <v>5</v>
      </c>
      <c r="J641" s="1">
        <v>8.1</v>
      </c>
      <c r="K641" s="1">
        <v>20</v>
      </c>
      <c r="L641" s="1">
        <v>32.4</v>
      </c>
      <c r="M641" s="1">
        <v>16.7</v>
      </c>
      <c r="N641" s="1">
        <v>-4.55</v>
      </c>
      <c r="O641" s="6" t="s">
        <v>22</v>
      </c>
      <c r="P641" s="8">
        <f>Table1[Quantity]*Table1[Unit_Price]</f>
        <v>40.5</v>
      </c>
      <c r="Q641" s="1">
        <f>Table1[Profit]/Table1[Total_Sales]</f>
        <v>-0.14043209876543211</v>
      </c>
      <c r="R641" s="14">
        <f>Table1[Total_Sales]+Table1[Shipping_Cost]</f>
        <v>49.099999999999994</v>
      </c>
    </row>
    <row r="642" spans="1:18" x14ac:dyDescent="0.35">
      <c r="A642" s="3" t="s">
        <v>1323</v>
      </c>
      <c r="B642" s="2">
        <v>45278</v>
      </c>
      <c r="C642" s="1" t="s">
        <v>1324</v>
      </c>
      <c r="D642" s="1" t="s">
        <v>17</v>
      </c>
      <c r="E642" s="1" t="s">
        <v>129</v>
      </c>
      <c r="F642" s="1" t="s">
        <v>19</v>
      </c>
      <c r="G642" s="1" t="s">
        <v>32</v>
      </c>
      <c r="H642" s="1" t="s">
        <v>101</v>
      </c>
      <c r="I642" s="1">
        <v>3</v>
      </c>
      <c r="J642" s="1">
        <v>17.75</v>
      </c>
      <c r="K642" s="1">
        <v>15</v>
      </c>
      <c r="L642" s="1">
        <v>45.26</v>
      </c>
      <c r="M642" s="1">
        <v>10.14</v>
      </c>
      <c r="N642" s="1">
        <v>11.16</v>
      </c>
      <c r="O642" s="6" t="s">
        <v>34</v>
      </c>
      <c r="P642" s="8">
        <f>Table1[Quantity]*Table1[Unit_Price]</f>
        <v>53.25</v>
      </c>
      <c r="Q642" s="1">
        <f>Table1[Profit]/Table1[Total_Sales]</f>
        <v>0.24657534246575344</v>
      </c>
      <c r="R642" s="14">
        <f>Table1[Total_Sales]+Table1[Shipping_Cost]</f>
        <v>55.4</v>
      </c>
    </row>
    <row r="643" spans="1:18" x14ac:dyDescent="0.35">
      <c r="A643" s="3" t="s">
        <v>1325</v>
      </c>
      <c r="B643" s="2">
        <v>45278</v>
      </c>
      <c r="C643" s="1" t="s">
        <v>1326</v>
      </c>
      <c r="D643" s="1" t="s">
        <v>49</v>
      </c>
      <c r="E643" s="1" t="s">
        <v>135</v>
      </c>
      <c r="F643" s="1" t="s">
        <v>26</v>
      </c>
      <c r="G643" s="1" t="s">
        <v>42</v>
      </c>
      <c r="H643" s="1" t="s">
        <v>64</v>
      </c>
      <c r="I643" s="1">
        <v>4</v>
      </c>
      <c r="J643" s="1">
        <v>59.95</v>
      </c>
      <c r="K643" s="1">
        <v>5</v>
      </c>
      <c r="L643" s="1">
        <v>227.81</v>
      </c>
      <c r="M643" s="1">
        <v>13.86</v>
      </c>
      <c r="N643" s="1">
        <v>70.069999999999993</v>
      </c>
      <c r="O643" s="6" t="s">
        <v>39</v>
      </c>
      <c r="P643" s="8">
        <f>Table1[Quantity]*Table1[Unit_Price]</f>
        <v>239.8</v>
      </c>
      <c r="Q643" s="1">
        <f>Table1[Profit]/Table1[Total_Sales]</f>
        <v>0.30758087880251084</v>
      </c>
      <c r="R643" s="14">
        <f>Table1[Total_Sales]+Table1[Shipping_Cost]</f>
        <v>241.67000000000002</v>
      </c>
    </row>
    <row r="644" spans="1:18" x14ac:dyDescent="0.35">
      <c r="A644" s="3" t="s">
        <v>1327</v>
      </c>
      <c r="B644" s="2">
        <v>45278</v>
      </c>
      <c r="C644" s="1" t="s">
        <v>1328</v>
      </c>
      <c r="D644" s="1" t="s">
        <v>17</v>
      </c>
      <c r="E644" s="1" t="s">
        <v>18</v>
      </c>
      <c r="F644" s="1" t="s">
        <v>19</v>
      </c>
      <c r="G644" s="1" t="s">
        <v>32</v>
      </c>
      <c r="H644" s="1" t="s">
        <v>73</v>
      </c>
      <c r="I644" s="1">
        <v>4</v>
      </c>
      <c r="J644" s="1">
        <v>3.66</v>
      </c>
      <c r="K644" s="1">
        <v>20</v>
      </c>
      <c r="L644" s="1">
        <v>11.71</v>
      </c>
      <c r="M644" s="1">
        <v>13.72</v>
      </c>
      <c r="N644" s="1">
        <v>-8.6</v>
      </c>
      <c r="O644" s="6" t="s">
        <v>34</v>
      </c>
      <c r="P644" s="8">
        <f>Table1[Quantity]*Table1[Unit_Price]</f>
        <v>14.64</v>
      </c>
      <c r="Q644" s="1">
        <f>Table1[Profit]/Table1[Total_Sales]</f>
        <v>-0.73441502988898366</v>
      </c>
      <c r="R644" s="14">
        <f>Table1[Total_Sales]+Table1[Shipping_Cost]</f>
        <v>25.43</v>
      </c>
    </row>
    <row r="645" spans="1:18" x14ac:dyDescent="0.35">
      <c r="A645" s="3" t="s">
        <v>1329</v>
      </c>
      <c r="B645" s="2">
        <v>45280</v>
      </c>
      <c r="C645" s="1" t="s">
        <v>1330</v>
      </c>
      <c r="D645" s="1" t="s">
        <v>30</v>
      </c>
      <c r="E645" s="1" t="s">
        <v>53</v>
      </c>
      <c r="F645" s="1" t="s">
        <v>54</v>
      </c>
      <c r="G645" s="1" t="s">
        <v>69</v>
      </c>
      <c r="H645" s="1" t="s">
        <v>70</v>
      </c>
      <c r="I645" s="1">
        <v>6</v>
      </c>
      <c r="J645" s="1">
        <v>64.86</v>
      </c>
      <c r="K645" s="1">
        <v>20</v>
      </c>
      <c r="L645" s="1">
        <v>311.33</v>
      </c>
      <c r="M645" s="1">
        <v>25.84</v>
      </c>
      <c r="N645" s="1">
        <v>90.91</v>
      </c>
      <c r="O645" s="6" t="s">
        <v>39</v>
      </c>
      <c r="P645" s="8">
        <f>Table1[Quantity]*Table1[Unit_Price]</f>
        <v>389.15999999999997</v>
      </c>
      <c r="Q645" s="1">
        <f>Table1[Profit]/Table1[Total_Sales]</f>
        <v>0.29200526772235247</v>
      </c>
      <c r="R645" s="14">
        <f>Table1[Total_Sales]+Table1[Shipping_Cost]</f>
        <v>337.16999999999996</v>
      </c>
    </row>
    <row r="646" spans="1:18" x14ac:dyDescent="0.35">
      <c r="A646" s="3" t="s">
        <v>1331</v>
      </c>
      <c r="B646" s="2">
        <v>45280</v>
      </c>
      <c r="C646" s="1" t="s">
        <v>1332</v>
      </c>
      <c r="D646" s="1" t="s">
        <v>30</v>
      </c>
      <c r="E646" s="1" t="s">
        <v>63</v>
      </c>
      <c r="F646" s="1" t="s">
        <v>54</v>
      </c>
      <c r="G646" s="1" t="s">
        <v>42</v>
      </c>
      <c r="H646" s="1" t="s">
        <v>118</v>
      </c>
      <c r="I646" s="1">
        <v>4</v>
      </c>
      <c r="J646" s="1">
        <v>94.69</v>
      </c>
      <c r="K646" s="1">
        <v>10</v>
      </c>
      <c r="L646" s="1">
        <v>340.88</v>
      </c>
      <c r="M646" s="1">
        <v>14.7</v>
      </c>
      <c r="N646" s="1">
        <v>98.92</v>
      </c>
      <c r="O646" s="6" t="s">
        <v>34</v>
      </c>
      <c r="P646" s="8">
        <f>Table1[Quantity]*Table1[Unit_Price]</f>
        <v>378.76</v>
      </c>
      <c r="Q646" s="1">
        <f>Table1[Profit]/Table1[Total_Sales]</f>
        <v>0.29019009622154424</v>
      </c>
      <c r="R646" s="14">
        <f>Table1[Total_Sales]+Table1[Shipping_Cost]</f>
        <v>355.58</v>
      </c>
    </row>
    <row r="647" spans="1:18" x14ac:dyDescent="0.35">
      <c r="A647" s="3" t="s">
        <v>1333</v>
      </c>
      <c r="B647" s="2">
        <v>45280</v>
      </c>
      <c r="C647" s="1" t="s">
        <v>716</v>
      </c>
      <c r="D647" s="1" t="s">
        <v>49</v>
      </c>
      <c r="E647" s="1" t="s">
        <v>92</v>
      </c>
      <c r="F647" s="1" t="s">
        <v>60</v>
      </c>
      <c r="G647" s="1" t="s">
        <v>20</v>
      </c>
      <c r="H647" s="1" t="s">
        <v>38</v>
      </c>
      <c r="I647" s="1">
        <v>1</v>
      </c>
      <c r="J647" s="1">
        <v>36.01</v>
      </c>
      <c r="K647" s="1">
        <v>5</v>
      </c>
      <c r="L647" s="1">
        <v>34.21</v>
      </c>
      <c r="M647" s="1">
        <v>9.6999999999999993</v>
      </c>
      <c r="N647" s="1">
        <v>4.7</v>
      </c>
      <c r="O647" s="6" t="s">
        <v>34</v>
      </c>
      <c r="P647" s="8">
        <f>Table1[Quantity]*Table1[Unit_Price]</f>
        <v>36.01</v>
      </c>
      <c r="Q647" s="1">
        <f>Table1[Profit]/Table1[Total_Sales]</f>
        <v>0.1373867290266004</v>
      </c>
      <c r="R647" s="14">
        <f>Table1[Total_Sales]+Table1[Shipping_Cost]</f>
        <v>43.91</v>
      </c>
    </row>
    <row r="648" spans="1:18" x14ac:dyDescent="0.35">
      <c r="A648" s="3" t="s">
        <v>1334</v>
      </c>
      <c r="B648" s="2">
        <v>45281</v>
      </c>
      <c r="C648" s="1" t="s">
        <v>1335</v>
      </c>
      <c r="D648" s="1" t="s">
        <v>30</v>
      </c>
      <c r="E648" s="1" t="s">
        <v>31</v>
      </c>
      <c r="F648" s="1" t="s">
        <v>19</v>
      </c>
      <c r="G648" s="1" t="s">
        <v>32</v>
      </c>
      <c r="H648" s="1" t="s">
        <v>348</v>
      </c>
      <c r="I648" s="1">
        <v>1</v>
      </c>
      <c r="J648" s="1">
        <v>6.89</v>
      </c>
      <c r="K648" s="1">
        <v>15</v>
      </c>
      <c r="L648" s="1">
        <v>5.86</v>
      </c>
      <c r="M648" s="1">
        <v>6.74</v>
      </c>
      <c r="N648" s="1">
        <v>-3.98</v>
      </c>
      <c r="O648" s="6" t="s">
        <v>22</v>
      </c>
      <c r="P648" s="8">
        <f>Table1[Quantity]*Table1[Unit_Price]</f>
        <v>6.89</v>
      </c>
      <c r="Q648" s="1">
        <f>Table1[Profit]/Table1[Total_Sales]</f>
        <v>-0.67918088737201365</v>
      </c>
      <c r="R648" s="14">
        <f>Table1[Total_Sales]+Table1[Shipping_Cost]</f>
        <v>12.600000000000001</v>
      </c>
    </row>
    <row r="649" spans="1:18" x14ac:dyDescent="0.35">
      <c r="A649" s="3" t="s">
        <v>1336</v>
      </c>
      <c r="B649" s="2">
        <v>45281</v>
      </c>
      <c r="C649" s="1" t="s">
        <v>1337</v>
      </c>
      <c r="D649" s="1" t="s">
        <v>49</v>
      </c>
      <c r="E649" s="1" t="s">
        <v>31</v>
      </c>
      <c r="F649" s="1" t="s">
        <v>19</v>
      </c>
      <c r="G649" s="1" t="s">
        <v>20</v>
      </c>
      <c r="H649" s="1" t="s">
        <v>122</v>
      </c>
      <c r="I649" s="1">
        <v>1</v>
      </c>
      <c r="J649" s="1">
        <v>98.38</v>
      </c>
      <c r="K649" s="1">
        <v>0</v>
      </c>
      <c r="L649" s="1">
        <v>98.38</v>
      </c>
      <c r="M649" s="1">
        <v>6.62</v>
      </c>
      <c r="N649" s="1">
        <v>37.65</v>
      </c>
      <c r="O649" s="6" t="s">
        <v>39</v>
      </c>
      <c r="P649" s="8">
        <f>Table1[Quantity]*Table1[Unit_Price]</f>
        <v>98.38</v>
      </c>
      <c r="Q649" s="1">
        <f>Table1[Profit]/Table1[Total_Sales]</f>
        <v>0.38269973571864202</v>
      </c>
      <c r="R649" s="14">
        <f>Table1[Total_Sales]+Table1[Shipping_Cost]</f>
        <v>105</v>
      </c>
    </row>
    <row r="650" spans="1:18" x14ac:dyDescent="0.35">
      <c r="A650" s="3" t="s">
        <v>1338</v>
      </c>
      <c r="B650" s="2">
        <v>45282</v>
      </c>
      <c r="C650" s="1" t="s">
        <v>1339</v>
      </c>
      <c r="D650" s="1" t="s">
        <v>49</v>
      </c>
      <c r="E650" s="1" t="s">
        <v>166</v>
      </c>
      <c r="F650" s="1" t="s">
        <v>60</v>
      </c>
      <c r="G650" s="1" t="s">
        <v>20</v>
      </c>
      <c r="H650" s="1" t="s">
        <v>175</v>
      </c>
      <c r="I650" s="1">
        <v>5</v>
      </c>
      <c r="J650" s="1">
        <v>27.72</v>
      </c>
      <c r="K650" s="1">
        <v>5</v>
      </c>
      <c r="L650" s="1">
        <v>131.66999999999999</v>
      </c>
      <c r="M650" s="1">
        <v>17.420000000000002</v>
      </c>
      <c r="N650" s="1">
        <v>38.020000000000003</v>
      </c>
      <c r="O650" s="6" t="s">
        <v>56</v>
      </c>
      <c r="P650" s="8">
        <f>Table1[Quantity]*Table1[Unit_Price]</f>
        <v>138.6</v>
      </c>
      <c r="Q650" s="1">
        <f>Table1[Profit]/Table1[Total_Sales]</f>
        <v>0.28875218348902565</v>
      </c>
      <c r="R650" s="14">
        <f>Table1[Total_Sales]+Table1[Shipping_Cost]</f>
        <v>149.08999999999997</v>
      </c>
    </row>
    <row r="651" spans="1:18" x14ac:dyDescent="0.35">
      <c r="A651" s="3" t="s">
        <v>1340</v>
      </c>
      <c r="B651" s="2">
        <v>45282</v>
      </c>
      <c r="C651" s="1" t="s">
        <v>1341</v>
      </c>
      <c r="D651" s="1" t="s">
        <v>30</v>
      </c>
      <c r="E651" s="1" t="s">
        <v>67</v>
      </c>
      <c r="F651" s="1" t="s">
        <v>68</v>
      </c>
      <c r="G651" s="1" t="s">
        <v>42</v>
      </c>
      <c r="H651" s="1" t="s">
        <v>89</v>
      </c>
      <c r="I651" s="1">
        <v>3</v>
      </c>
      <c r="J651" s="1">
        <v>371.61</v>
      </c>
      <c r="K651" s="1">
        <v>15</v>
      </c>
      <c r="L651" s="1">
        <v>947.61</v>
      </c>
      <c r="M651" s="1">
        <v>15.39</v>
      </c>
      <c r="N651" s="1">
        <v>263.32</v>
      </c>
      <c r="O651" s="6" t="s">
        <v>34</v>
      </c>
      <c r="P651" s="8">
        <f>Table1[Quantity]*Table1[Unit_Price]</f>
        <v>1114.83</v>
      </c>
      <c r="Q651" s="1">
        <f>Table1[Profit]/Table1[Total_Sales]</f>
        <v>0.27787802999124112</v>
      </c>
      <c r="R651" s="14">
        <f>Table1[Total_Sales]+Table1[Shipping_Cost]</f>
        <v>963</v>
      </c>
    </row>
    <row r="652" spans="1:18" x14ac:dyDescent="0.35">
      <c r="A652" s="3" t="s">
        <v>1342</v>
      </c>
      <c r="B652" s="2">
        <v>45282</v>
      </c>
      <c r="C652" s="1" t="s">
        <v>980</v>
      </c>
      <c r="D652" s="1" t="s">
        <v>30</v>
      </c>
      <c r="E652" s="1" t="s">
        <v>148</v>
      </c>
      <c r="F652" s="1" t="s">
        <v>60</v>
      </c>
      <c r="G652" s="1" t="s">
        <v>42</v>
      </c>
      <c r="H652" s="1" t="s">
        <v>93</v>
      </c>
      <c r="I652" s="1">
        <v>2</v>
      </c>
      <c r="J652" s="1">
        <v>288.74</v>
      </c>
      <c r="K652" s="1">
        <v>20</v>
      </c>
      <c r="L652" s="1">
        <v>461.98</v>
      </c>
      <c r="M652" s="1">
        <v>11.82</v>
      </c>
      <c r="N652" s="1">
        <v>103.67</v>
      </c>
      <c r="O652" s="6" t="s">
        <v>56</v>
      </c>
      <c r="P652" s="8">
        <f>Table1[Quantity]*Table1[Unit_Price]</f>
        <v>577.48</v>
      </c>
      <c r="Q652" s="1">
        <f>Table1[Profit]/Table1[Total_Sales]</f>
        <v>0.22440365383782848</v>
      </c>
      <c r="R652" s="14">
        <f>Table1[Total_Sales]+Table1[Shipping_Cost]</f>
        <v>473.8</v>
      </c>
    </row>
    <row r="653" spans="1:18" x14ac:dyDescent="0.35">
      <c r="A653" s="3" t="s">
        <v>1343</v>
      </c>
      <c r="B653" s="2">
        <v>45283</v>
      </c>
      <c r="C653" s="1" t="s">
        <v>1344</v>
      </c>
      <c r="D653" s="1" t="s">
        <v>17</v>
      </c>
      <c r="E653" s="1" t="s">
        <v>63</v>
      </c>
      <c r="F653" s="1" t="s">
        <v>54</v>
      </c>
      <c r="G653" s="1" t="s">
        <v>32</v>
      </c>
      <c r="H653" s="1" t="s">
        <v>82</v>
      </c>
      <c r="I653" s="1">
        <v>12</v>
      </c>
      <c r="J653" s="1">
        <v>11.81</v>
      </c>
      <c r="K653" s="1">
        <v>15</v>
      </c>
      <c r="L653" s="1">
        <v>120.46</v>
      </c>
      <c r="M653" s="1">
        <v>22.68</v>
      </c>
      <c r="N653" s="1">
        <v>34.01</v>
      </c>
      <c r="O653" s="6" t="s">
        <v>39</v>
      </c>
      <c r="P653" s="8">
        <f>Table1[Quantity]*Table1[Unit_Price]</f>
        <v>141.72</v>
      </c>
      <c r="Q653" s="1">
        <f>Table1[Profit]/Table1[Total_Sales]</f>
        <v>0.28233438485804419</v>
      </c>
      <c r="R653" s="14">
        <f>Table1[Total_Sales]+Table1[Shipping_Cost]</f>
        <v>143.13999999999999</v>
      </c>
    </row>
    <row r="654" spans="1:18" x14ac:dyDescent="0.35">
      <c r="A654" s="3" t="s">
        <v>1345</v>
      </c>
      <c r="B654" s="2">
        <v>45283</v>
      </c>
      <c r="C654" s="1" t="s">
        <v>1346</v>
      </c>
      <c r="D654" s="1" t="s">
        <v>17</v>
      </c>
      <c r="E654" s="1" t="s">
        <v>166</v>
      </c>
      <c r="F654" s="1" t="s">
        <v>60</v>
      </c>
      <c r="G654" s="1" t="s">
        <v>20</v>
      </c>
      <c r="H654" s="1" t="s">
        <v>106</v>
      </c>
      <c r="I654" s="1">
        <v>3</v>
      </c>
      <c r="J654" s="1">
        <v>67.73</v>
      </c>
      <c r="K654" s="1">
        <v>10</v>
      </c>
      <c r="L654" s="1">
        <v>182.87</v>
      </c>
      <c r="M654" s="1">
        <v>11.07</v>
      </c>
      <c r="N654" s="1">
        <v>60.05</v>
      </c>
      <c r="O654" s="6" t="s">
        <v>34</v>
      </c>
      <c r="P654" s="8">
        <f>Table1[Quantity]*Table1[Unit_Price]</f>
        <v>203.19</v>
      </c>
      <c r="Q654" s="1">
        <f>Table1[Profit]/Table1[Total_Sales]</f>
        <v>0.32837534860830098</v>
      </c>
      <c r="R654" s="14">
        <f>Table1[Total_Sales]+Table1[Shipping_Cost]</f>
        <v>193.94</v>
      </c>
    </row>
    <row r="655" spans="1:18" x14ac:dyDescent="0.35">
      <c r="A655" s="3" t="s">
        <v>1347</v>
      </c>
      <c r="B655" s="2">
        <v>45283</v>
      </c>
      <c r="C655" s="1" t="s">
        <v>1348</v>
      </c>
      <c r="D655" s="1" t="s">
        <v>17</v>
      </c>
      <c r="E655" s="1" t="s">
        <v>148</v>
      </c>
      <c r="F655" s="1" t="s">
        <v>60</v>
      </c>
      <c r="G655" s="1" t="s">
        <v>42</v>
      </c>
      <c r="H655" s="1" t="s">
        <v>294</v>
      </c>
      <c r="I655" s="1">
        <v>4</v>
      </c>
      <c r="J655" s="1">
        <v>166.71</v>
      </c>
      <c r="K655" s="1">
        <v>20</v>
      </c>
      <c r="L655" s="1">
        <v>533.47</v>
      </c>
      <c r="M655" s="1">
        <v>15.13</v>
      </c>
      <c r="N655" s="1">
        <v>118.24</v>
      </c>
      <c r="O655" s="6" t="s">
        <v>34</v>
      </c>
      <c r="P655" s="8">
        <f>Table1[Quantity]*Table1[Unit_Price]</f>
        <v>666.84</v>
      </c>
      <c r="Q655" s="1">
        <f>Table1[Profit]/Table1[Total_Sales]</f>
        <v>0.22164320392899317</v>
      </c>
      <c r="R655" s="14">
        <f>Table1[Total_Sales]+Table1[Shipping_Cost]</f>
        <v>548.6</v>
      </c>
    </row>
    <row r="656" spans="1:18" x14ac:dyDescent="0.35">
      <c r="A656" s="3" t="s">
        <v>1349</v>
      </c>
      <c r="B656" s="2">
        <v>45284</v>
      </c>
      <c r="C656" s="1" t="s">
        <v>157</v>
      </c>
      <c r="D656" s="1" t="s">
        <v>49</v>
      </c>
      <c r="E656" s="1" t="s">
        <v>31</v>
      </c>
      <c r="F656" s="1" t="s">
        <v>19</v>
      </c>
      <c r="G656" s="1" t="s">
        <v>20</v>
      </c>
      <c r="H656" s="1" t="s">
        <v>175</v>
      </c>
      <c r="I656" s="1">
        <v>1</v>
      </c>
      <c r="J656" s="1">
        <v>41.24</v>
      </c>
      <c r="K656" s="1">
        <v>10</v>
      </c>
      <c r="L656" s="1">
        <v>37.119999999999997</v>
      </c>
      <c r="M656" s="1">
        <v>5.87</v>
      </c>
      <c r="N656" s="1">
        <v>8.57</v>
      </c>
      <c r="O656" s="6" t="s">
        <v>39</v>
      </c>
      <c r="P656" s="8">
        <f>Table1[Quantity]*Table1[Unit_Price]</f>
        <v>41.24</v>
      </c>
      <c r="Q656" s="1">
        <f>Table1[Profit]/Table1[Total_Sales]</f>
        <v>0.23087284482758624</v>
      </c>
      <c r="R656" s="14">
        <f>Table1[Total_Sales]+Table1[Shipping_Cost]</f>
        <v>42.989999999999995</v>
      </c>
    </row>
    <row r="657" spans="1:18" x14ac:dyDescent="0.35">
      <c r="A657" s="3" t="s">
        <v>1350</v>
      </c>
      <c r="B657" s="2">
        <v>45284</v>
      </c>
      <c r="C657" s="1" t="s">
        <v>1351</v>
      </c>
      <c r="D657" s="1" t="s">
        <v>49</v>
      </c>
      <c r="E657" s="1" t="s">
        <v>248</v>
      </c>
      <c r="F657" s="1" t="s">
        <v>26</v>
      </c>
      <c r="G657" s="1" t="s">
        <v>20</v>
      </c>
      <c r="H657" s="1" t="s">
        <v>122</v>
      </c>
      <c r="I657" s="1">
        <v>5</v>
      </c>
      <c r="J657" s="1">
        <v>81.099999999999994</v>
      </c>
      <c r="K657" s="1">
        <v>10</v>
      </c>
      <c r="L657" s="1">
        <v>364.95</v>
      </c>
      <c r="M657" s="1">
        <v>17.850000000000001</v>
      </c>
      <c r="N657" s="1">
        <v>124.07</v>
      </c>
      <c r="O657" s="6" t="s">
        <v>34</v>
      </c>
      <c r="P657" s="8">
        <f>Table1[Quantity]*Table1[Unit_Price]</f>
        <v>405.5</v>
      </c>
      <c r="Q657" s="1">
        <f>Table1[Profit]/Table1[Total_Sales]</f>
        <v>0.33996437868201124</v>
      </c>
      <c r="R657" s="14">
        <f>Table1[Total_Sales]+Table1[Shipping_Cost]</f>
        <v>382.8</v>
      </c>
    </row>
    <row r="658" spans="1:18" x14ac:dyDescent="0.35">
      <c r="A658" s="3" t="s">
        <v>1352</v>
      </c>
      <c r="B658" s="2">
        <v>45285</v>
      </c>
      <c r="C658" s="1" t="s">
        <v>514</v>
      </c>
      <c r="D658" s="1" t="s">
        <v>17</v>
      </c>
      <c r="E658" s="1" t="s">
        <v>76</v>
      </c>
      <c r="F658" s="1" t="s">
        <v>26</v>
      </c>
      <c r="G658" s="1" t="s">
        <v>42</v>
      </c>
      <c r="H658" s="1" t="s">
        <v>46</v>
      </c>
      <c r="I658" s="1">
        <v>1</v>
      </c>
      <c r="J658" s="1">
        <v>190.75</v>
      </c>
      <c r="K658" s="1">
        <v>20</v>
      </c>
      <c r="L658" s="1">
        <v>152.6</v>
      </c>
      <c r="M658" s="1">
        <v>9.08</v>
      </c>
      <c r="N658" s="1">
        <v>29.07</v>
      </c>
      <c r="O658" s="6" t="s">
        <v>34</v>
      </c>
      <c r="P658" s="8">
        <f>Table1[Quantity]*Table1[Unit_Price]</f>
        <v>190.75</v>
      </c>
      <c r="Q658" s="1">
        <f>Table1[Profit]/Table1[Total_Sales]</f>
        <v>0.19049803407601573</v>
      </c>
      <c r="R658" s="14">
        <f>Table1[Total_Sales]+Table1[Shipping_Cost]</f>
        <v>161.68</v>
      </c>
    </row>
    <row r="659" spans="1:18" x14ac:dyDescent="0.35">
      <c r="A659" s="3" t="s">
        <v>1353</v>
      </c>
      <c r="B659" s="2">
        <v>45285</v>
      </c>
      <c r="C659" s="1" t="s">
        <v>1354</v>
      </c>
      <c r="D659" s="1" t="s">
        <v>49</v>
      </c>
      <c r="E659" s="1" t="s">
        <v>248</v>
      </c>
      <c r="F659" s="1" t="s">
        <v>26</v>
      </c>
      <c r="G659" s="1" t="s">
        <v>20</v>
      </c>
      <c r="H659" s="1" t="s">
        <v>55</v>
      </c>
      <c r="I659" s="1">
        <v>1</v>
      </c>
      <c r="J659" s="1">
        <v>69.13</v>
      </c>
      <c r="K659" s="1">
        <v>15</v>
      </c>
      <c r="L659" s="1">
        <v>58.76</v>
      </c>
      <c r="M659" s="1">
        <v>7.83</v>
      </c>
      <c r="N659" s="1">
        <v>12.91</v>
      </c>
      <c r="O659" s="6" t="s">
        <v>34</v>
      </c>
      <c r="P659" s="8">
        <f>Table1[Quantity]*Table1[Unit_Price]</f>
        <v>69.13</v>
      </c>
      <c r="Q659" s="1">
        <f>Table1[Profit]/Table1[Total_Sales]</f>
        <v>0.21970728386657593</v>
      </c>
      <c r="R659" s="14">
        <f>Table1[Total_Sales]+Table1[Shipping_Cost]</f>
        <v>66.59</v>
      </c>
    </row>
    <row r="660" spans="1:18" x14ac:dyDescent="0.35">
      <c r="A660" s="3" t="s">
        <v>1355</v>
      </c>
      <c r="B660" s="2">
        <v>45286</v>
      </c>
      <c r="C660" s="1" t="s">
        <v>1356</v>
      </c>
      <c r="D660" s="1" t="s">
        <v>30</v>
      </c>
      <c r="E660" s="1" t="s">
        <v>166</v>
      </c>
      <c r="F660" s="1" t="s">
        <v>60</v>
      </c>
      <c r="G660" s="1" t="s">
        <v>20</v>
      </c>
      <c r="H660" s="1" t="s">
        <v>170</v>
      </c>
      <c r="I660" s="1">
        <v>1</v>
      </c>
      <c r="J660" s="1">
        <v>51.57</v>
      </c>
      <c r="K660" s="1">
        <v>20</v>
      </c>
      <c r="L660" s="1">
        <v>41.26</v>
      </c>
      <c r="M660" s="1">
        <v>10.55</v>
      </c>
      <c r="N660" s="1">
        <v>2.35</v>
      </c>
      <c r="O660" s="6" t="s">
        <v>56</v>
      </c>
      <c r="P660" s="8">
        <f>Table1[Quantity]*Table1[Unit_Price]</f>
        <v>51.57</v>
      </c>
      <c r="Q660" s="1">
        <f>Table1[Profit]/Table1[Total_Sales]</f>
        <v>5.6955889481337861E-2</v>
      </c>
      <c r="R660" s="14">
        <f>Table1[Total_Sales]+Table1[Shipping_Cost]</f>
        <v>51.81</v>
      </c>
    </row>
    <row r="661" spans="1:18" x14ac:dyDescent="0.35">
      <c r="A661" s="3" t="s">
        <v>1357</v>
      </c>
      <c r="B661" s="2">
        <v>45286</v>
      </c>
      <c r="C661" s="1" t="s">
        <v>1358</v>
      </c>
      <c r="D661" s="1" t="s">
        <v>30</v>
      </c>
      <c r="E661" s="1" t="s">
        <v>85</v>
      </c>
      <c r="F661" s="1" t="s">
        <v>60</v>
      </c>
      <c r="G661" s="1" t="s">
        <v>20</v>
      </c>
      <c r="H661" s="1" t="s">
        <v>38</v>
      </c>
      <c r="I661" s="1">
        <v>3</v>
      </c>
      <c r="J661" s="1">
        <v>85.34</v>
      </c>
      <c r="K661" s="1">
        <v>5</v>
      </c>
      <c r="L661" s="1">
        <v>243.22</v>
      </c>
      <c r="M661" s="1">
        <v>10.71</v>
      </c>
      <c r="N661" s="1">
        <v>91.7</v>
      </c>
      <c r="O661" s="6" t="s">
        <v>34</v>
      </c>
      <c r="P661" s="8">
        <f>Table1[Quantity]*Table1[Unit_Price]</f>
        <v>256.02</v>
      </c>
      <c r="Q661" s="1">
        <f>Table1[Profit]/Table1[Total_Sales]</f>
        <v>0.37702491571416824</v>
      </c>
      <c r="R661" s="14">
        <f>Table1[Total_Sales]+Table1[Shipping_Cost]</f>
        <v>253.93</v>
      </c>
    </row>
    <row r="662" spans="1:18" x14ac:dyDescent="0.35">
      <c r="A662" s="3" t="s">
        <v>1359</v>
      </c>
      <c r="B662" s="2">
        <v>45286</v>
      </c>
      <c r="C662" s="1" t="s">
        <v>147</v>
      </c>
      <c r="D662" s="1" t="s">
        <v>17</v>
      </c>
      <c r="E662" s="1" t="s">
        <v>67</v>
      </c>
      <c r="F662" s="1" t="s">
        <v>68</v>
      </c>
      <c r="G662" s="1" t="s">
        <v>32</v>
      </c>
      <c r="H662" s="1" t="s">
        <v>33</v>
      </c>
      <c r="I662" s="1">
        <v>4</v>
      </c>
      <c r="J662" s="1">
        <v>11.72</v>
      </c>
      <c r="K662" s="1">
        <v>5</v>
      </c>
      <c r="L662" s="1">
        <v>44.54</v>
      </c>
      <c r="M662" s="1">
        <v>14.16</v>
      </c>
      <c r="N662" s="1">
        <v>9.2799999999999994</v>
      </c>
      <c r="O662" s="6" t="s">
        <v>56</v>
      </c>
      <c r="P662" s="8">
        <f>Table1[Quantity]*Table1[Unit_Price]</f>
        <v>46.88</v>
      </c>
      <c r="Q662" s="1">
        <f>Table1[Profit]/Table1[Total_Sales]</f>
        <v>0.20835204310731925</v>
      </c>
      <c r="R662" s="14">
        <f>Table1[Total_Sales]+Table1[Shipping_Cost]</f>
        <v>58.7</v>
      </c>
    </row>
    <row r="663" spans="1:18" x14ac:dyDescent="0.35">
      <c r="A663" s="3" t="s">
        <v>1360</v>
      </c>
      <c r="B663" s="2">
        <v>45286</v>
      </c>
      <c r="C663" s="1" t="s">
        <v>1361</v>
      </c>
      <c r="D663" s="1" t="s">
        <v>17</v>
      </c>
      <c r="E663" s="1" t="s">
        <v>148</v>
      </c>
      <c r="F663" s="1" t="s">
        <v>60</v>
      </c>
      <c r="G663" s="1" t="s">
        <v>20</v>
      </c>
      <c r="H663" s="1" t="s">
        <v>170</v>
      </c>
      <c r="I663" s="1">
        <v>1</v>
      </c>
      <c r="J663" s="1">
        <v>53.57</v>
      </c>
      <c r="K663" s="1">
        <v>25</v>
      </c>
      <c r="L663" s="1">
        <v>40.18</v>
      </c>
      <c r="M663" s="1">
        <v>11.21</v>
      </c>
      <c r="N663" s="1">
        <v>-0.49</v>
      </c>
      <c r="O663" s="6" t="s">
        <v>22</v>
      </c>
      <c r="P663" s="8">
        <f>Table1[Quantity]*Table1[Unit_Price]</f>
        <v>53.57</v>
      </c>
      <c r="Q663" s="1">
        <f>Table1[Profit]/Table1[Total_Sales]</f>
        <v>-1.2195121951219513E-2</v>
      </c>
      <c r="R663" s="14">
        <f>Table1[Total_Sales]+Table1[Shipping_Cost]</f>
        <v>51.39</v>
      </c>
    </row>
    <row r="664" spans="1:18" x14ac:dyDescent="0.35">
      <c r="A664" s="3" t="s">
        <v>1362</v>
      </c>
      <c r="B664" s="2">
        <v>45286</v>
      </c>
      <c r="C664" s="1" t="s">
        <v>1363</v>
      </c>
      <c r="D664" s="1" t="s">
        <v>30</v>
      </c>
      <c r="E664" s="1" t="s">
        <v>148</v>
      </c>
      <c r="F664" s="1" t="s">
        <v>60</v>
      </c>
      <c r="G664" s="1" t="s">
        <v>32</v>
      </c>
      <c r="H664" s="1" t="s">
        <v>73</v>
      </c>
      <c r="I664" s="1">
        <v>2</v>
      </c>
      <c r="J664" s="1">
        <v>8.93</v>
      </c>
      <c r="K664" s="1">
        <v>0</v>
      </c>
      <c r="L664" s="1">
        <v>17.86</v>
      </c>
      <c r="M664" s="1">
        <v>10.039999999999999</v>
      </c>
      <c r="N664" s="1">
        <v>-0.22</v>
      </c>
      <c r="O664" s="6" t="s">
        <v>34</v>
      </c>
      <c r="P664" s="8">
        <f>Table1[Quantity]*Table1[Unit_Price]</f>
        <v>17.86</v>
      </c>
      <c r="Q664" s="1">
        <f>Table1[Profit]/Table1[Total_Sales]</f>
        <v>-1.2318029115341547E-2</v>
      </c>
      <c r="R664" s="14">
        <f>Table1[Total_Sales]+Table1[Shipping_Cost]</f>
        <v>27.9</v>
      </c>
    </row>
    <row r="665" spans="1:18" x14ac:dyDescent="0.35">
      <c r="A665" s="3" t="s">
        <v>1364</v>
      </c>
      <c r="B665" s="2">
        <v>45286</v>
      </c>
      <c r="C665" s="1" t="s">
        <v>1365</v>
      </c>
      <c r="D665" s="1" t="s">
        <v>17</v>
      </c>
      <c r="E665" s="1" t="s">
        <v>59</v>
      </c>
      <c r="F665" s="1" t="s">
        <v>60</v>
      </c>
      <c r="G665" s="1" t="s">
        <v>69</v>
      </c>
      <c r="H665" s="1" t="s">
        <v>139</v>
      </c>
      <c r="I665" s="1">
        <v>5</v>
      </c>
      <c r="J665" s="1">
        <v>57.59</v>
      </c>
      <c r="K665" s="1">
        <v>5</v>
      </c>
      <c r="L665" s="1">
        <v>273.55</v>
      </c>
      <c r="M665" s="1">
        <v>16.190000000000001</v>
      </c>
      <c r="N665" s="1">
        <v>113.38</v>
      </c>
      <c r="O665" s="6" t="s">
        <v>39</v>
      </c>
      <c r="P665" s="8">
        <f>Table1[Quantity]*Table1[Unit_Price]</f>
        <v>287.95000000000005</v>
      </c>
      <c r="Q665" s="1">
        <f>Table1[Profit]/Table1[Total_Sales]</f>
        <v>0.41447632973862181</v>
      </c>
      <c r="R665" s="14">
        <f>Table1[Total_Sales]+Table1[Shipping_Cost]</f>
        <v>289.74</v>
      </c>
    </row>
    <row r="666" spans="1:18" x14ac:dyDescent="0.35">
      <c r="A666" s="3" t="s">
        <v>1366</v>
      </c>
      <c r="B666" s="2">
        <v>45286</v>
      </c>
      <c r="C666" s="1" t="s">
        <v>1367</v>
      </c>
      <c r="D666" s="1" t="s">
        <v>49</v>
      </c>
      <c r="E666" s="1" t="s">
        <v>129</v>
      </c>
      <c r="F666" s="1" t="s">
        <v>19</v>
      </c>
      <c r="G666" s="1" t="s">
        <v>20</v>
      </c>
      <c r="H666" s="1" t="s">
        <v>175</v>
      </c>
      <c r="I666" s="1">
        <v>3</v>
      </c>
      <c r="J666" s="1">
        <v>25.88</v>
      </c>
      <c r="K666" s="1">
        <v>15</v>
      </c>
      <c r="L666" s="1">
        <v>65.989999999999995</v>
      </c>
      <c r="M666" s="1">
        <v>6.99</v>
      </c>
      <c r="N666" s="1">
        <v>16.3</v>
      </c>
      <c r="O666" s="6" t="s">
        <v>34</v>
      </c>
      <c r="P666" s="8">
        <f>Table1[Quantity]*Table1[Unit_Price]</f>
        <v>77.64</v>
      </c>
      <c r="Q666" s="1">
        <f>Table1[Profit]/Table1[Total_Sales]</f>
        <v>0.24700712229125629</v>
      </c>
      <c r="R666" s="14">
        <f>Table1[Total_Sales]+Table1[Shipping_Cost]</f>
        <v>72.97999999999999</v>
      </c>
    </row>
    <row r="667" spans="1:18" x14ac:dyDescent="0.35">
      <c r="A667" s="3" t="s">
        <v>1368</v>
      </c>
      <c r="B667" s="2">
        <v>45287</v>
      </c>
      <c r="C667" s="1" t="s">
        <v>1369</v>
      </c>
      <c r="D667" s="1" t="s">
        <v>30</v>
      </c>
      <c r="E667" s="1" t="s">
        <v>121</v>
      </c>
      <c r="F667" s="1" t="s">
        <v>68</v>
      </c>
      <c r="G667" s="1" t="s">
        <v>42</v>
      </c>
      <c r="H667" s="1" t="s">
        <v>118</v>
      </c>
      <c r="I667" s="1">
        <v>2</v>
      </c>
      <c r="J667" s="1">
        <v>85.83</v>
      </c>
      <c r="K667" s="1">
        <v>15</v>
      </c>
      <c r="L667" s="1">
        <v>145.91</v>
      </c>
      <c r="M667" s="1">
        <v>13.6</v>
      </c>
      <c r="N667" s="1">
        <v>29.31</v>
      </c>
      <c r="O667" s="6" t="s">
        <v>39</v>
      </c>
      <c r="P667" s="8">
        <f>Table1[Quantity]*Table1[Unit_Price]</f>
        <v>171.66</v>
      </c>
      <c r="Q667" s="1">
        <f>Table1[Profit]/Table1[Total_Sales]</f>
        <v>0.20087725310122678</v>
      </c>
      <c r="R667" s="14">
        <f>Table1[Total_Sales]+Table1[Shipping_Cost]</f>
        <v>159.51</v>
      </c>
    </row>
    <row r="668" spans="1:18" x14ac:dyDescent="0.35">
      <c r="A668" s="3" t="s">
        <v>1370</v>
      </c>
      <c r="B668" s="2">
        <v>45287</v>
      </c>
      <c r="C668" s="1" t="s">
        <v>1371</v>
      </c>
      <c r="D668" s="1" t="s">
        <v>17</v>
      </c>
      <c r="E668" s="1" t="s">
        <v>92</v>
      </c>
      <c r="F668" s="1" t="s">
        <v>60</v>
      </c>
      <c r="G668" s="1" t="s">
        <v>42</v>
      </c>
      <c r="H668" s="1" t="s">
        <v>46</v>
      </c>
      <c r="I668" s="1">
        <v>2</v>
      </c>
      <c r="J668" s="1">
        <v>139.66999999999999</v>
      </c>
      <c r="K668" s="1">
        <v>15</v>
      </c>
      <c r="L668" s="1">
        <v>237.44</v>
      </c>
      <c r="M668" s="1">
        <v>13.84</v>
      </c>
      <c r="N668" s="1">
        <v>56</v>
      </c>
      <c r="O668" s="6" t="s">
        <v>34</v>
      </c>
      <c r="P668" s="8">
        <f>Table1[Quantity]*Table1[Unit_Price]</f>
        <v>279.33999999999997</v>
      </c>
      <c r="Q668" s="1">
        <f>Table1[Profit]/Table1[Total_Sales]</f>
        <v>0.23584905660377359</v>
      </c>
      <c r="R668" s="14">
        <f>Table1[Total_Sales]+Table1[Shipping_Cost]</f>
        <v>251.28</v>
      </c>
    </row>
    <row r="669" spans="1:18" x14ac:dyDescent="0.35">
      <c r="A669" s="3" t="s">
        <v>1372</v>
      </c>
      <c r="B669" s="2">
        <v>45287</v>
      </c>
      <c r="C669" s="1" t="s">
        <v>1373</v>
      </c>
      <c r="D669" s="1" t="s">
        <v>30</v>
      </c>
      <c r="E669" s="1" t="s">
        <v>67</v>
      </c>
      <c r="F669" s="1" t="s">
        <v>68</v>
      </c>
      <c r="G669" s="1" t="s">
        <v>32</v>
      </c>
      <c r="H669" s="1" t="s">
        <v>348</v>
      </c>
      <c r="I669" s="1">
        <v>5</v>
      </c>
      <c r="J669" s="1">
        <v>8.83</v>
      </c>
      <c r="K669" s="1">
        <v>0</v>
      </c>
      <c r="L669" s="1">
        <v>44.15</v>
      </c>
      <c r="M669" s="1">
        <v>19.010000000000002</v>
      </c>
      <c r="N669" s="1">
        <v>5.27</v>
      </c>
      <c r="O669" s="6" t="s">
        <v>56</v>
      </c>
      <c r="P669" s="8">
        <f>Table1[Quantity]*Table1[Unit_Price]</f>
        <v>44.15</v>
      </c>
      <c r="Q669" s="1">
        <f>Table1[Profit]/Table1[Total_Sales]</f>
        <v>0.11936579841449603</v>
      </c>
      <c r="R669" s="14">
        <f>Table1[Total_Sales]+Table1[Shipping_Cost]</f>
        <v>63.16</v>
      </c>
    </row>
    <row r="670" spans="1:18" x14ac:dyDescent="0.35">
      <c r="A670" s="3" t="s">
        <v>1374</v>
      </c>
      <c r="B670" s="2">
        <v>45288</v>
      </c>
      <c r="C670" s="1" t="s">
        <v>1375</v>
      </c>
      <c r="D670" s="1" t="s">
        <v>30</v>
      </c>
      <c r="E670" s="1" t="s">
        <v>166</v>
      </c>
      <c r="F670" s="1" t="s">
        <v>60</v>
      </c>
      <c r="G670" s="1" t="s">
        <v>42</v>
      </c>
      <c r="H670" s="1" t="s">
        <v>371</v>
      </c>
      <c r="I670" s="1">
        <v>1</v>
      </c>
      <c r="J670" s="1">
        <v>172.7</v>
      </c>
      <c r="K670" s="1">
        <v>0</v>
      </c>
      <c r="L670" s="1">
        <v>172.7</v>
      </c>
      <c r="M670" s="1">
        <v>11.33</v>
      </c>
      <c r="N670" s="1">
        <v>57.75</v>
      </c>
      <c r="O670" s="6" t="s">
        <v>56</v>
      </c>
      <c r="P670" s="8">
        <f>Table1[Quantity]*Table1[Unit_Price]</f>
        <v>172.7</v>
      </c>
      <c r="Q670" s="1">
        <f>Table1[Profit]/Table1[Total_Sales]</f>
        <v>0.33439490445859876</v>
      </c>
      <c r="R670" s="14">
        <f>Table1[Total_Sales]+Table1[Shipping_Cost]</f>
        <v>184.03</v>
      </c>
    </row>
    <row r="671" spans="1:18" x14ac:dyDescent="0.35">
      <c r="A671" s="3" t="s">
        <v>1376</v>
      </c>
      <c r="B671" s="2">
        <v>45291</v>
      </c>
      <c r="C671" s="1" t="s">
        <v>1377</v>
      </c>
      <c r="D671" s="1" t="s">
        <v>30</v>
      </c>
      <c r="E671" s="1" t="s">
        <v>135</v>
      </c>
      <c r="F671" s="1" t="s">
        <v>26</v>
      </c>
      <c r="G671" s="1" t="s">
        <v>42</v>
      </c>
      <c r="H671" s="1" t="s">
        <v>46</v>
      </c>
      <c r="I671" s="1">
        <v>1</v>
      </c>
      <c r="J671" s="1">
        <v>162.05000000000001</v>
      </c>
      <c r="K671" s="1">
        <v>5</v>
      </c>
      <c r="L671" s="1">
        <v>153.94999999999999</v>
      </c>
      <c r="M671" s="1">
        <v>9.3800000000000008</v>
      </c>
      <c r="N671" s="1">
        <v>47.34</v>
      </c>
      <c r="O671" s="6" t="s">
        <v>39</v>
      </c>
      <c r="P671" s="8">
        <f>Table1[Quantity]*Table1[Unit_Price]</f>
        <v>162.05000000000001</v>
      </c>
      <c r="Q671" s="1">
        <f>Table1[Profit]/Table1[Total_Sales]</f>
        <v>0.3075024358557974</v>
      </c>
      <c r="R671" s="14">
        <f>Table1[Total_Sales]+Table1[Shipping_Cost]</f>
        <v>163.32999999999998</v>
      </c>
    </row>
    <row r="672" spans="1:18" x14ac:dyDescent="0.35">
      <c r="A672" s="3" t="s">
        <v>1378</v>
      </c>
      <c r="B672" s="2">
        <v>45292</v>
      </c>
      <c r="C672" s="1" t="s">
        <v>1379</v>
      </c>
      <c r="D672" s="1" t="s">
        <v>49</v>
      </c>
      <c r="E672" s="1" t="s">
        <v>31</v>
      </c>
      <c r="F672" s="1" t="s">
        <v>19</v>
      </c>
      <c r="G672" s="1" t="s">
        <v>20</v>
      </c>
      <c r="H672" s="1" t="s">
        <v>122</v>
      </c>
      <c r="I672" s="1">
        <v>3</v>
      </c>
      <c r="J672" s="1">
        <v>135.75</v>
      </c>
      <c r="K672" s="1">
        <v>0</v>
      </c>
      <c r="L672" s="1">
        <v>407.25</v>
      </c>
      <c r="M672" s="1">
        <v>8.74</v>
      </c>
      <c r="N672" s="1">
        <v>174.52</v>
      </c>
      <c r="O672" s="6" t="s">
        <v>34</v>
      </c>
      <c r="P672" s="8">
        <f>Table1[Quantity]*Table1[Unit_Price]</f>
        <v>407.25</v>
      </c>
      <c r="Q672" s="1">
        <f>Table1[Profit]/Table1[Total_Sales]</f>
        <v>0.42853284223449972</v>
      </c>
      <c r="R672" s="14">
        <f>Table1[Total_Sales]+Table1[Shipping_Cost]</f>
        <v>415.99</v>
      </c>
    </row>
    <row r="673" spans="1:18" x14ac:dyDescent="0.35">
      <c r="A673" s="3" t="s">
        <v>1380</v>
      </c>
      <c r="B673" s="2">
        <v>45292</v>
      </c>
      <c r="C673" s="1" t="s">
        <v>1381</v>
      </c>
      <c r="D673" s="1" t="s">
        <v>30</v>
      </c>
      <c r="E673" s="1" t="s">
        <v>37</v>
      </c>
      <c r="F673" s="1" t="s">
        <v>26</v>
      </c>
      <c r="G673" s="1" t="s">
        <v>69</v>
      </c>
      <c r="H673" s="1" t="s">
        <v>163</v>
      </c>
      <c r="I673" s="1">
        <v>2</v>
      </c>
      <c r="J673" s="1">
        <v>50.45</v>
      </c>
      <c r="K673" s="1">
        <v>0</v>
      </c>
      <c r="L673" s="1">
        <v>100.9</v>
      </c>
      <c r="M673" s="1">
        <v>10.54</v>
      </c>
      <c r="N673" s="1">
        <v>39.909999999999997</v>
      </c>
      <c r="O673" s="6" t="s">
        <v>39</v>
      </c>
      <c r="P673" s="8">
        <f>Table1[Quantity]*Table1[Unit_Price]</f>
        <v>100.9</v>
      </c>
      <c r="Q673" s="1">
        <f>Table1[Profit]/Table1[Total_Sales]</f>
        <v>0.39554013875123878</v>
      </c>
      <c r="R673" s="14">
        <f>Table1[Total_Sales]+Table1[Shipping_Cost]</f>
        <v>111.44</v>
      </c>
    </row>
    <row r="674" spans="1:18" x14ac:dyDescent="0.35">
      <c r="A674" s="3" t="s">
        <v>1382</v>
      </c>
      <c r="B674" s="2">
        <v>45294</v>
      </c>
      <c r="C674" s="1" t="s">
        <v>500</v>
      </c>
      <c r="D674" s="1" t="s">
        <v>49</v>
      </c>
      <c r="E674" s="1" t="s">
        <v>129</v>
      </c>
      <c r="F674" s="1" t="s">
        <v>19</v>
      </c>
      <c r="G674" s="1" t="s">
        <v>32</v>
      </c>
      <c r="H674" s="1" t="s">
        <v>115</v>
      </c>
      <c r="I674" s="1">
        <v>11</v>
      </c>
      <c r="J674" s="1">
        <v>9.84</v>
      </c>
      <c r="K674" s="1">
        <v>10</v>
      </c>
      <c r="L674" s="1">
        <v>97.42</v>
      </c>
      <c r="M674" s="1">
        <v>25.84</v>
      </c>
      <c r="N674" s="1">
        <v>22.87</v>
      </c>
      <c r="O674" s="6" t="s">
        <v>34</v>
      </c>
      <c r="P674" s="8">
        <f>Table1[Quantity]*Table1[Unit_Price]</f>
        <v>108.24</v>
      </c>
      <c r="Q674" s="1">
        <f>Table1[Profit]/Table1[Total_Sales]</f>
        <v>0.23475672346540752</v>
      </c>
      <c r="R674" s="14">
        <f>Table1[Total_Sales]+Table1[Shipping_Cost]</f>
        <v>123.26</v>
      </c>
    </row>
    <row r="675" spans="1:18" x14ac:dyDescent="0.35">
      <c r="A675" s="3" t="s">
        <v>1383</v>
      </c>
      <c r="B675" s="2">
        <v>45295</v>
      </c>
      <c r="C675" s="1" t="s">
        <v>1384</v>
      </c>
      <c r="D675" s="1" t="s">
        <v>17</v>
      </c>
      <c r="E675" s="1" t="s">
        <v>67</v>
      </c>
      <c r="F675" s="1" t="s">
        <v>68</v>
      </c>
      <c r="G675" s="1" t="s">
        <v>42</v>
      </c>
      <c r="H675" s="1" t="s">
        <v>89</v>
      </c>
      <c r="I675" s="1">
        <v>1</v>
      </c>
      <c r="J675" s="1">
        <v>246.96</v>
      </c>
      <c r="K675" s="1">
        <v>10</v>
      </c>
      <c r="L675" s="1">
        <v>222.26</v>
      </c>
      <c r="M675" s="1">
        <v>10.51</v>
      </c>
      <c r="N675" s="1">
        <v>63.57</v>
      </c>
      <c r="O675" s="6" t="s">
        <v>39</v>
      </c>
      <c r="P675" s="8">
        <f>Table1[Quantity]*Table1[Unit_Price]</f>
        <v>246.96</v>
      </c>
      <c r="Q675" s="1">
        <f>Table1[Profit]/Table1[Total_Sales]</f>
        <v>0.28601637721587331</v>
      </c>
      <c r="R675" s="14">
        <f>Table1[Total_Sales]+Table1[Shipping_Cost]</f>
        <v>232.76999999999998</v>
      </c>
    </row>
    <row r="676" spans="1:18" x14ac:dyDescent="0.35">
      <c r="A676" s="3" t="s">
        <v>1385</v>
      </c>
      <c r="B676" s="2">
        <v>45295</v>
      </c>
      <c r="C676" s="1" t="s">
        <v>1386</v>
      </c>
      <c r="D676" s="1" t="s">
        <v>30</v>
      </c>
      <c r="E676" s="1" t="s">
        <v>76</v>
      </c>
      <c r="F676" s="1" t="s">
        <v>26</v>
      </c>
      <c r="G676" s="1" t="s">
        <v>32</v>
      </c>
      <c r="H676" s="1" t="s">
        <v>132</v>
      </c>
      <c r="I676" s="1">
        <v>2</v>
      </c>
      <c r="J676" s="1">
        <v>17.170000000000002</v>
      </c>
      <c r="K676" s="1">
        <v>5</v>
      </c>
      <c r="L676" s="1">
        <v>32.619999999999997</v>
      </c>
      <c r="M676" s="1">
        <v>10.14</v>
      </c>
      <c r="N676" s="1">
        <v>7.03</v>
      </c>
      <c r="O676" s="6" t="s">
        <v>56</v>
      </c>
      <c r="P676" s="8">
        <f>Table1[Quantity]*Table1[Unit_Price]</f>
        <v>34.340000000000003</v>
      </c>
      <c r="Q676" s="1">
        <f>Table1[Profit]/Table1[Total_Sales]</f>
        <v>0.21551195585530353</v>
      </c>
      <c r="R676" s="14">
        <f>Table1[Total_Sales]+Table1[Shipping_Cost]</f>
        <v>42.76</v>
      </c>
    </row>
    <row r="677" spans="1:18" x14ac:dyDescent="0.35">
      <c r="A677" s="3" t="s">
        <v>1387</v>
      </c>
      <c r="B677" s="2">
        <v>45295</v>
      </c>
      <c r="C677" s="1" t="s">
        <v>1388</v>
      </c>
      <c r="D677" s="1" t="s">
        <v>30</v>
      </c>
      <c r="E677" s="1" t="s">
        <v>37</v>
      </c>
      <c r="F677" s="1" t="s">
        <v>26</v>
      </c>
      <c r="G677" s="1" t="s">
        <v>32</v>
      </c>
      <c r="H677" s="1" t="s">
        <v>132</v>
      </c>
      <c r="I677" s="1">
        <v>1</v>
      </c>
      <c r="J677" s="1">
        <v>11.89</v>
      </c>
      <c r="K677" s="1">
        <v>0</v>
      </c>
      <c r="L677" s="1">
        <v>11.89</v>
      </c>
      <c r="M677" s="1">
        <v>7.53</v>
      </c>
      <c r="N677" s="1">
        <v>-0.99</v>
      </c>
      <c r="O677" s="6" t="s">
        <v>56</v>
      </c>
      <c r="P677" s="8">
        <f>Table1[Quantity]*Table1[Unit_Price]</f>
        <v>11.89</v>
      </c>
      <c r="Q677" s="1">
        <f>Table1[Profit]/Table1[Total_Sales]</f>
        <v>-8.3263246425567705E-2</v>
      </c>
      <c r="R677" s="14">
        <f>Table1[Total_Sales]+Table1[Shipping_Cost]</f>
        <v>19.420000000000002</v>
      </c>
    </row>
    <row r="678" spans="1:18" x14ac:dyDescent="0.35">
      <c r="A678" s="3" t="s">
        <v>1389</v>
      </c>
      <c r="B678" s="2">
        <v>45297</v>
      </c>
      <c r="C678" s="1" t="s">
        <v>1390</v>
      </c>
      <c r="D678" s="1" t="s">
        <v>17</v>
      </c>
      <c r="E678" s="1" t="s">
        <v>169</v>
      </c>
      <c r="F678" s="1" t="s">
        <v>68</v>
      </c>
      <c r="G678" s="1" t="s">
        <v>32</v>
      </c>
      <c r="H678" s="1" t="s">
        <v>50</v>
      </c>
      <c r="I678" s="1">
        <v>5</v>
      </c>
      <c r="J678" s="1">
        <v>17.43</v>
      </c>
      <c r="K678" s="1">
        <v>0</v>
      </c>
      <c r="L678" s="1">
        <v>87.15</v>
      </c>
      <c r="M678" s="1">
        <v>13.79</v>
      </c>
      <c r="N678" s="1">
        <v>34.14</v>
      </c>
      <c r="O678" s="6" t="s">
        <v>34</v>
      </c>
      <c r="P678" s="8">
        <f>Table1[Quantity]*Table1[Unit_Price]</f>
        <v>87.15</v>
      </c>
      <c r="Q678" s="1">
        <f>Table1[Profit]/Table1[Total_Sales]</f>
        <v>0.39173838209982786</v>
      </c>
      <c r="R678" s="14">
        <f>Table1[Total_Sales]+Table1[Shipping_Cost]</f>
        <v>100.94</v>
      </c>
    </row>
    <row r="679" spans="1:18" x14ac:dyDescent="0.35">
      <c r="A679" s="3" t="s">
        <v>1391</v>
      </c>
      <c r="B679" s="2">
        <v>45298</v>
      </c>
      <c r="C679" s="1" t="s">
        <v>1392</v>
      </c>
      <c r="D679" s="1" t="s">
        <v>30</v>
      </c>
      <c r="E679" s="1" t="s">
        <v>37</v>
      </c>
      <c r="F679" s="1" t="s">
        <v>26</v>
      </c>
      <c r="G679" s="1" t="s">
        <v>69</v>
      </c>
      <c r="H679" s="1" t="s">
        <v>243</v>
      </c>
      <c r="I679" s="1">
        <v>3</v>
      </c>
      <c r="J679" s="1">
        <v>22.55</v>
      </c>
      <c r="K679" s="1">
        <v>10</v>
      </c>
      <c r="L679" s="1">
        <v>60.89</v>
      </c>
      <c r="M679" s="1">
        <v>12.39</v>
      </c>
      <c r="N679" s="1">
        <v>14.67</v>
      </c>
      <c r="O679" s="6" t="s">
        <v>34</v>
      </c>
      <c r="P679" s="8">
        <f>Table1[Quantity]*Table1[Unit_Price]</f>
        <v>67.650000000000006</v>
      </c>
      <c r="Q679" s="1">
        <f>Table1[Profit]/Table1[Total_Sales]</f>
        <v>0.24092626046969945</v>
      </c>
      <c r="R679" s="14">
        <f>Table1[Total_Sales]+Table1[Shipping_Cost]</f>
        <v>73.28</v>
      </c>
    </row>
    <row r="680" spans="1:18" x14ac:dyDescent="0.35">
      <c r="A680" s="3" t="s">
        <v>1393</v>
      </c>
      <c r="B680" s="2">
        <v>45299</v>
      </c>
      <c r="C680" s="1" t="s">
        <v>1394</v>
      </c>
      <c r="D680" s="1" t="s">
        <v>30</v>
      </c>
      <c r="E680" s="1" t="s">
        <v>31</v>
      </c>
      <c r="F680" s="1" t="s">
        <v>19</v>
      </c>
      <c r="G680" s="1" t="s">
        <v>42</v>
      </c>
      <c r="H680" s="1" t="s">
        <v>46</v>
      </c>
      <c r="I680" s="1">
        <v>2</v>
      </c>
      <c r="J680" s="1">
        <v>161.38999999999999</v>
      </c>
      <c r="K680" s="1">
        <v>5</v>
      </c>
      <c r="L680" s="1">
        <v>306.64</v>
      </c>
      <c r="M680" s="1">
        <v>8.36</v>
      </c>
      <c r="N680" s="1">
        <v>104.61</v>
      </c>
      <c r="O680" s="6" t="s">
        <v>34</v>
      </c>
      <c r="P680" s="8">
        <f>Table1[Quantity]*Table1[Unit_Price]</f>
        <v>322.77999999999997</v>
      </c>
      <c r="Q680" s="1">
        <f>Table1[Profit]/Table1[Total_Sales]</f>
        <v>0.3411492303678581</v>
      </c>
      <c r="R680" s="14">
        <f>Table1[Total_Sales]+Table1[Shipping_Cost]</f>
        <v>315</v>
      </c>
    </row>
    <row r="681" spans="1:18" x14ac:dyDescent="0.35">
      <c r="A681" s="3" t="s">
        <v>1395</v>
      </c>
      <c r="B681" s="2">
        <v>45299</v>
      </c>
      <c r="C681" s="1" t="s">
        <v>1396</v>
      </c>
      <c r="D681" s="1" t="s">
        <v>30</v>
      </c>
      <c r="E681" s="1" t="s">
        <v>129</v>
      </c>
      <c r="F681" s="1" t="s">
        <v>19</v>
      </c>
      <c r="G681" s="1" t="s">
        <v>20</v>
      </c>
      <c r="H681" s="1" t="s">
        <v>175</v>
      </c>
      <c r="I681" s="1">
        <v>1</v>
      </c>
      <c r="J681" s="1">
        <v>47.57</v>
      </c>
      <c r="K681" s="1">
        <v>0</v>
      </c>
      <c r="L681" s="1">
        <v>47.57</v>
      </c>
      <c r="M681" s="1">
        <v>5.87</v>
      </c>
      <c r="N681" s="1">
        <v>15.54</v>
      </c>
      <c r="O681" s="6" t="s">
        <v>56</v>
      </c>
      <c r="P681" s="8">
        <f>Table1[Quantity]*Table1[Unit_Price]</f>
        <v>47.57</v>
      </c>
      <c r="Q681" s="1">
        <f>Table1[Profit]/Table1[Total_Sales]</f>
        <v>0.3266764767710742</v>
      </c>
      <c r="R681" s="14">
        <f>Table1[Total_Sales]+Table1[Shipping_Cost]</f>
        <v>53.44</v>
      </c>
    </row>
    <row r="682" spans="1:18" x14ac:dyDescent="0.35">
      <c r="A682" s="3" t="s">
        <v>1397</v>
      </c>
      <c r="B682" s="2">
        <v>45299</v>
      </c>
      <c r="C682" s="1" t="s">
        <v>532</v>
      </c>
      <c r="D682" s="1" t="s">
        <v>30</v>
      </c>
      <c r="E682" s="1" t="s">
        <v>18</v>
      </c>
      <c r="F682" s="1" t="s">
        <v>19</v>
      </c>
      <c r="G682" s="1" t="s">
        <v>42</v>
      </c>
      <c r="H682" s="1" t="s">
        <v>89</v>
      </c>
      <c r="I682" s="1">
        <v>4</v>
      </c>
      <c r="J682" s="1">
        <v>259.86</v>
      </c>
      <c r="K682" s="1">
        <v>5</v>
      </c>
      <c r="L682" s="1">
        <v>987.47</v>
      </c>
      <c r="M682" s="1">
        <v>13.35</v>
      </c>
      <c r="N682" s="1">
        <v>350.46</v>
      </c>
      <c r="O682" s="6" t="s">
        <v>34</v>
      </c>
      <c r="P682" s="8">
        <f>Table1[Quantity]*Table1[Unit_Price]</f>
        <v>1039.44</v>
      </c>
      <c r="Q682" s="1">
        <f>Table1[Profit]/Table1[Total_Sales]</f>
        <v>0.35490698451598529</v>
      </c>
      <c r="R682" s="14">
        <f>Table1[Total_Sales]+Table1[Shipping_Cost]</f>
        <v>1000.82</v>
      </c>
    </row>
    <row r="683" spans="1:18" x14ac:dyDescent="0.35">
      <c r="A683" s="3" t="s">
        <v>1398</v>
      </c>
      <c r="B683" s="2">
        <v>45300</v>
      </c>
      <c r="C683" s="1" t="s">
        <v>296</v>
      </c>
      <c r="D683" s="1" t="s">
        <v>17</v>
      </c>
      <c r="E683" s="1" t="s">
        <v>67</v>
      </c>
      <c r="F683" s="1" t="s">
        <v>68</v>
      </c>
      <c r="G683" s="1" t="s">
        <v>69</v>
      </c>
      <c r="H683" s="1" t="s">
        <v>196</v>
      </c>
      <c r="I683" s="1">
        <v>6</v>
      </c>
      <c r="J683" s="1">
        <v>12.29</v>
      </c>
      <c r="K683" s="1">
        <v>5</v>
      </c>
      <c r="L683" s="1">
        <v>70.05</v>
      </c>
      <c r="M683" s="1">
        <v>13.2</v>
      </c>
      <c r="N683" s="1">
        <v>19.98</v>
      </c>
      <c r="O683" s="6" t="s">
        <v>56</v>
      </c>
      <c r="P683" s="8">
        <f>Table1[Quantity]*Table1[Unit_Price]</f>
        <v>73.739999999999995</v>
      </c>
      <c r="Q683" s="1">
        <f>Table1[Profit]/Table1[Total_Sales]</f>
        <v>0.28522483940042831</v>
      </c>
      <c r="R683" s="14">
        <f>Table1[Total_Sales]+Table1[Shipping_Cost]</f>
        <v>83.25</v>
      </c>
    </row>
    <row r="684" spans="1:18" x14ac:dyDescent="0.35">
      <c r="A684" s="3" t="s">
        <v>1399</v>
      </c>
      <c r="B684" s="2">
        <v>45300</v>
      </c>
      <c r="C684" s="1" t="s">
        <v>1400</v>
      </c>
      <c r="D684" s="1" t="s">
        <v>49</v>
      </c>
      <c r="E684" s="1" t="s">
        <v>31</v>
      </c>
      <c r="F684" s="1" t="s">
        <v>19</v>
      </c>
      <c r="G684" s="1" t="s">
        <v>42</v>
      </c>
      <c r="H684" s="1" t="s">
        <v>93</v>
      </c>
      <c r="I684" s="1">
        <v>3</v>
      </c>
      <c r="J684" s="1">
        <v>192.53</v>
      </c>
      <c r="K684" s="1">
        <v>0</v>
      </c>
      <c r="L684" s="1">
        <v>577.59</v>
      </c>
      <c r="M684" s="1">
        <v>10.09</v>
      </c>
      <c r="N684" s="1">
        <v>220.95</v>
      </c>
      <c r="O684" s="6" t="s">
        <v>34</v>
      </c>
      <c r="P684" s="8">
        <f>Table1[Quantity]*Table1[Unit_Price]</f>
        <v>577.59</v>
      </c>
      <c r="Q684" s="1">
        <f>Table1[Profit]/Table1[Total_Sales]</f>
        <v>0.38253778631901519</v>
      </c>
      <c r="R684" s="14">
        <f>Table1[Total_Sales]+Table1[Shipping_Cost]</f>
        <v>587.68000000000006</v>
      </c>
    </row>
    <row r="685" spans="1:18" x14ac:dyDescent="0.35">
      <c r="A685" s="3" t="s">
        <v>1401</v>
      </c>
      <c r="B685" s="2">
        <v>45301</v>
      </c>
      <c r="C685" s="1" t="s">
        <v>1402</v>
      </c>
      <c r="D685" s="1" t="s">
        <v>17</v>
      </c>
      <c r="E685" s="1" t="s">
        <v>129</v>
      </c>
      <c r="F685" s="1" t="s">
        <v>19</v>
      </c>
      <c r="G685" s="1" t="s">
        <v>32</v>
      </c>
      <c r="H685" s="1" t="s">
        <v>110</v>
      </c>
      <c r="I685" s="1">
        <v>4</v>
      </c>
      <c r="J685" s="1">
        <v>6.51</v>
      </c>
      <c r="K685" s="1">
        <v>5</v>
      </c>
      <c r="L685" s="1">
        <v>24.74</v>
      </c>
      <c r="M685" s="1">
        <v>14.84</v>
      </c>
      <c r="N685" s="1">
        <v>-1.82</v>
      </c>
      <c r="O685" s="6" t="s">
        <v>34</v>
      </c>
      <c r="P685" s="8">
        <f>Table1[Quantity]*Table1[Unit_Price]</f>
        <v>26.04</v>
      </c>
      <c r="Q685" s="1">
        <f>Table1[Profit]/Table1[Total_Sales]</f>
        <v>-7.3565076798706552E-2</v>
      </c>
      <c r="R685" s="14">
        <f>Table1[Total_Sales]+Table1[Shipping_Cost]</f>
        <v>39.58</v>
      </c>
    </row>
    <row r="686" spans="1:18" x14ac:dyDescent="0.35">
      <c r="A686" s="3" t="s">
        <v>1403</v>
      </c>
      <c r="B686" s="2">
        <v>45301</v>
      </c>
      <c r="C686" s="1" t="s">
        <v>1404</v>
      </c>
      <c r="D686" s="1" t="s">
        <v>30</v>
      </c>
      <c r="E686" s="1" t="s">
        <v>25</v>
      </c>
      <c r="F686" s="1" t="s">
        <v>26</v>
      </c>
      <c r="G686" s="1" t="s">
        <v>20</v>
      </c>
      <c r="H686" s="1" t="s">
        <v>264</v>
      </c>
      <c r="I686" s="1">
        <v>1</v>
      </c>
      <c r="J686" s="1">
        <v>32.020000000000003</v>
      </c>
      <c r="K686" s="1">
        <v>5</v>
      </c>
      <c r="L686" s="1">
        <v>30.42</v>
      </c>
      <c r="M686" s="1">
        <v>8.2799999999999994</v>
      </c>
      <c r="N686" s="1">
        <v>4.53</v>
      </c>
      <c r="O686" s="6" t="s">
        <v>22</v>
      </c>
      <c r="P686" s="8">
        <f>Table1[Quantity]*Table1[Unit_Price]</f>
        <v>32.020000000000003</v>
      </c>
      <c r="Q686" s="1">
        <f>Table1[Profit]/Table1[Total_Sales]</f>
        <v>0.14891518737672585</v>
      </c>
      <c r="R686" s="14">
        <f>Table1[Total_Sales]+Table1[Shipping_Cost]</f>
        <v>38.700000000000003</v>
      </c>
    </row>
    <row r="687" spans="1:18" x14ac:dyDescent="0.35">
      <c r="A687" s="3" t="s">
        <v>1405</v>
      </c>
      <c r="B687" s="2">
        <v>45301</v>
      </c>
      <c r="C687" s="1" t="s">
        <v>1406</v>
      </c>
      <c r="D687" s="1" t="s">
        <v>49</v>
      </c>
      <c r="E687" s="1" t="s">
        <v>31</v>
      </c>
      <c r="F687" s="1" t="s">
        <v>19</v>
      </c>
      <c r="G687" s="1" t="s">
        <v>20</v>
      </c>
      <c r="H687" s="1" t="s">
        <v>21</v>
      </c>
      <c r="I687" s="1">
        <v>2</v>
      </c>
      <c r="J687" s="1">
        <v>155.87</v>
      </c>
      <c r="K687" s="1">
        <v>15</v>
      </c>
      <c r="L687" s="1">
        <v>264.98</v>
      </c>
      <c r="M687" s="1">
        <v>6.43</v>
      </c>
      <c r="N687" s="1">
        <v>87.09</v>
      </c>
      <c r="O687" s="6" t="s">
        <v>39</v>
      </c>
      <c r="P687" s="8">
        <f>Table1[Quantity]*Table1[Unit_Price]</f>
        <v>311.74</v>
      </c>
      <c r="Q687" s="1">
        <f>Table1[Profit]/Table1[Total_Sales]</f>
        <v>0.32866631443882555</v>
      </c>
      <c r="R687" s="14">
        <f>Table1[Total_Sales]+Table1[Shipping_Cost]</f>
        <v>271.41000000000003</v>
      </c>
    </row>
    <row r="688" spans="1:18" x14ac:dyDescent="0.35">
      <c r="A688" s="3" t="s">
        <v>1407</v>
      </c>
      <c r="B688" s="2">
        <v>45302</v>
      </c>
      <c r="C688" s="1" t="s">
        <v>1408</v>
      </c>
      <c r="D688" s="1" t="s">
        <v>49</v>
      </c>
      <c r="E688" s="1" t="s">
        <v>59</v>
      </c>
      <c r="F688" s="1" t="s">
        <v>60</v>
      </c>
      <c r="G688" s="1" t="s">
        <v>20</v>
      </c>
      <c r="H688" s="1" t="s">
        <v>264</v>
      </c>
      <c r="I688" s="1">
        <v>5</v>
      </c>
      <c r="J688" s="1">
        <v>62.1</v>
      </c>
      <c r="K688" s="1">
        <v>0</v>
      </c>
      <c r="L688" s="1">
        <v>310.5</v>
      </c>
      <c r="M688" s="1">
        <v>11.64</v>
      </c>
      <c r="N688" s="1">
        <v>128.08000000000001</v>
      </c>
      <c r="O688" s="6" t="s">
        <v>56</v>
      </c>
      <c r="P688" s="8">
        <f>Table1[Quantity]*Table1[Unit_Price]</f>
        <v>310.5</v>
      </c>
      <c r="Q688" s="1">
        <f>Table1[Profit]/Table1[Total_Sales]</f>
        <v>0.4124959742351047</v>
      </c>
      <c r="R688" s="14">
        <f>Table1[Total_Sales]+Table1[Shipping_Cost]</f>
        <v>322.14</v>
      </c>
    </row>
    <row r="689" spans="1:18" x14ac:dyDescent="0.35">
      <c r="A689" s="3" t="s">
        <v>1409</v>
      </c>
      <c r="B689" s="2">
        <v>45304</v>
      </c>
      <c r="C689" s="1" t="s">
        <v>1410</v>
      </c>
      <c r="D689" s="1" t="s">
        <v>17</v>
      </c>
      <c r="E689" s="1" t="s">
        <v>248</v>
      </c>
      <c r="F689" s="1" t="s">
        <v>26</v>
      </c>
      <c r="G689" s="1" t="s">
        <v>32</v>
      </c>
      <c r="H689" s="1" t="s">
        <v>101</v>
      </c>
      <c r="I689" s="1">
        <v>1</v>
      </c>
      <c r="J689" s="1">
        <v>21.65</v>
      </c>
      <c r="K689" s="1">
        <v>10</v>
      </c>
      <c r="L689" s="1">
        <v>19.48</v>
      </c>
      <c r="M689" s="1">
        <v>9.4499999999999993</v>
      </c>
      <c r="N689" s="1">
        <v>0.28999999999999998</v>
      </c>
      <c r="O689" s="6" t="s">
        <v>39</v>
      </c>
      <c r="P689" s="8">
        <f>Table1[Quantity]*Table1[Unit_Price]</f>
        <v>21.65</v>
      </c>
      <c r="Q689" s="1">
        <f>Table1[Profit]/Table1[Total_Sales]</f>
        <v>1.4887063655030799E-2</v>
      </c>
      <c r="R689" s="14">
        <f>Table1[Total_Sales]+Table1[Shipping_Cost]</f>
        <v>28.93</v>
      </c>
    </row>
    <row r="690" spans="1:18" x14ac:dyDescent="0.35">
      <c r="A690" s="3" t="s">
        <v>1411</v>
      </c>
      <c r="B690" s="2">
        <v>45304</v>
      </c>
      <c r="C690" s="1" t="s">
        <v>641</v>
      </c>
      <c r="D690" s="1" t="s">
        <v>49</v>
      </c>
      <c r="E690" s="1" t="s">
        <v>67</v>
      </c>
      <c r="F690" s="1" t="s">
        <v>68</v>
      </c>
      <c r="G690" s="1" t="s">
        <v>69</v>
      </c>
      <c r="H690" s="1" t="s">
        <v>305</v>
      </c>
      <c r="I690" s="1">
        <v>1</v>
      </c>
      <c r="J690" s="1">
        <v>21.54</v>
      </c>
      <c r="K690" s="1">
        <v>15</v>
      </c>
      <c r="L690" s="1">
        <v>18.309999999999999</v>
      </c>
      <c r="M690" s="1">
        <v>12.49</v>
      </c>
      <c r="N690" s="1">
        <v>-4.95</v>
      </c>
      <c r="O690" s="6" t="s">
        <v>34</v>
      </c>
      <c r="P690" s="8">
        <f>Table1[Quantity]*Table1[Unit_Price]</f>
        <v>21.54</v>
      </c>
      <c r="Q690" s="1">
        <f>Table1[Profit]/Table1[Total_Sales]</f>
        <v>-0.27034407427635176</v>
      </c>
      <c r="R690" s="14">
        <f>Table1[Total_Sales]+Table1[Shipping_Cost]</f>
        <v>30.799999999999997</v>
      </c>
    </row>
    <row r="691" spans="1:18" x14ac:dyDescent="0.35">
      <c r="A691" s="3" t="s">
        <v>1412</v>
      </c>
      <c r="B691" s="2">
        <v>45304</v>
      </c>
      <c r="C691" s="1" t="s">
        <v>1413</v>
      </c>
      <c r="D691" s="1" t="s">
        <v>49</v>
      </c>
      <c r="E691" s="1" t="s">
        <v>138</v>
      </c>
      <c r="F691" s="1" t="s">
        <v>54</v>
      </c>
      <c r="G691" s="1" t="s">
        <v>20</v>
      </c>
      <c r="H691" s="1" t="s">
        <v>122</v>
      </c>
      <c r="I691" s="1">
        <v>2</v>
      </c>
      <c r="J691" s="1">
        <v>75.67</v>
      </c>
      <c r="K691" s="1">
        <v>0</v>
      </c>
      <c r="L691" s="1">
        <v>151.34</v>
      </c>
      <c r="M691" s="1">
        <v>12.13</v>
      </c>
      <c r="N691" s="1">
        <v>55.97</v>
      </c>
      <c r="O691" s="6" t="s">
        <v>34</v>
      </c>
      <c r="P691" s="8">
        <f>Table1[Quantity]*Table1[Unit_Price]</f>
        <v>151.34</v>
      </c>
      <c r="Q691" s="1">
        <f>Table1[Profit]/Table1[Total_Sales]</f>
        <v>0.36982952292850535</v>
      </c>
      <c r="R691" s="14">
        <f>Table1[Total_Sales]+Table1[Shipping_Cost]</f>
        <v>163.47</v>
      </c>
    </row>
    <row r="692" spans="1:18" x14ac:dyDescent="0.35">
      <c r="A692" s="3" t="s">
        <v>1414</v>
      </c>
      <c r="B692" s="2">
        <v>45304</v>
      </c>
      <c r="C692" s="1" t="s">
        <v>1415</v>
      </c>
      <c r="D692" s="1" t="s">
        <v>30</v>
      </c>
      <c r="E692" s="1" t="s">
        <v>31</v>
      </c>
      <c r="F692" s="1" t="s">
        <v>19</v>
      </c>
      <c r="G692" s="1" t="s">
        <v>69</v>
      </c>
      <c r="H692" s="1" t="s">
        <v>163</v>
      </c>
      <c r="I692" s="1">
        <v>6</v>
      </c>
      <c r="J692" s="1">
        <v>51.47</v>
      </c>
      <c r="K692" s="1">
        <v>20</v>
      </c>
      <c r="L692" s="1">
        <v>247.06</v>
      </c>
      <c r="M692" s="1">
        <v>17.98</v>
      </c>
      <c r="N692" s="1">
        <v>74.67</v>
      </c>
      <c r="O692" s="6" t="s">
        <v>56</v>
      </c>
      <c r="P692" s="8">
        <f>Table1[Quantity]*Table1[Unit_Price]</f>
        <v>308.82</v>
      </c>
      <c r="Q692" s="1">
        <f>Table1[Profit]/Table1[Total_Sales]</f>
        <v>0.3022342750748806</v>
      </c>
      <c r="R692" s="14">
        <f>Table1[Total_Sales]+Table1[Shipping_Cost]</f>
        <v>265.04000000000002</v>
      </c>
    </row>
    <row r="693" spans="1:18" x14ac:dyDescent="0.35">
      <c r="A693" s="3" t="s">
        <v>1416</v>
      </c>
      <c r="B693" s="2">
        <v>45305</v>
      </c>
      <c r="C693" s="1" t="s">
        <v>1417</v>
      </c>
      <c r="D693" s="1" t="s">
        <v>30</v>
      </c>
      <c r="E693" s="1" t="s">
        <v>76</v>
      </c>
      <c r="F693" s="1" t="s">
        <v>26</v>
      </c>
      <c r="G693" s="1" t="s">
        <v>42</v>
      </c>
      <c r="H693" s="1" t="s">
        <v>371</v>
      </c>
      <c r="I693" s="1">
        <v>2</v>
      </c>
      <c r="J693" s="1">
        <v>81.16</v>
      </c>
      <c r="K693" s="1">
        <v>5</v>
      </c>
      <c r="L693" s="1">
        <v>154.19999999999999</v>
      </c>
      <c r="M693" s="1">
        <v>9.07</v>
      </c>
      <c r="N693" s="1">
        <v>47.74</v>
      </c>
      <c r="O693" s="6" t="s">
        <v>34</v>
      </c>
      <c r="P693" s="8">
        <f>Table1[Quantity]*Table1[Unit_Price]</f>
        <v>162.32</v>
      </c>
      <c r="Q693" s="1">
        <f>Table1[Profit]/Table1[Total_Sales]</f>
        <v>0.30959792477302206</v>
      </c>
      <c r="R693" s="14">
        <f>Table1[Total_Sales]+Table1[Shipping_Cost]</f>
        <v>163.26999999999998</v>
      </c>
    </row>
    <row r="694" spans="1:18" x14ac:dyDescent="0.35">
      <c r="A694" s="3" t="s">
        <v>1418</v>
      </c>
      <c r="B694" s="2">
        <v>45305</v>
      </c>
      <c r="C694" s="1" t="s">
        <v>1419</v>
      </c>
      <c r="D694" s="1" t="s">
        <v>30</v>
      </c>
      <c r="E694" s="1" t="s">
        <v>148</v>
      </c>
      <c r="F694" s="1" t="s">
        <v>60</v>
      </c>
      <c r="G694" s="1" t="s">
        <v>32</v>
      </c>
      <c r="H694" s="1" t="s">
        <v>33</v>
      </c>
      <c r="I694" s="1">
        <v>3</v>
      </c>
      <c r="J694" s="1">
        <v>11.12</v>
      </c>
      <c r="K694" s="1">
        <v>15</v>
      </c>
      <c r="L694" s="1">
        <v>28.36</v>
      </c>
      <c r="M694" s="1">
        <v>13.43</v>
      </c>
      <c r="N694" s="1">
        <v>-0.08</v>
      </c>
      <c r="O694" s="6" t="s">
        <v>39</v>
      </c>
      <c r="P694" s="8">
        <f>Table1[Quantity]*Table1[Unit_Price]</f>
        <v>33.36</v>
      </c>
      <c r="Q694" s="1">
        <f>Table1[Profit]/Table1[Total_Sales]</f>
        <v>-2.8208744710860366E-3</v>
      </c>
      <c r="R694" s="14">
        <f>Table1[Total_Sales]+Table1[Shipping_Cost]</f>
        <v>41.79</v>
      </c>
    </row>
    <row r="695" spans="1:18" x14ac:dyDescent="0.35">
      <c r="A695" s="3" t="s">
        <v>1420</v>
      </c>
      <c r="B695" s="2">
        <v>45307</v>
      </c>
      <c r="C695" s="1" t="s">
        <v>238</v>
      </c>
      <c r="D695" s="1" t="s">
        <v>49</v>
      </c>
      <c r="E695" s="1" t="s">
        <v>18</v>
      </c>
      <c r="F695" s="1" t="s">
        <v>19</v>
      </c>
      <c r="G695" s="1" t="s">
        <v>32</v>
      </c>
      <c r="H695" s="1" t="s">
        <v>50</v>
      </c>
      <c r="I695" s="1">
        <v>5</v>
      </c>
      <c r="J695" s="1">
        <v>21.03</v>
      </c>
      <c r="K695" s="1">
        <v>0</v>
      </c>
      <c r="L695" s="1">
        <v>105.15</v>
      </c>
      <c r="M695" s="1">
        <v>11.25</v>
      </c>
      <c r="N695" s="1">
        <v>46.58</v>
      </c>
      <c r="O695" s="6" t="s">
        <v>34</v>
      </c>
      <c r="P695" s="8">
        <f>Table1[Quantity]*Table1[Unit_Price]</f>
        <v>105.15</v>
      </c>
      <c r="Q695" s="1">
        <f>Table1[Profit]/Table1[Total_Sales]</f>
        <v>0.44298621017593909</v>
      </c>
      <c r="R695" s="14">
        <f>Table1[Total_Sales]+Table1[Shipping_Cost]</f>
        <v>116.4</v>
      </c>
    </row>
    <row r="696" spans="1:18" x14ac:dyDescent="0.35">
      <c r="A696" s="3" t="s">
        <v>1421</v>
      </c>
      <c r="B696" s="2">
        <v>45307</v>
      </c>
      <c r="C696" s="1" t="s">
        <v>229</v>
      </c>
      <c r="D696" s="1" t="s">
        <v>30</v>
      </c>
      <c r="E696" s="1" t="s">
        <v>138</v>
      </c>
      <c r="F696" s="1" t="s">
        <v>54</v>
      </c>
      <c r="G696" s="1" t="s">
        <v>42</v>
      </c>
      <c r="H696" s="1" t="s">
        <v>118</v>
      </c>
      <c r="I696" s="1">
        <v>7</v>
      </c>
      <c r="J696" s="1">
        <v>34.67</v>
      </c>
      <c r="K696" s="1">
        <v>10</v>
      </c>
      <c r="L696" s="1">
        <v>218.42</v>
      </c>
      <c r="M696" s="1">
        <v>22.52</v>
      </c>
      <c r="N696" s="1">
        <v>50.29</v>
      </c>
      <c r="O696" s="6" t="s">
        <v>56</v>
      </c>
      <c r="P696" s="8">
        <f>Table1[Quantity]*Table1[Unit_Price]</f>
        <v>242.69</v>
      </c>
      <c r="Q696" s="1">
        <f>Table1[Profit]/Table1[Total_Sales]</f>
        <v>0.2302444831059427</v>
      </c>
      <c r="R696" s="14">
        <f>Table1[Total_Sales]+Table1[Shipping_Cost]</f>
        <v>240.94</v>
      </c>
    </row>
    <row r="697" spans="1:18" x14ac:dyDescent="0.35">
      <c r="A697" s="3" t="s">
        <v>1422</v>
      </c>
      <c r="B697" s="2">
        <v>45308</v>
      </c>
      <c r="C697" s="1" t="s">
        <v>1423</v>
      </c>
      <c r="D697" s="1" t="s">
        <v>49</v>
      </c>
      <c r="E697" s="1" t="s">
        <v>31</v>
      </c>
      <c r="F697" s="1" t="s">
        <v>19</v>
      </c>
      <c r="G697" s="1" t="s">
        <v>32</v>
      </c>
      <c r="H697" s="1" t="s">
        <v>348</v>
      </c>
      <c r="I697" s="1">
        <v>2</v>
      </c>
      <c r="J697" s="1">
        <v>11.84</v>
      </c>
      <c r="K697" s="1">
        <v>10</v>
      </c>
      <c r="L697" s="1">
        <v>21.31</v>
      </c>
      <c r="M697" s="1">
        <v>9.8699999999999992</v>
      </c>
      <c r="N697" s="1">
        <v>0.78</v>
      </c>
      <c r="O697" s="6" t="s">
        <v>34</v>
      </c>
      <c r="P697" s="8">
        <f>Table1[Quantity]*Table1[Unit_Price]</f>
        <v>23.68</v>
      </c>
      <c r="Q697" s="1">
        <f>Table1[Profit]/Table1[Total_Sales]</f>
        <v>3.6602534021586114E-2</v>
      </c>
      <c r="R697" s="14">
        <f>Table1[Total_Sales]+Table1[Shipping_Cost]</f>
        <v>31.18</v>
      </c>
    </row>
    <row r="698" spans="1:18" x14ac:dyDescent="0.35">
      <c r="A698" s="3" t="s">
        <v>1424</v>
      </c>
      <c r="B698" s="2">
        <v>45308</v>
      </c>
      <c r="C698" s="1" t="s">
        <v>291</v>
      </c>
      <c r="D698" s="1" t="s">
        <v>30</v>
      </c>
      <c r="E698" s="1" t="s">
        <v>85</v>
      </c>
      <c r="F698" s="1" t="s">
        <v>60</v>
      </c>
      <c r="G698" s="1" t="s">
        <v>20</v>
      </c>
      <c r="H698" s="1" t="s">
        <v>106</v>
      </c>
      <c r="I698" s="1">
        <v>4</v>
      </c>
      <c r="J698" s="1">
        <v>27.55</v>
      </c>
      <c r="K698" s="1">
        <v>20</v>
      </c>
      <c r="L698" s="1">
        <v>88.16</v>
      </c>
      <c r="M698" s="1">
        <v>14.39</v>
      </c>
      <c r="N698" s="1">
        <v>13.16</v>
      </c>
      <c r="O698" s="6" t="s">
        <v>56</v>
      </c>
      <c r="P698" s="8">
        <f>Table1[Quantity]*Table1[Unit_Price]</f>
        <v>110.2</v>
      </c>
      <c r="Q698" s="1">
        <f>Table1[Profit]/Table1[Total_Sales]</f>
        <v>0.14927404718693285</v>
      </c>
      <c r="R698" s="14">
        <f>Table1[Total_Sales]+Table1[Shipping_Cost]</f>
        <v>102.55</v>
      </c>
    </row>
    <row r="699" spans="1:18" x14ac:dyDescent="0.35">
      <c r="A699" s="3" t="s">
        <v>1425</v>
      </c>
      <c r="B699" s="2">
        <v>45309</v>
      </c>
      <c r="C699" s="1" t="s">
        <v>835</v>
      </c>
      <c r="D699" s="1" t="s">
        <v>30</v>
      </c>
      <c r="E699" s="1" t="s">
        <v>148</v>
      </c>
      <c r="F699" s="1" t="s">
        <v>60</v>
      </c>
      <c r="G699" s="1" t="s">
        <v>32</v>
      </c>
      <c r="H699" s="1" t="s">
        <v>73</v>
      </c>
      <c r="I699" s="1">
        <v>1</v>
      </c>
      <c r="J699" s="1">
        <v>9.9600000000000009</v>
      </c>
      <c r="K699" s="1">
        <v>15</v>
      </c>
      <c r="L699" s="1">
        <v>8.4700000000000006</v>
      </c>
      <c r="M699" s="1">
        <v>9.9</v>
      </c>
      <c r="N699" s="1">
        <v>-5.91</v>
      </c>
      <c r="O699" s="6" t="s">
        <v>56</v>
      </c>
      <c r="P699" s="8">
        <f>Table1[Quantity]*Table1[Unit_Price]</f>
        <v>9.9600000000000009</v>
      </c>
      <c r="Q699" s="1">
        <f>Table1[Profit]/Table1[Total_Sales]</f>
        <v>-0.69775678866587953</v>
      </c>
      <c r="R699" s="14">
        <f>Table1[Total_Sales]+Table1[Shipping_Cost]</f>
        <v>18.37</v>
      </c>
    </row>
    <row r="700" spans="1:18" x14ac:dyDescent="0.35">
      <c r="A700" s="3" t="s">
        <v>1426</v>
      </c>
      <c r="B700" s="2">
        <v>45310</v>
      </c>
      <c r="C700" s="1" t="s">
        <v>1427</v>
      </c>
      <c r="D700" s="1" t="s">
        <v>17</v>
      </c>
      <c r="E700" s="1" t="s">
        <v>129</v>
      </c>
      <c r="F700" s="1" t="s">
        <v>19</v>
      </c>
      <c r="G700" s="1" t="s">
        <v>20</v>
      </c>
      <c r="H700" s="1" t="s">
        <v>38</v>
      </c>
      <c r="I700" s="1">
        <v>3</v>
      </c>
      <c r="J700" s="1">
        <v>34.06</v>
      </c>
      <c r="K700" s="1">
        <v>10</v>
      </c>
      <c r="L700" s="1">
        <v>91.96</v>
      </c>
      <c r="M700" s="1">
        <v>12.43</v>
      </c>
      <c r="N700" s="1">
        <v>23.33</v>
      </c>
      <c r="O700" s="6" t="s">
        <v>39</v>
      </c>
      <c r="P700" s="8">
        <f>Table1[Quantity]*Table1[Unit_Price]</f>
        <v>102.18</v>
      </c>
      <c r="Q700" s="1">
        <f>Table1[Profit]/Table1[Total_Sales]</f>
        <v>0.2536972596781209</v>
      </c>
      <c r="R700" s="14">
        <f>Table1[Total_Sales]+Table1[Shipping_Cost]</f>
        <v>104.38999999999999</v>
      </c>
    </row>
    <row r="701" spans="1:18" x14ac:dyDescent="0.35">
      <c r="A701" s="3" t="s">
        <v>1428</v>
      </c>
      <c r="B701" s="2">
        <v>45310</v>
      </c>
      <c r="C701" s="1" t="s">
        <v>1429</v>
      </c>
      <c r="D701" s="1" t="s">
        <v>30</v>
      </c>
      <c r="E701" s="1" t="s">
        <v>129</v>
      </c>
      <c r="F701" s="1" t="s">
        <v>19</v>
      </c>
      <c r="G701" s="1" t="s">
        <v>42</v>
      </c>
      <c r="H701" s="1" t="s">
        <v>118</v>
      </c>
      <c r="I701" s="1">
        <v>2</v>
      </c>
      <c r="J701" s="1">
        <v>61.68</v>
      </c>
      <c r="K701" s="1">
        <v>20</v>
      </c>
      <c r="L701" s="1">
        <v>98.69</v>
      </c>
      <c r="M701" s="1">
        <v>6.34</v>
      </c>
      <c r="N701" s="1">
        <v>18.329999999999998</v>
      </c>
      <c r="O701" s="6" t="s">
        <v>39</v>
      </c>
      <c r="P701" s="8">
        <f>Table1[Quantity]*Table1[Unit_Price]</f>
        <v>123.36</v>
      </c>
      <c r="Q701" s="1">
        <f>Table1[Profit]/Table1[Total_Sales]</f>
        <v>0.18573310365791873</v>
      </c>
      <c r="R701" s="14">
        <f>Table1[Total_Sales]+Table1[Shipping_Cost]</f>
        <v>105.03</v>
      </c>
    </row>
    <row r="702" spans="1:18" x14ac:dyDescent="0.35">
      <c r="A702" s="3" t="s">
        <v>1430</v>
      </c>
      <c r="B702" s="2">
        <v>45310</v>
      </c>
      <c r="C702" s="1" t="s">
        <v>1431</v>
      </c>
      <c r="D702" s="1" t="s">
        <v>30</v>
      </c>
      <c r="E702" s="1" t="s">
        <v>59</v>
      </c>
      <c r="F702" s="1" t="s">
        <v>60</v>
      </c>
      <c r="G702" s="1" t="s">
        <v>32</v>
      </c>
      <c r="H702" s="1" t="s">
        <v>110</v>
      </c>
      <c r="I702" s="1">
        <v>4</v>
      </c>
      <c r="J702" s="1">
        <v>5.79</v>
      </c>
      <c r="K702" s="1">
        <v>10</v>
      </c>
      <c r="L702" s="1">
        <v>20.84</v>
      </c>
      <c r="M702" s="1">
        <v>15.81</v>
      </c>
      <c r="N702" s="1">
        <v>-5.39</v>
      </c>
      <c r="O702" s="6" t="s">
        <v>39</v>
      </c>
      <c r="P702" s="8">
        <f>Table1[Quantity]*Table1[Unit_Price]</f>
        <v>23.16</v>
      </c>
      <c r="Q702" s="1">
        <f>Table1[Profit]/Table1[Total_Sales]</f>
        <v>-0.25863723608445294</v>
      </c>
      <c r="R702" s="14">
        <f>Table1[Total_Sales]+Table1[Shipping_Cost]</f>
        <v>36.65</v>
      </c>
    </row>
    <row r="703" spans="1:18" x14ac:dyDescent="0.35">
      <c r="A703" s="3" t="s">
        <v>1432</v>
      </c>
      <c r="B703" s="2">
        <v>45311</v>
      </c>
      <c r="C703" s="1" t="s">
        <v>738</v>
      </c>
      <c r="D703" s="1" t="s">
        <v>49</v>
      </c>
      <c r="E703" s="1" t="s">
        <v>31</v>
      </c>
      <c r="F703" s="1" t="s">
        <v>19</v>
      </c>
      <c r="G703" s="1" t="s">
        <v>20</v>
      </c>
      <c r="H703" s="1" t="s">
        <v>264</v>
      </c>
      <c r="I703" s="1">
        <v>1</v>
      </c>
      <c r="J703" s="1">
        <v>36.549999999999997</v>
      </c>
      <c r="K703" s="1">
        <v>5</v>
      </c>
      <c r="L703" s="1">
        <v>34.72</v>
      </c>
      <c r="M703" s="1">
        <v>5.81</v>
      </c>
      <c r="N703" s="1">
        <v>8.81</v>
      </c>
      <c r="O703" s="6" t="s">
        <v>34</v>
      </c>
      <c r="P703" s="8">
        <f>Table1[Quantity]*Table1[Unit_Price]</f>
        <v>36.549999999999997</v>
      </c>
      <c r="Q703" s="1">
        <f>Table1[Profit]/Table1[Total_Sales]</f>
        <v>0.25374423963133641</v>
      </c>
      <c r="R703" s="14">
        <f>Table1[Total_Sales]+Table1[Shipping_Cost]</f>
        <v>40.53</v>
      </c>
    </row>
    <row r="704" spans="1:18" x14ac:dyDescent="0.35">
      <c r="A704" s="3" t="s">
        <v>1433</v>
      </c>
      <c r="B704" s="2">
        <v>45311</v>
      </c>
      <c r="C704" s="1" t="s">
        <v>1434</v>
      </c>
      <c r="D704" s="1" t="s">
        <v>17</v>
      </c>
      <c r="E704" s="1" t="s">
        <v>31</v>
      </c>
      <c r="F704" s="1" t="s">
        <v>19</v>
      </c>
      <c r="G704" s="1" t="s">
        <v>20</v>
      </c>
      <c r="H704" s="1" t="s">
        <v>106</v>
      </c>
      <c r="I704" s="1">
        <v>4</v>
      </c>
      <c r="J704" s="1">
        <v>35.549999999999997</v>
      </c>
      <c r="K704" s="1">
        <v>5</v>
      </c>
      <c r="L704" s="1">
        <v>135.09</v>
      </c>
      <c r="M704" s="1">
        <v>11.22</v>
      </c>
      <c r="N704" s="1">
        <v>45.66</v>
      </c>
      <c r="O704" s="6" t="s">
        <v>34</v>
      </c>
      <c r="P704" s="8">
        <f>Table1[Quantity]*Table1[Unit_Price]</f>
        <v>142.19999999999999</v>
      </c>
      <c r="Q704" s="1">
        <f>Table1[Profit]/Table1[Total_Sales]</f>
        <v>0.33799689096158114</v>
      </c>
      <c r="R704" s="14">
        <f>Table1[Total_Sales]+Table1[Shipping_Cost]</f>
        <v>146.31</v>
      </c>
    </row>
    <row r="705" spans="1:18" x14ac:dyDescent="0.35">
      <c r="A705" s="3" t="s">
        <v>1435</v>
      </c>
      <c r="B705" s="2">
        <v>45312</v>
      </c>
      <c r="C705" s="1" t="s">
        <v>1436</v>
      </c>
      <c r="D705" s="1" t="s">
        <v>17</v>
      </c>
      <c r="E705" s="1" t="s">
        <v>85</v>
      </c>
      <c r="F705" s="1" t="s">
        <v>60</v>
      </c>
      <c r="G705" s="1" t="s">
        <v>42</v>
      </c>
      <c r="H705" s="1" t="s">
        <v>43</v>
      </c>
      <c r="I705" s="1">
        <v>1</v>
      </c>
      <c r="J705" s="1">
        <v>197.67</v>
      </c>
      <c r="K705" s="1">
        <v>25</v>
      </c>
      <c r="L705" s="1">
        <v>148.25</v>
      </c>
      <c r="M705" s="1">
        <v>9.65</v>
      </c>
      <c r="N705" s="1">
        <v>20</v>
      </c>
      <c r="O705" s="6" t="s">
        <v>34</v>
      </c>
      <c r="P705" s="8">
        <f>Table1[Quantity]*Table1[Unit_Price]</f>
        <v>197.67</v>
      </c>
      <c r="Q705" s="1">
        <f>Table1[Profit]/Table1[Total_Sales]</f>
        <v>0.13490725126475547</v>
      </c>
      <c r="R705" s="14">
        <f>Table1[Total_Sales]+Table1[Shipping_Cost]</f>
        <v>157.9</v>
      </c>
    </row>
    <row r="706" spans="1:18" x14ac:dyDescent="0.35">
      <c r="A706" s="3" t="s">
        <v>1437</v>
      </c>
      <c r="B706" s="2">
        <v>45312</v>
      </c>
      <c r="C706" s="1" t="s">
        <v>1126</v>
      </c>
      <c r="D706" s="1" t="s">
        <v>30</v>
      </c>
      <c r="E706" s="1" t="s">
        <v>18</v>
      </c>
      <c r="F706" s="1" t="s">
        <v>19</v>
      </c>
      <c r="G706" s="1" t="s">
        <v>20</v>
      </c>
      <c r="H706" s="1" t="s">
        <v>170</v>
      </c>
      <c r="I706" s="1">
        <v>2</v>
      </c>
      <c r="J706" s="1">
        <v>49.24</v>
      </c>
      <c r="K706" s="1">
        <v>10</v>
      </c>
      <c r="L706" s="1">
        <v>88.63</v>
      </c>
      <c r="M706" s="1">
        <v>9.16</v>
      </c>
      <c r="N706" s="1">
        <v>25.31</v>
      </c>
      <c r="O706" s="6" t="s">
        <v>34</v>
      </c>
      <c r="P706" s="8">
        <f>Table1[Quantity]*Table1[Unit_Price]</f>
        <v>98.48</v>
      </c>
      <c r="Q706" s="1">
        <f>Table1[Profit]/Table1[Total_Sales]</f>
        <v>0.28556922035428184</v>
      </c>
      <c r="R706" s="14">
        <f>Table1[Total_Sales]+Table1[Shipping_Cost]</f>
        <v>97.789999999999992</v>
      </c>
    </row>
    <row r="707" spans="1:18" x14ac:dyDescent="0.35">
      <c r="A707" s="3" t="s">
        <v>1438</v>
      </c>
      <c r="B707" s="2">
        <v>45312</v>
      </c>
      <c r="C707" s="1" t="s">
        <v>1439</v>
      </c>
      <c r="D707" s="1" t="s">
        <v>17</v>
      </c>
      <c r="E707" s="1" t="s">
        <v>76</v>
      </c>
      <c r="F707" s="1" t="s">
        <v>26</v>
      </c>
      <c r="G707" s="1" t="s">
        <v>69</v>
      </c>
      <c r="H707" s="1" t="s">
        <v>139</v>
      </c>
      <c r="I707" s="1">
        <v>3</v>
      </c>
      <c r="J707" s="1">
        <v>74.459999999999994</v>
      </c>
      <c r="K707" s="1">
        <v>20</v>
      </c>
      <c r="L707" s="1">
        <v>178.7</v>
      </c>
      <c r="M707" s="1">
        <v>12.62</v>
      </c>
      <c r="N707" s="1">
        <v>54.39</v>
      </c>
      <c r="O707" s="6" t="s">
        <v>39</v>
      </c>
      <c r="P707" s="8">
        <f>Table1[Quantity]*Table1[Unit_Price]</f>
        <v>223.38</v>
      </c>
      <c r="Q707" s="1">
        <f>Table1[Profit]/Table1[Total_Sales]</f>
        <v>0.30436485730274204</v>
      </c>
      <c r="R707" s="14">
        <f>Table1[Total_Sales]+Table1[Shipping_Cost]</f>
        <v>191.32</v>
      </c>
    </row>
    <row r="708" spans="1:18" x14ac:dyDescent="0.35">
      <c r="A708" s="3" t="s">
        <v>1440</v>
      </c>
      <c r="B708" s="2">
        <v>45313</v>
      </c>
      <c r="C708" s="1" t="s">
        <v>1441</v>
      </c>
      <c r="D708" s="1" t="s">
        <v>17</v>
      </c>
      <c r="E708" s="1" t="s">
        <v>248</v>
      </c>
      <c r="F708" s="1" t="s">
        <v>26</v>
      </c>
      <c r="G708" s="1" t="s">
        <v>20</v>
      </c>
      <c r="H708" s="1" t="s">
        <v>106</v>
      </c>
      <c r="I708" s="1">
        <v>5</v>
      </c>
      <c r="J708" s="1">
        <v>36.68</v>
      </c>
      <c r="K708" s="1">
        <v>0</v>
      </c>
      <c r="L708" s="1">
        <v>183.4</v>
      </c>
      <c r="M708" s="1">
        <v>16.95</v>
      </c>
      <c r="N708" s="1">
        <v>65.58</v>
      </c>
      <c r="O708" s="6" t="s">
        <v>56</v>
      </c>
      <c r="P708" s="8">
        <f>Table1[Quantity]*Table1[Unit_Price]</f>
        <v>183.4</v>
      </c>
      <c r="Q708" s="1">
        <f>Table1[Profit]/Table1[Total_Sales]</f>
        <v>0.35757906215921481</v>
      </c>
      <c r="R708" s="14">
        <f>Table1[Total_Sales]+Table1[Shipping_Cost]</f>
        <v>200.35</v>
      </c>
    </row>
    <row r="709" spans="1:18" x14ac:dyDescent="0.35">
      <c r="A709" s="3" t="s">
        <v>1442</v>
      </c>
      <c r="B709" s="2">
        <v>45313</v>
      </c>
      <c r="C709" s="1" t="s">
        <v>1443</v>
      </c>
      <c r="D709" s="1" t="s">
        <v>17</v>
      </c>
      <c r="E709" s="1" t="s">
        <v>129</v>
      </c>
      <c r="F709" s="1" t="s">
        <v>19</v>
      </c>
      <c r="G709" s="1" t="s">
        <v>69</v>
      </c>
      <c r="H709" s="1" t="s">
        <v>70</v>
      </c>
      <c r="I709" s="1">
        <v>2</v>
      </c>
      <c r="J709" s="1">
        <v>61.95</v>
      </c>
      <c r="K709" s="1">
        <v>0</v>
      </c>
      <c r="L709" s="1">
        <v>123.9</v>
      </c>
      <c r="M709" s="1">
        <v>8.6999999999999993</v>
      </c>
      <c r="N709" s="1">
        <v>53.25</v>
      </c>
      <c r="O709" s="6" t="s">
        <v>39</v>
      </c>
      <c r="P709" s="8">
        <f>Table1[Quantity]*Table1[Unit_Price]</f>
        <v>123.9</v>
      </c>
      <c r="Q709" s="1">
        <f>Table1[Profit]/Table1[Total_Sales]</f>
        <v>0.42978208232445519</v>
      </c>
      <c r="R709" s="14">
        <f>Table1[Total_Sales]+Table1[Shipping_Cost]</f>
        <v>132.6</v>
      </c>
    </row>
    <row r="710" spans="1:18" x14ac:dyDescent="0.35">
      <c r="A710" s="3" t="s">
        <v>1444</v>
      </c>
      <c r="B710" s="2">
        <v>45315</v>
      </c>
      <c r="C710" s="1" t="s">
        <v>1445</v>
      </c>
      <c r="D710" s="1" t="s">
        <v>30</v>
      </c>
      <c r="E710" s="1" t="s">
        <v>148</v>
      </c>
      <c r="F710" s="1" t="s">
        <v>60</v>
      </c>
      <c r="G710" s="1" t="s">
        <v>32</v>
      </c>
      <c r="H710" s="1" t="s">
        <v>82</v>
      </c>
      <c r="I710" s="1">
        <v>3</v>
      </c>
      <c r="J710" s="1">
        <v>18.850000000000001</v>
      </c>
      <c r="K710" s="1">
        <v>20</v>
      </c>
      <c r="L710" s="1">
        <v>45.24</v>
      </c>
      <c r="M710" s="1">
        <v>12.65</v>
      </c>
      <c r="N710" s="1">
        <v>7.14</v>
      </c>
      <c r="O710" s="6" t="s">
        <v>34</v>
      </c>
      <c r="P710" s="8">
        <f>Table1[Quantity]*Table1[Unit_Price]</f>
        <v>56.550000000000004</v>
      </c>
      <c r="Q710" s="1">
        <f>Table1[Profit]/Table1[Total_Sales]</f>
        <v>0.15782493368700265</v>
      </c>
      <c r="R710" s="14">
        <f>Table1[Total_Sales]+Table1[Shipping_Cost]</f>
        <v>57.89</v>
      </c>
    </row>
    <row r="711" spans="1:18" x14ac:dyDescent="0.35">
      <c r="A711" s="3" t="s">
        <v>1446</v>
      </c>
      <c r="B711" s="2">
        <v>45315</v>
      </c>
      <c r="C711" s="1" t="s">
        <v>1447</v>
      </c>
      <c r="D711" s="1" t="s">
        <v>17</v>
      </c>
      <c r="E711" s="1" t="s">
        <v>18</v>
      </c>
      <c r="F711" s="1" t="s">
        <v>19</v>
      </c>
      <c r="G711" s="1" t="s">
        <v>69</v>
      </c>
      <c r="H711" s="1" t="s">
        <v>98</v>
      </c>
      <c r="I711" s="1">
        <v>5</v>
      </c>
      <c r="J711" s="1">
        <v>49.71</v>
      </c>
      <c r="K711" s="1">
        <v>25</v>
      </c>
      <c r="L711" s="1">
        <v>186.41</v>
      </c>
      <c r="M711" s="1">
        <v>8.76</v>
      </c>
      <c r="N711" s="1">
        <v>53.37</v>
      </c>
      <c r="O711" s="6" t="s">
        <v>39</v>
      </c>
      <c r="P711" s="8">
        <f>Table1[Quantity]*Table1[Unit_Price]</f>
        <v>248.55</v>
      </c>
      <c r="Q711" s="1">
        <f>Table1[Profit]/Table1[Total_Sales]</f>
        <v>0.28630438281208087</v>
      </c>
      <c r="R711" s="14">
        <f>Table1[Total_Sales]+Table1[Shipping_Cost]</f>
        <v>195.17</v>
      </c>
    </row>
    <row r="712" spans="1:18" x14ac:dyDescent="0.35">
      <c r="A712" s="3" t="s">
        <v>1448</v>
      </c>
      <c r="B712" s="2">
        <v>45318</v>
      </c>
      <c r="C712" s="1" t="s">
        <v>1449</v>
      </c>
      <c r="D712" s="1" t="s">
        <v>17</v>
      </c>
      <c r="E712" s="1" t="s">
        <v>18</v>
      </c>
      <c r="F712" s="1" t="s">
        <v>19</v>
      </c>
      <c r="G712" s="1" t="s">
        <v>69</v>
      </c>
      <c r="H712" s="1" t="s">
        <v>79</v>
      </c>
      <c r="I712" s="1">
        <v>3</v>
      </c>
      <c r="J712" s="1">
        <v>59.07</v>
      </c>
      <c r="K712" s="1">
        <v>20</v>
      </c>
      <c r="L712" s="1">
        <v>141.77000000000001</v>
      </c>
      <c r="M712" s="1">
        <v>11.25</v>
      </c>
      <c r="N712" s="1">
        <v>41.92</v>
      </c>
      <c r="O712" s="6" t="s">
        <v>34</v>
      </c>
      <c r="P712" s="8">
        <f>Table1[Quantity]*Table1[Unit_Price]</f>
        <v>177.21</v>
      </c>
      <c r="Q712" s="1">
        <f>Table1[Profit]/Table1[Total_Sales]</f>
        <v>0.29569020244057276</v>
      </c>
      <c r="R712" s="14">
        <f>Table1[Total_Sales]+Table1[Shipping_Cost]</f>
        <v>153.02000000000001</v>
      </c>
    </row>
    <row r="713" spans="1:18" x14ac:dyDescent="0.35">
      <c r="A713" s="3" t="s">
        <v>1450</v>
      </c>
      <c r="B713" s="2">
        <v>45318</v>
      </c>
      <c r="C713" s="1" t="s">
        <v>1451</v>
      </c>
      <c r="D713" s="1" t="s">
        <v>17</v>
      </c>
      <c r="E713" s="1" t="s">
        <v>59</v>
      </c>
      <c r="F713" s="1" t="s">
        <v>60</v>
      </c>
      <c r="G713" s="1" t="s">
        <v>32</v>
      </c>
      <c r="H713" s="1" t="s">
        <v>50</v>
      </c>
      <c r="I713" s="1">
        <v>2</v>
      </c>
      <c r="J713" s="1">
        <v>21.61</v>
      </c>
      <c r="K713" s="1">
        <v>15</v>
      </c>
      <c r="L713" s="1">
        <v>36.74</v>
      </c>
      <c r="M713" s="1">
        <v>13.06</v>
      </c>
      <c r="N713" s="1">
        <v>4.2300000000000004</v>
      </c>
      <c r="O713" s="6" t="s">
        <v>56</v>
      </c>
      <c r="P713" s="8">
        <f>Table1[Quantity]*Table1[Unit_Price]</f>
        <v>43.22</v>
      </c>
      <c r="Q713" s="1">
        <f>Table1[Profit]/Table1[Total_Sales]</f>
        <v>0.1151333696243876</v>
      </c>
      <c r="R713" s="14">
        <f>Table1[Total_Sales]+Table1[Shipping_Cost]</f>
        <v>49.800000000000004</v>
      </c>
    </row>
    <row r="714" spans="1:18" x14ac:dyDescent="0.35">
      <c r="A714" s="3" t="s">
        <v>1452</v>
      </c>
      <c r="B714" s="2">
        <v>45319</v>
      </c>
      <c r="C714" s="1" t="s">
        <v>1453</v>
      </c>
      <c r="D714" s="1" t="s">
        <v>30</v>
      </c>
      <c r="E714" s="1" t="s">
        <v>18</v>
      </c>
      <c r="F714" s="1" t="s">
        <v>19</v>
      </c>
      <c r="G714" s="1" t="s">
        <v>69</v>
      </c>
      <c r="H714" s="1" t="s">
        <v>243</v>
      </c>
      <c r="I714" s="1">
        <v>2</v>
      </c>
      <c r="J714" s="1">
        <v>39.619999999999997</v>
      </c>
      <c r="K714" s="1">
        <v>5</v>
      </c>
      <c r="L714" s="1">
        <v>75.28</v>
      </c>
      <c r="M714" s="1">
        <v>6</v>
      </c>
      <c r="N714" s="1">
        <v>29.66</v>
      </c>
      <c r="O714" s="6" t="s">
        <v>34</v>
      </c>
      <c r="P714" s="8">
        <f>Table1[Quantity]*Table1[Unit_Price]</f>
        <v>79.239999999999995</v>
      </c>
      <c r="Q714" s="1">
        <f>Table1[Profit]/Table1[Total_Sales]</f>
        <v>0.39399574920297553</v>
      </c>
      <c r="R714" s="14">
        <f>Table1[Total_Sales]+Table1[Shipping_Cost]</f>
        <v>81.28</v>
      </c>
    </row>
    <row r="715" spans="1:18" x14ac:dyDescent="0.35">
      <c r="A715" s="3" t="s">
        <v>1454</v>
      </c>
      <c r="B715" s="2">
        <v>45320</v>
      </c>
      <c r="C715" s="1" t="s">
        <v>506</v>
      </c>
      <c r="D715" s="1" t="s">
        <v>17</v>
      </c>
      <c r="E715" s="1" t="s">
        <v>138</v>
      </c>
      <c r="F715" s="1" t="s">
        <v>54</v>
      </c>
      <c r="G715" s="1" t="s">
        <v>20</v>
      </c>
      <c r="H715" s="1" t="s">
        <v>27</v>
      </c>
      <c r="I715" s="1">
        <v>12</v>
      </c>
      <c r="J715" s="1">
        <v>150.5</v>
      </c>
      <c r="K715" s="1">
        <v>20</v>
      </c>
      <c r="L715" s="1">
        <v>1444.8</v>
      </c>
      <c r="M715" s="1">
        <v>37.799999999999997</v>
      </c>
      <c r="N715" s="1">
        <v>413.7</v>
      </c>
      <c r="O715" s="6" t="s">
        <v>34</v>
      </c>
      <c r="P715" s="8">
        <f>Table1[Quantity]*Table1[Unit_Price]</f>
        <v>1806</v>
      </c>
      <c r="Q715" s="1">
        <f>Table1[Profit]/Table1[Total_Sales]</f>
        <v>0.28633720930232559</v>
      </c>
      <c r="R715" s="14">
        <f>Table1[Total_Sales]+Table1[Shipping_Cost]</f>
        <v>1482.6</v>
      </c>
    </row>
    <row r="716" spans="1:18" x14ac:dyDescent="0.35">
      <c r="A716" s="3" t="s">
        <v>1455</v>
      </c>
      <c r="B716" s="2">
        <v>45321</v>
      </c>
      <c r="C716" s="1" t="s">
        <v>512</v>
      </c>
      <c r="D716" s="1" t="s">
        <v>30</v>
      </c>
      <c r="E716" s="1" t="s">
        <v>31</v>
      </c>
      <c r="F716" s="1" t="s">
        <v>19</v>
      </c>
      <c r="G716" s="1" t="s">
        <v>32</v>
      </c>
      <c r="H716" s="1" t="s">
        <v>115</v>
      </c>
      <c r="I716" s="1">
        <v>5</v>
      </c>
      <c r="J716" s="1">
        <v>8.68</v>
      </c>
      <c r="K716" s="1">
        <v>0</v>
      </c>
      <c r="L716" s="1">
        <v>43.4</v>
      </c>
      <c r="M716" s="1">
        <v>13.4</v>
      </c>
      <c r="N716" s="1">
        <v>10.47</v>
      </c>
      <c r="O716" s="6" t="s">
        <v>56</v>
      </c>
      <c r="P716" s="8">
        <f>Table1[Quantity]*Table1[Unit_Price]</f>
        <v>43.4</v>
      </c>
      <c r="Q716" s="1">
        <f>Table1[Profit]/Table1[Total_Sales]</f>
        <v>0.24124423963133643</v>
      </c>
      <c r="R716" s="14">
        <f>Table1[Total_Sales]+Table1[Shipping_Cost]</f>
        <v>56.8</v>
      </c>
    </row>
    <row r="717" spans="1:18" x14ac:dyDescent="0.35">
      <c r="A717" s="3" t="s">
        <v>1456</v>
      </c>
      <c r="B717" s="2">
        <v>45322</v>
      </c>
      <c r="C717" s="1" t="s">
        <v>1457</v>
      </c>
      <c r="D717" s="1" t="s">
        <v>49</v>
      </c>
      <c r="E717" s="1" t="s">
        <v>85</v>
      </c>
      <c r="F717" s="1" t="s">
        <v>60</v>
      </c>
      <c r="G717" s="1" t="s">
        <v>42</v>
      </c>
      <c r="H717" s="1" t="s">
        <v>234</v>
      </c>
      <c r="I717" s="1">
        <v>2</v>
      </c>
      <c r="J717" s="1">
        <v>29.62</v>
      </c>
      <c r="K717" s="1">
        <v>5</v>
      </c>
      <c r="L717" s="1">
        <v>56.28</v>
      </c>
      <c r="M717" s="1">
        <v>10.79</v>
      </c>
      <c r="N717" s="1">
        <v>9.9499999999999993</v>
      </c>
      <c r="O717" s="6" t="s">
        <v>39</v>
      </c>
      <c r="P717" s="8">
        <f>Table1[Quantity]*Table1[Unit_Price]</f>
        <v>59.24</v>
      </c>
      <c r="Q717" s="1">
        <f>Table1[Profit]/Table1[Total_Sales]</f>
        <v>0.17679459843638948</v>
      </c>
      <c r="R717" s="14">
        <f>Table1[Total_Sales]+Table1[Shipping_Cost]</f>
        <v>67.069999999999993</v>
      </c>
    </row>
    <row r="718" spans="1:18" x14ac:dyDescent="0.35">
      <c r="A718" s="3" t="s">
        <v>1458</v>
      </c>
      <c r="B718" s="2">
        <v>45322</v>
      </c>
      <c r="C718" s="1" t="s">
        <v>1459</v>
      </c>
      <c r="D718" s="1" t="s">
        <v>17</v>
      </c>
      <c r="E718" s="1" t="s">
        <v>18</v>
      </c>
      <c r="F718" s="1" t="s">
        <v>19</v>
      </c>
      <c r="G718" s="1" t="s">
        <v>20</v>
      </c>
      <c r="H718" s="1" t="s">
        <v>27</v>
      </c>
      <c r="I718" s="1">
        <v>2</v>
      </c>
      <c r="J718" s="1">
        <v>96.97</v>
      </c>
      <c r="K718" s="1">
        <v>15</v>
      </c>
      <c r="L718" s="1">
        <v>164.85</v>
      </c>
      <c r="M718" s="1">
        <v>9.27</v>
      </c>
      <c r="N718" s="1">
        <v>48.91</v>
      </c>
      <c r="O718" s="6" t="s">
        <v>56</v>
      </c>
      <c r="P718" s="8">
        <f>Table1[Quantity]*Table1[Unit_Price]</f>
        <v>193.94</v>
      </c>
      <c r="Q718" s="1">
        <f>Table1[Profit]/Table1[Total_Sales]</f>
        <v>0.29669396420988775</v>
      </c>
      <c r="R718" s="14">
        <f>Table1[Total_Sales]+Table1[Shipping_Cost]</f>
        <v>174.12</v>
      </c>
    </row>
    <row r="719" spans="1:18" x14ac:dyDescent="0.35">
      <c r="A719" s="3" t="s">
        <v>1460</v>
      </c>
      <c r="B719" s="2">
        <v>45322</v>
      </c>
      <c r="C719" s="1" t="s">
        <v>1461</v>
      </c>
      <c r="D719" s="1" t="s">
        <v>49</v>
      </c>
      <c r="E719" s="1" t="s">
        <v>121</v>
      </c>
      <c r="F719" s="1" t="s">
        <v>68</v>
      </c>
      <c r="G719" s="1" t="s">
        <v>32</v>
      </c>
      <c r="H719" s="1" t="s">
        <v>33</v>
      </c>
      <c r="I719" s="1">
        <v>1</v>
      </c>
      <c r="J719" s="1">
        <v>15.66</v>
      </c>
      <c r="K719" s="1">
        <v>0</v>
      </c>
      <c r="L719" s="1">
        <v>15.66</v>
      </c>
      <c r="M719" s="1">
        <v>10.77</v>
      </c>
      <c r="N719" s="1">
        <v>-2.16</v>
      </c>
      <c r="O719" s="6" t="s">
        <v>34</v>
      </c>
      <c r="P719" s="8">
        <f>Table1[Quantity]*Table1[Unit_Price]</f>
        <v>15.66</v>
      </c>
      <c r="Q719" s="1">
        <f>Table1[Profit]/Table1[Total_Sales]</f>
        <v>-0.13793103448275862</v>
      </c>
      <c r="R719" s="14">
        <f>Table1[Total_Sales]+Table1[Shipping_Cost]</f>
        <v>26.43</v>
      </c>
    </row>
    <row r="720" spans="1:18" x14ac:dyDescent="0.35">
      <c r="A720" s="3" t="s">
        <v>1462</v>
      </c>
      <c r="B720" s="2">
        <v>45324</v>
      </c>
      <c r="C720" s="1" t="s">
        <v>1463</v>
      </c>
      <c r="D720" s="1" t="s">
        <v>17</v>
      </c>
      <c r="E720" s="1" t="s">
        <v>31</v>
      </c>
      <c r="F720" s="1" t="s">
        <v>19</v>
      </c>
      <c r="G720" s="1" t="s">
        <v>42</v>
      </c>
      <c r="H720" s="1" t="s">
        <v>46</v>
      </c>
      <c r="I720" s="1">
        <v>1</v>
      </c>
      <c r="J720" s="1">
        <v>93.08</v>
      </c>
      <c r="K720" s="1">
        <v>5</v>
      </c>
      <c r="L720" s="1">
        <v>88.43</v>
      </c>
      <c r="M720" s="1">
        <v>6.7</v>
      </c>
      <c r="N720" s="1">
        <v>25.88</v>
      </c>
      <c r="O720" s="6" t="s">
        <v>56</v>
      </c>
      <c r="P720" s="8">
        <f>Table1[Quantity]*Table1[Unit_Price]</f>
        <v>93.08</v>
      </c>
      <c r="Q720" s="1">
        <f>Table1[Profit]/Table1[Total_Sales]</f>
        <v>0.29266086169851857</v>
      </c>
      <c r="R720" s="14">
        <f>Table1[Total_Sales]+Table1[Shipping_Cost]</f>
        <v>95.13000000000001</v>
      </c>
    </row>
    <row r="721" spans="1:18" x14ac:dyDescent="0.35">
      <c r="A721" s="3" t="s">
        <v>1464</v>
      </c>
      <c r="B721" s="2">
        <v>45324</v>
      </c>
      <c r="C721" s="1" t="s">
        <v>1465</v>
      </c>
      <c r="D721" s="1" t="s">
        <v>17</v>
      </c>
      <c r="E721" s="1" t="s">
        <v>37</v>
      </c>
      <c r="F721" s="1" t="s">
        <v>26</v>
      </c>
      <c r="G721" s="1" t="s">
        <v>69</v>
      </c>
      <c r="H721" s="1" t="s">
        <v>70</v>
      </c>
      <c r="I721" s="1">
        <v>2</v>
      </c>
      <c r="J721" s="1">
        <v>38.08</v>
      </c>
      <c r="K721" s="1">
        <v>10</v>
      </c>
      <c r="L721" s="1">
        <v>68.540000000000006</v>
      </c>
      <c r="M721" s="1">
        <v>10.11</v>
      </c>
      <c r="N721" s="1">
        <v>20.350000000000001</v>
      </c>
      <c r="O721" s="6" t="s">
        <v>22</v>
      </c>
      <c r="P721" s="8">
        <f>Table1[Quantity]*Table1[Unit_Price]</f>
        <v>76.16</v>
      </c>
      <c r="Q721" s="1">
        <f>Table1[Profit]/Table1[Total_Sales]</f>
        <v>0.29690691566968191</v>
      </c>
      <c r="R721" s="14">
        <f>Table1[Total_Sales]+Table1[Shipping_Cost]</f>
        <v>78.650000000000006</v>
      </c>
    </row>
    <row r="722" spans="1:18" x14ac:dyDescent="0.35">
      <c r="A722" s="3" t="s">
        <v>1466</v>
      </c>
      <c r="B722" s="2">
        <v>45325</v>
      </c>
      <c r="C722" s="1" t="s">
        <v>1381</v>
      </c>
      <c r="D722" s="1" t="s">
        <v>49</v>
      </c>
      <c r="E722" s="1" t="s">
        <v>92</v>
      </c>
      <c r="F722" s="1" t="s">
        <v>60</v>
      </c>
      <c r="G722" s="1" t="s">
        <v>32</v>
      </c>
      <c r="H722" s="1" t="s">
        <v>348</v>
      </c>
      <c r="I722" s="1">
        <v>1</v>
      </c>
      <c r="J722" s="1">
        <v>13.92</v>
      </c>
      <c r="K722" s="1">
        <v>5</v>
      </c>
      <c r="L722" s="1">
        <v>13.22</v>
      </c>
      <c r="M722" s="1">
        <v>10.039999999999999</v>
      </c>
      <c r="N722" s="1">
        <v>-3.08</v>
      </c>
      <c r="O722" s="6" t="s">
        <v>39</v>
      </c>
      <c r="P722" s="8">
        <f>Table1[Quantity]*Table1[Unit_Price]</f>
        <v>13.92</v>
      </c>
      <c r="Q722" s="1">
        <f>Table1[Profit]/Table1[Total_Sales]</f>
        <v>-0.2329803328290469</v>
      </c>
      <c r="R722" s="14">
        <f>Table1[Total_Sales]+Table1[Shipping_Cost]</f>
        <v>23.259999999999998</v>
      </c>
    </row>
    <row r="723" spans="1:18" x14ac:dyDescent="0.35">
      <c r="A723" s="3" t="s">
        <v>1467</v>
      </c>
      <c r="B723" s="2">
        <v>45325</v>
      </c>
      <c r="C723" s="1" t="s">
        <v>1468</v>
      </c>
      <c r="D723" s="1" t="s">
        <v>49</v>
      </c>
      <c r="E723" s="1" t="s">
        <v>25</v>
      </c>
      <c r="F723" s="1" t="s">
        <v>26</v>
      </c>
      <c r="G723" s="1" t="s">
        <v>42</v>
      </c>
      <c r="H723" s="1" t="s">
        <v>294</v>
      </c>
      <c r="I723" s="1">
        <v>2</v>
      </c>
      <c r="J723" s="1">
        <v>297.8</v>
      </c>
      <c r="K723" s="1">
        <v>0</v>
      </c>
      <c r="L723" s="1">
        <v>595.6</v>
      </c>
      <c r="M723" s="1">
        <v>11.67</v>
      </c>
      <c r="N723" s="1">
        <v>226.57</v>
      </c>
      <c r="O723" s="6" t="s">
        <v>39</v>
      </c>
      <c r="P723" s="8">
        <f>Table1[Quantity]*Table1[Unit_Price]</f>
        <v>595.6</v>
      </c>
      <c r="Q723" s="1">
        <f>Table1[Profit]/Table1[Total_Sales]</f>
        <v>0.38040631296171923</v>
      </c>
      <c r="R723" s="14">
        <f>Table1[Total_Sales]+Table1[Shipping_Cost]</f>
        <v>607.27</v>
      </c>
    </row>
    <row r="724" spans="1:18" x14ac:dyDescent="0.35">
      <c r="A724" s="3" t="s">
        <v>1469</v>
      </c>
      <c r="B724" s="2">
        <v>45326</v>
      </c>
      <c r="C724" s="1" t="s">
        <v>1470</v>
      </c>
      <c r="D724" s="1" t="s">
        <v>17</v>
      </c>
      <c r="E724" s="1" t="s">
        <v>135</v>
      </c>
      <c r="F724" s="1" t="s">
        <v>26</v>
      </c>
      <c r="G724" s="1" t="s">
        <v>32</v>
      </c>
      <c r="H724" s="1" t="s">
        <v>115</v>
      </c>
      <c r="I724" s="1">
        <v>1</v>
      </c>
      <c r="J724" s="1">
        <v>10.39</v>
      </c>
      <c r="K724" s="1">
        <v>0</v>
      </c>
      <c r="L724" s="1">
        <v>10.39</v>
      </c>
      <c r="M724" s="1">
        <v>7.64</v>
      </c>
      <c r="N724" s="1">
        <v>-1.93</v>
      </c>
      <c r="O724" s="6" t="s">
        <v>39</v>
      </c>
      <c r="P724" s="8">
        <f>Table1[Quantity]*Table1[Unit_Price]</f>
        <v>10.39</v>
      </c>
      <c r="Q724" s="1">
        <f>Table1[Profit]/Table1[Total_Sales]</f>
        <v>-0.18575553416746871</v>
      </c>
      <c r="R724" s="14">
        <f>Table1[Total_Sales]+Table1[Shipping_Cost]</f>
        <v>18.03</v>
      </c>
    </row>
    <row r="725" spans="1:18" x14ac:dyDescent="0.35">
      <c r="A725" s="3" t="s">
        <v>1471</v>
      </c>
      <c r="B725" s="2">
        <v>45326</v>
      </c>
      <c r="C725" s="1" t="s">
        <v>1472</v>
      </c>
      <c r="D725" s="1" t="s">
        <v>17</v>
      </c>
      <c r="E725" s="1" t="s">
        <v>18</v>
      </c>
      <c r="F725" s="1" t="s">
        <v>19</v>
      </c>
      <c r="G725" s="1" t="s">
        <v>42</v>
      </c>
      <c r="H725" s="1" t="s">
        <v>371</v>
      </c>
      <c r="I725" s="1">
        <v>2</v>
      </c>
      <c r="J725" s="1">
        <v>214.42</v>
      </c>
      <c r="K725" s="1">
        <v>20</v>
      </c>
      <c r="L725" s="1">
        <v>343.07</v>
      </c>
      <c r="M725" s="1">
        <v>6.04</v>
      </c>
      <c r="N725" s="1">
        <v>79.73</v>
      </c>
      <c r="O725" s="6" t="s">
        <v>34</v>
      </c>
      <c r="P725" s="8">
        <f>Table1[Quantity]*Table1[Unit_Price]</f>
        <v>428.84</v>
      </c>
      <c r="Q725" s="1">
        <f>Table1[Profit]/Table1[Total_Sales]</f>
        <v>0.23240155070393798</v>
      </c>
      <c r="R725" s="14">
        <f>Table1[Total_Sales]+Table1[Shipping_Cost]</f>
        <v>349.11</v>
      </c>
    </row>
    <row r="726" spans="1:18" x14ac:dyDescent="0.35">
      <c r="A726" s="3" t="s">
        <v>1473</v>
      </c>
      <c r="B726" s="2">
        <v>45326</v>
      </c>
      <c r="C726" s="1" t="s">
        <v>825</v>
      </c>
      <c r="D726" s="1" t="s">
        <v>17</v>
      </c>
      <c r="E726" s="1" t="s">
        <v>18</v>
      </c>
      <c r="F726" s="1" t="s">
        <v>19</v>
      </c>
      <c r="G726" s="1" t="s">
        <v>20</v>
      </c>
      <c r="H726" s="1" t="s">
        <v>122</v>
      </c>
      <c r="I726" s="1">
        <v>4</v>
      </c>
      <c r="J726" s="1">
        <v>96.59</v>
      </c>
      <c r="K726" s="1">
        <v>0</v>
      </c>
      <c r="L726" s="1">
        <v>386.36</v>
      </c>
      <c r="M726" s="1">
        <v>8.86</v>
      </c>
      <c r="N726" s="1">
        <v>165</v>
      </c>
      <c r="O726" s="6" t="s">
        <v>39</v>
      </c>
      <c r="P726" s="8">
        <f>Table1[Quantity]*Table1[Unit_Price]</f>
        <v>386.36</v>
      </c>
      <c r="Q726" s="1">
        <f>Table1[Profit]/Table1[Total_Sales]</f>
        <v>0.42706284294440416</v>
      </c>
      <c r="R726" s="14">
        <f>Table1[Total_Sales]+Table1[Shipping_Cost]</f>
        <v>395.22</v>
      </c>
    </row>
    <row r="727" spans="1:18" x14ac:dyDescent="0.35">
      <c r="A727" s="3" t="s">
        <v>1474</v>
      </c>
      <c r="B727" s="2">
        <v>45329</v>
      </c>
      <c r="C727" s="1" t="s">
        <v>1475</v>
      </c>
      <c r="D727" s="1" t="s">
        <v>17</v>
      </c>
      <c r="E727" s="1" t="s">
        <v>148</v>
      </c>
      <c r="F727" s="1" t="s">
        <v>60</v>
      </c>
      <c r="G727" s="1" t="s">
        <v>69</v>
      </c>
      <c r="H727" s="1" t="s">
        <v>139</v>
      </c>
      <c r="I727" s="1">
        <v>12</v>
      </c>
      <c r="J727" s="1">
        <v>54.17</v>
      </c>
      <c r="K727" s="1">
        <v>0</v>
      </c>
      <c r="L727" s="1">
        <v>650.04</v>
      </c>
      <c r="M727" s="1">
        <v>38.1</v>
      </c>
      <c r="N727" s="1">
        <v>286.92</v>
      </c>
      <c r="O727" s="6" t="s">
        <v>56</v>
      </c>
      <c r="P727" s="8">
        <f>Table1[Quantity]*Table1[Unit_Price]</f>
        <v>650.04</v>
      </c>
      <c r="Q727" s="1">
        <f>Table1[Profit]/Table1[Total_Sales]</f>
        <v>0.44138822226324537</v>
      </c>
      <c r="R727" s="14">
        <f>Table1[Total_Sales]+Table1[Shipping_Cost]</f>
        <v>688.14</v>
      </c>
    </row>
    <row r="728" spans="1:18" x14ac:dyDescent="0.35">
      <c r="A728" s="3" t="s">
        <v>1476</v>
      </c>
      <c r="B728" s="2">
        <v>45329</v>
      </c>
      <c r="C728" s="1" t="s">
        <v>1477</v>
      </c>
      <c r="D728" s="1" t="s">
        <v>30</v>
      </c>
      <c r="E728" s="1" t="s">
        <v>25</v>
      </c>
      <c r="F728" s="1" t="s">
        <v>26</v>
      </c>
      <c r="G728" s="1" t="s">
        <v>69</v>
      </c>
      <c r="H728" s="1" t="s">
        <v>86</v>
      </c>
      <c r="I728" s="1">
        <v>4</v>
      </c>
      <c r="J728" s="1">
        <v>90.04</v>
      </c>
      <c r="K728" s="1">
        <v>5</v>
      </c>
      <c r="L728" s="1">
        <v>342.15</v>
      </c>
      <c r="M728" s="1">
        <v>13.31</v>
      </c>
      <c r="N728" s="1">
        <v>148.76</v>
      </c>
      <c r="O728" s="6" t="s">
        <v>56</v>
      </c>
      <c r="P728" s="8">
        <f>Table1[Quantity]*Table1[Unit_Price]</f>
        <v>360.16</v>
      </c>
      <c r="Q728" s="1">
        <f>Table1[Profit]/Table1[Total_Sales]</f>
        <v>0.43478006722197865</v>
      </c>
      <c r="R728" s="14">
        <f>Table1[Total_Sales]+Table1[Shipping_Cost]</f>
        <v>355.46</v>
      </c>
    </row>
    <row r="729" spans="1:18" x14ac:dyDescent="0.35">
      <c r="A729" s="3" t="s">
        <v>1478</v>
      </c>
      <c r="B729" s="2">
        <v>45329</v>
      </c>
      <c r="C729" s="1" t="s">
        <v>309</v>
      </c>
      <c r="D729" s="1" t="s">
        <v>30</v>
      </c>
      <c r="E729" s="1" t="s">
        <v>37</v>
      </c>
      <c r="F729" s="1" t="s">
        <v>26</v>
      </c>
      <c r="G729" s="1" t="s">
        <v>20</v>
      </c>
      <c r="H729" s="1" t="s">
        <v>38</v>
      </c>
      <c r="I729" s="1">
        <v>2</v>
      </c>
      <c r="J729" s="1">
        <v>33.729999999999997</v>
      </c>
      <c r="K729" s="1">
        <v>15</v>
      </c>
      <c r="L729" s="1">
        <v>57.34</v>
      </c>
      <c r="M729" s="1">
        <v>11.05</v>
      </c>
      <c r="N729" s="1">
        <v>9.19</v>
      </c>
      <c r="O729" s="6" t="s">
        <v>34</v>
      </c>
      <c r="P729" s="8">
        <f>Table1[Quantity]*Table1[Unit_Price]</f>
        <v>67.459999999999994</v>
      </c>
      <c r="Q729" s="1">
        <f>Table1[Profit]/Table1[Total_Sales]</f>
        <v>0.16027206138821065</v>
      </c>
      <c r="R729" s="14">
        <f>Table1[Total_Sales]+Table1[Shipping_Cost]</f>
        <v>68.39</v>
      </c>
    </row>
    <row r="730" spans="1:18" x14ac:dyDescent="0.35">
      <c r="A730" s="3" t="s">
        <v>1479</v>
      </c>
      <c r="B730" s="2">
        <v>45330</v>
      </c>
      <c r="C730" s="1" t="s">
        <v>1480</v>
      </c>
      <c r="D730" s="1" t="s">
        <v>30</v>
      </c>
      <c r="E730" s="1" t="s">
        <v>25</v>
      </c>
      <c r="F730" s="1" t="s">
        <v>26</v>
      </c>
      <c r="G730" s="1" t="s">
        <v>20</v>
      </c>
      <c r="H730" s="1" t="s">
        <v>38</v>
      </c>
      <c r="I730" s="1">
        <v>4</v>
      </c>
      <c r="J730" s="1">
        <v>67.39</v>
      </c>
      <c r="K730" s="1">
        <v>0</v>
      </c>
      <c r="L730" s="1">
        <v>269.56</v>
      </c>
      <c r="M730" s="1">
        <v>16.2</v>
      </c>
      <c r="N730" s="1">
        <v>105.1</v>
      </c>
      <c r="O730" s="6" t="s">
        <v>39</v>
      </c>
      <c r="P730" s="8">
        <f>Table1[Quantity]*Table1[Unit_Price]</f>
        <v>269.56</v>
      </c>
      <c r="Q730" s="1">
        <f>Table1[Profit]/Table1[Total_Sales]</f>
        <v>0.38989464312212491</v>
      </c>
      <c r="R730" s="14">
        <f>Table1[Total_Sales]+Table1[Shipping_Cost]</f>
        <v>285.76</v>
      </c>
    </row>
    <row r="731" spans="1:18" x14ac:dyDescent="0.35">
      <c r="A731" s="3" t="s">
        <v>1481</v>
      </c>
      <c r="B731" s="2">
        <v>45330</v>
      </c>
      <c r="C731" s="1" t="s">
        <v>1482</v>
      </c>
      <c r="D731" s="1" t="s">
        <v>30</v>
      </c>
      <c r="E731" s="1" t="s">
        <v>85</v>
      </c>
      <c r="F731" s="1" t="s">
        <v>60</v>
      </c>
      <c r="G731" s="1" t="s">
        <v>42</v>
      </c>
      <c r="H731" s="1" t="s">
        <v>93</v>
      </c>
      <c r="I731" s="1">
        <v>6</v>
      </c>
      <c r="J731" s="1">
        <v>443.99</v>
      </c>
      <c r="K731" s="1">
        <v>15</v>
      </c>
      <c r="L731" s="1">
        <v>2264.35</v>
      </c>
      <c r="M731" s="1">
        <v>18.29</v>
      </c>
      <c r="N731" s="1">
        <v>647.70000000000005</v>
      </c>
      <c r="O731" s="6" t="s">
        <v>34</v>
      </c>
      <c r="P731" s="8">
        <f>Table1[Quantity]*Table1[Unit_Price]</f>
        <v>2663.94</v>
      </c>
      <c r="Q731" s="1">
        <f>Table1[Profit]/Table1[Total_Sales]</f>
        <v>0.28604235210987705</v>
      </c>
      <c r="R731" s="14">
        <f>Table1[Total_Sales]+Table1[Shipping_Cost]</f>
        <v>2282.64</v>
      </c>
    </row>
    <row r="732" spans="1:18" x14ac:dyDescent="0.35">
      <c r="A732" s="3" t="s">
        <v>1483</v>
      </c>
      <c r="B732" s="2">
        <v>45332</v>
      </c>
      <c r="C732" s="1" t="s">
        <v>1484</v>
      </c>
      <c r="D732" s="1" t="s">
        <v>49</v>
      </c>
      <c r="E732" s="1" t="s">
        <v>76</v>
      </c>
      <c r="F732" s="1" t="s">
        <v>26</v>
      </c>
      <c r="G732" s="1" t="s">
        <v>20</v>
      </c>
      <c r="H732" s="1" t="s">
        <v>21</v>
      </c>
      <c r="I732" s="1">
        <v>1</v>
      </c>
      <c r="J732" s="1">
        <v>216.25</v>
      </c>
      <c r="K732" s="1">
        <v>5</v>
      </c>
      <c r="L732" s="1">
        <v>205.44</v>
      </c>
      <c r="M732" s="1">
        <v>7.52</v>
      </c>
      <c r="N732" s="1">
        <v>78.98</v>
      </c>
      <c r="O732" s="6" t="s">
        <v>39</v>
      </c>
      <c r="P732" s="8">
        <f>Table1[Quantity]*Table1[Unit_Price]</f>
        <v>216.25</v>
      </c>
      <c r="Q732" s="1">
        <f>Table1[Profit]/Table1[Total_Sales]</f>
        <v>0.38444314641744548</v>
      </c>
      <c r="R732" s="14">
        <f>Table1[Total_Sales]+Table1[Shipping_Cost]</f>
        <v>212.96</v>
      </c>
    </row>
    <row r="733" spans="1:18" x14ac:dyDescent="0.35">
      <c r="A733" s="3" t="s">
        <v>1485</v>
      </c>
      <c r="B733" s="2">
        <v>45332</v>
      </c>
      <c r="C733" s="1" t="s">
        <v>1408</v>
      </c>
      <c r="D733" s="1" t="s">
        <v>30</v>
      </c>
      <c r="E733" s="1" t="s">
        <v>148</v>
      </c>
      <c r="F733" s="1" t="s">
        <v>60</v>
      </c>
      <c r="G733" s="1" t="s">
        <v>69</v>
      </c>
      <c r="H733" s="1" t="s">
        <v>86</v>
      </c>
      <c r="I733" s="1">
        <v>2</v>
      </c>
      <c r="J733" s="1">
        <v>89.21</v>
      </c>
      <c r="K733" s="1">
        <v>15</v>
      </c>
      <c r="L733" s="1">
        <v>151.66</v>
      </c>
      <c r="M733" s="1">
        <v>13.6</v>
      </c>
      <c r="N733" s="1">
        <v>48.85</v>
      </c>
      <c r="O733" s="6" t="s">
        <v>34</v>
      </c>
      <c r="P733" s="8">
        <f>Table1[Quantity]*Table1[Unit_Price]</f>
        <v>178.42</v>
      </c>
      <c r="Q733" s="1">
        <f>Table1[Profit]/Table1[Total_Sales]</f>
        <v>0.32210207042067784</v>
      </c>
      <c r="R733" s="14">
        <f>Table1[Total_Sales]+Table1[Shipping_Cost]</f>
        <v>165.26</v>
      </c>
    </row>
    <row r="734" spans="1:18" x14ac:dyDescent="0.35">
      <c r="A734" s="3" t="s">
        <v>1486</v>
      </c>
      <c r="B734" s="2">
        <v>45333</v>
      </c>
      <c r="C734" s="1" t="s">
        <v>1487</v>
      </c>
      <c r="D734" s="1" t="s">
        <v>17</v>
      </c>
      <c r="E734" s="1" t="s">
        <v>121</v>
      </c>
      <c r="F734" s="1" t="s">
        <v>68</v>
      </c>
      <c r="G734" s="1" t="s">
        <v>42</v>
      </c>
      <c r="H734" s="1" t="s">
        <v>89</v>
      </c>
      <c r="I734" s="1">
        <v>8</v>
      </c>
      <c r="J734" s="1">
        <v>180.57</v>
      </c>
      <c r="K734" s="1">
        <v>10</v>
      </c>
      <c r="L734" s="1">
        <v>1300.0999999999999</v>
      </c>
      <c r="M734" s="1">
        <v>17.579999999999998</v>
      </c>
      <c r="N734" s="1">
        <v>415.78</v>
      </c>
      <c r="O734" s="6" t="s">
        <v>34</v>
      </c>
      <c r="P734" s="8">
        <f>Table1[Quantity]*Table1[Unit_Price]</f>
        <v>1444.56</v>
      </c>
      <c r="Q734" s="1">
        <f>Table1[Profit]/Table1[Total_Sales]</f>
        <v>0.31980616875624951</v>
      </c>
      <c r="R734" s="14">
        <f>Table1[Total_Sales]+Table1[Shipping_Cost]</f>
        <v>1317.6799999999998</v>
      </c>
    </row>
    <row r="735" spans="1:18" x14ac:dyDescent="0.35">
      <c r="A735" s="3" t="s">
        <v>1488</v>
      </c>
      <c r="B735" s="2">
        <v>45333</v>
      </c>
      <c r="C735" s="1" t="s">
        <v>1489</v>
      </c>
      <c r="D735" s="1" t="s">
        <v>17</v>
      </c>
      <c r="E735" s="1" t="s">
        <v>109</v>
      </c>
      <c r="F735" s="1" t="s">
        <v>54</v>
      </c>
      <c r="G735" s="1" t="s">
        <v>20</v>
      </c>
      <c r="H735" s="1" t="s">
        <v>264</v>
      </c>
      <c r="I735" s="1">
        <v>2</v>
      </c>
      <c r="J735" s="1">
        <v>22.02</v>
      </c>
      <c r="K735" s="1">
        <v>5</v>
      </c>
      <c r="L735" s="1">
        <v>41.84</v>
      </c>
      <c r="M735" s="1">
        <v>13.18</v>
      </c>
      <c r="N735" s="1">
        <v>4.4400000000000004</v>
      </c>
      <c r="O735" s="6" t="s">
        <v>22</v>
      </c>
      <c r="P735" s="8">
        <f>Table1[Quantity]*Table1[Unit_Price]</f>
        <v>44.04</v>
      </c>
      <c r="Q735" s="1">
        <f>Table1[Profit]/Table1[Total_Sales]</f>
        <v>0.10611854684512428</v>
      </c>
      <c r="R735" s="14">
        <f>Table1[Total_Sales]+Table1[Shipping_Cost]</f>
        <v>55.02</v>
      </c>
    </row>
    <row r="736" spans="1:18" x14ac:dyDescent="0.35">
      <c r="A736" s="3" t="s">
        <v>1490</v>
      </c>
      <c r="B736" s="2">
        <v>45334</v>
      </c>
      <c r="C736" s="1" t="s">
        <v>1491</v>
      </c>
      <c r="D736" s="1" t="s">
        <v>30</v>
      </c>
      <c r="E736" s="1" t="s">
        <v>31</v>
      </c>
      <c r="F736" s="1" t="s">
        <v>19</v>
      </c>
      <c r="G736" s="1" t="s">
        <v>32</v>
      </c>
      <c r="H736" s="1" t="s">
        <v>82</v>
      </c>
      <c r="I736" s="1">
        <v>5</v>
      </c>
      <c r="J736" s="1">
        <v>10.97</v>
      </c>
      <c r="K736" s="1">
        <v>5</v>
      </c>
      <c r="L736" s="1">
        <v>52.11</v>
      </c>
      <c r="M736" s="1">
        <v>14.23</v>
      </c>
      <c r="N736" s="1">
        <v>13.2</v>
      </c>
      <c r="O736" s="6" t="s">
        <v>39</v>
      </c>
      <c r="P736" s="8">
        <f>Table1[Quantity]*Table1[Unit_Price]</f>
        <v>54.85</v>
      </c>
      <c r="Q736" s="1">
        <f>Table1[Profit]/Table1[Total_Sales]</f>
        <v>0.25331030512377661</v>
      </c>
      <c r="R736" s="14">
        <f>Table1[Total_Sales]+Table1[Shipping_Cost]</f>
        <v>66.34</v>
      </c>
    </row>
    <row r="737" spans="1:18" x14ac:dyDescent="0.35">
      <c r="A737" s="3" t="s">
        <v>1492</v>
      </c>
      <c r="B737" s="2">
        <v>45335</v>
      </c>
      <c r="C737" s="1" t="s">
        <v>1493</v>
      </c>
      <c r="D737" s="1" t="s">
        <v>17</v>
      </c>
      <c r="E737" s="1" t="s">
        <v>121</v>
      </c>
      <c r="F737" s="1" t="s">
        <v>68</v>
      </c>
      <c r="G737" s="1" t="s">
        <v>20</v>
      </c>
      <c r="H737" s="1" t="s">
        <v>122</v>
      </c>
      <c r="I737" s="1">
        <v>1</v>
      </c>
      <c r="J737" s="1">
        <v>78.61</v>
      </c>
      <c r="K737" s="1">
        <v>5</v>
      </c>
      <c r="L737" s="1">
        <v>74.680000000000007</v>
      </c>
      <c r="M737" s="1">
        <v>11.74</v>
      </c>
      <c r="N737" s="1">
        <v>19.7</v>
      </c>
      <c r="O737" s="6" t="s">
        <v>34</v>
      </c>
      <c r="P737" s="8">
        <f>Table1[Quantity]*Table1[Unit_Price]</f>
        <v>78.61</v>
      </c>
      <c r="Q737" s="1">
        <f>Table1[Profit]/Table1[Total_Sales]</f>
        <v>0.26379217996786286</v>
      </c>
      <c r="R737" s="14">
        <f>Table1[Total_Sales]+Table1[Shipping_Cost]</f>
        <v>86.42</v>
      </c>
    </row>
    <row r="738" spans="1:18" x14ac:dyDescent="0.35">
      <c r="A738" s="3" t="s">
        <v>1494</v>
      </c>
      <c r="B738" s="2">
        <v>45335</v>
      </c>
      <c r="C738" s="1" t="s">
        <v>1495</v>
      </c>
      <c r="D738" s="1" t="s">
        <v>30</v>
      </c>
      <c r="E738" s="1" t="s">
        <v>25</v>
      </c>
      <c r="F738" s="1" t="s">
        <v>26</v>
      </c>
      <c r="G738" s="1" t="s">
        <v>32</v>
      </c>
      <c r="H738" s="1" t="s">
        <v>348</v>
      </c>
      <c r="I738" s="1">
        <v>1</v>
      </c>
      <c r="J738" s="1">
        <v>12.56</v>
      </c>
      <c r="K738" s="1">
        <v>0</v>
      </c>
      <c r="L738" s="1">
        <v>12.56</v>
      </c>
      <c r="M738" s="1">
        <v>8.15</v>
      </c>
      <c r="N738" s="1">
        <v>-1.24</v>
      </c>
      <c r="O738" s="6" t="s">
        <v>39</v>
      </c>
      <c r="P738" s="8">
        <f>Table1[Quantity]*Table1[Unit_Price]</f>
        <v>12.56</v>
      </c>
      <c r="Q738" s="1">
        <f>Table1[Profit]/Table1[Total_Sales]</f>
        <v>-9.8726114649681521E-2</v>
      </c>
      <c r="R738" s="14">
        <f>Table1[Total_Sales]+Table1[Shipping_Cost]</f>
        <v>20.71</v>
      </c>
    </row>
    <row r="739" spans="1:18" x14ac:dyDescent="0.35">
      <c r="A739" s="3" t="s">
        <v>1496</v>
      </c>
      <c r="B739" s="2">
        <v>45336</v>
      </c>
      <c r="C739" s="1" t="s">
        <v>1429</v>
      </c>
      <c r="D739" s="1" t="s">
        <v>30</v>
      </c>
      <c r="E739" s="1" t="s">
        <v>63</v>
      </c>
      <c r="F739" s="1" t="s">
        <v>54</v>
      </c>
      <c r="G739" s="1" t="s">
        <v>69</v>
      </c>
      <c r="H739" s="1" t="s">
        <v>86</v>
      </c>
      <c r="I739" s="1">
        <v>4</v>
      </c>
      <c r="J739" s="1">
        <v>108.96</v>
      </c>
      <c r="K739" s="1">
        <v>0</v>
      </c>
      <c r="L739" s="1">
        <v>435.84</v>
      </c>
      <c r="M739" s="1">
        <v>18.91</v>
      </c>
      <c r="N739" s="1">
        <v>199.01</v>
      </c>
      <c r="O739" s="6" t="s">
        <v>22</v>
      </c>
      <c r="P739" s="8">
        <f>Table1[Quantity]*Table1[Unit_Price]</f>
        <v>435.84</v>
      </c>
      <c r="Q739" s="1">
        <f>Table1[Profit]/Table1[Total_Sales]</f>
        <v>0.45661251835535976</v>
      </c>
      <c r="R739" s="14">
        <f>Table1[Total_Sales]+Table1[Shipping_Cost]</f>
        <v>454.75</v>
      </c>
    </row>
    <row r="740" spans="1:18" x14ac:dyDescent="0.35">
      <c r="A740" s="3" t="s">
        <v>1497</v>
      </c>
      <c r="B740" s="2">
        <v>45336</v>
      </c>
      <c r="C740" s="1" t="s">
        <v>1498</v>
      </c>
      <c r="D740" s="1" t="s">
        <v>30</v>
      </c>
      <c r="E740" s="1" t="s">
        <v>18</v>
      </c>
      <c r="F740" s="1" t="s">
        <v>19</v>
      </c>
      <c r="G740" s="1" t="s">
        <v>42</v>
      </c>
      <c r="H740" s="1" t="s">
        <v>255</v>
      </c>
      <c r="I740" s="1">
        <v>4</v>
      </c>
      <c r="J740" s="1">
        <v>40.58</v>
      </c>
      <c r="K740" s="1">
        <v>5</v>
      </c>
      <c r="L740" s="1">
        <v>154.19999999999999</v>
      </c>
      <c r="M740" s="1">
        <v>13.86</v>
      </c>
      <c r="N740" s="1">
        <v>42.95</v>
      </c>
      <c r="O740" s="6" t="s">
        <v>39</v>
      </c>
      <c r="P740" s="8">
        <f>Table1[Quantity]*Table1[Unit_Price]</f>
        <v>162.32</v>
      </c>
      <c r="Q740" s="1">
        <f>Table1[Profit]/Table1[Total_Sales]</f>
        <v>0.27853437094682237</v>
      </c>
      <c r="R740" s="14">
        <f>Table1[Total_Sales]+Table1[Shipping_Cost]</f>
        <v>168.06</v>
      </c>
    </row>
    <row r="741" spans="1:18" x14ac:dyDescent="0.35">
      <c r="A741" s="3" t="s">
        <v>1499</v>
      </c>
      <c r="B741" s="2">
        <v>45337</v>
      </c>
      <c r="C741" s="1" t="s">
        <v>964</v>
      </c>
      <c r="D741" s="1" t="s">
        <v>30</v>
      </c>
      <c r="E741" s="1" t="s">
        <v>59</v>
      </c>
      <c r="F741" s="1" t="s">
        <v>60</v>
      </c>
      <c r="G741" s="1" t="s">
        <v>20</v>
      </c>
      <c r="H741" s="1" t="s">
        <v>106</v>
      </c>
      <c r="I741" s="1">
        <v>1</v>
      </c>
      <c r="J741" s="1">
        <v>28.43</v>
      </c>
      <c r="K741" s="1">
        <v>0</v>
      </c>
      <c r="L741" s="1">
        <v>28.43</v>
      </c>
      <c r="M741" s="1">
        <v>11.31</v>
      </c>
      <c r="N741" s="1">
        <v>1.48</v>
      </c>
      <c r="O741" s="6" t="s">
        <v>22</v>
      </c>
      <c r="P741" s="8">
        <f>Table1[Quantity]*Table1[Unit_Price]</f>
        <v>28.43</v>
      </c>
      <c r="Q741" s="1">
        <f>Table1[Profit]/Table1[Total_Sales]</f>
        <v>5.2057685543440028E-2</v>
      </c>
      <c r="R741" s="14">
        <f>Table1[Total_Sales]+Table1[Shipping_Cost]</f>
        <v>39.74</v>
      </c>
    </row>
    <row r="742" spans="1:18" x14ac:dyDescent="0.35">
      <c r="A742" s="3" t="s">
        <v>1500</v>
      </c>
      <c r="B742" s="2">
        <v>45338</v>
      </c>
      <c r="C742" s="1" t="s">
        <v>1207</v>
      </c>
      <c r="D742" s="1" t="s">
        <v>17</v>
      </c>
      <c r="E742" s="1" t="s">
        <v>63</v>
      </c>
      <c r="F742" s="1" t="s">
        <v>54</v>
      </c>
      <c r="G742" s="1" t="s">
        <v>32</v>
      </c>
      <c r="H742" s="1" t="s">
        <v>101</v>
      </c>
      <c r="I742" s="1">
        <v>1</v>
      </c>
      <c r="J742" s="1">
        <v>20.74</v>
      </c>
      <c r="K742" s="1">
        <v>15</v>
      </c>
      <c r="L742" s="1">
        <v>17.63</v>
      </c>
      <c r="M742" s="1">
        <v>13.45</v>
      </c>
      <c r="N742" s="1">
        <v>-5.15</v>
      </c>
      <c r="O742" s="6" t="s">
        <v>34</v>
      </c>
      <c r="P742" s="8">
        <f>Table1[Quantity]*Table1[Unit_Price]</f>
        <v>20.74</v>
      </c>
      <c r="Q742" s="1">
        <f>Table1[Profit]/Table1[Total_Sales]</f>
        <v>-0.29211571185479301</v>
      </c>
      <c r="R742" s="14">
        <f>Table1[Total_Sales]+Table1[Shipping_Cost]</f>
        <v>31.08</v>
      </c>
    </row>
    <row r="743" spans="1:18" x14ac:dyDescent="0.35">
      <c r="A743" s="3" t="s">
        <v>1501</v>
      </c>
      <c r="B743" s="2">
        <v>45339</v>
      </c>
      <c r="C743" s="1" t="s">
        <v>473</v>
      </c>
      <c r="D743" s="1" t="s">
        <v>30</v>
      </c>
      <c r="E743" s="1" t="s">
        <v>148</v>
      </c>
      <c r="F743" s="1" t="s">
        <v>60</v>
      </c>
      <c r="G743" s="1" t="s">
        <v>69</v>
      </c>
      <c r="H743" s="1" t="s">
        <v>243</v>
      </c>
      <c r="I743" s="1">
        <v>5</v>
      </c>
      <c r="J743" s="1">
        <v>48.34</v>
      </c>
      <c r="K743" s="1">
        <v>25</v>
      </c>
      <c r="L743" s="1">
        <v>181.28</v>
      </c>
      <c r="M743" s="1">
        <v>14.29</v>
      </c>
      <c r="N743" s="1">
        <v>46.14</v>
      </c>
      <c r="O743" s="6" t="s">
        <v>34</v>
      </c>
      <c r="P743" s="8">
        <f>Table1[Quantity]*Table1[Unit_Price]</f>
        <v>241.70000000000002</v>
      </c>
      <c r="Q743" s="1">
        <f>Table1[Profit]/Table1[Total_Sales]</f>
        <v>0.25452338923212708</v>
      </c>
      <c r="R743" s="14">
        <f>Table1[Total_Sales]+Table1[Shipping_Cost]</f>
        <v>195.57</v>
      </c>
    </row>
    <row r="744" spans="1:18" x14ac:dyDescent="0.35">
      <c r="A744" s="3" t="s">
        <v>1502</v>
      </c>
      <c r="B744" s="2">
        <v>45340</v>
      </c>
      <c r="C744" s="1" t="s">
        <v>1503</v>
      </c>
      <c r="D744" s="1" t="s">
        <v>30</v>
      </c>
      <c r="E744" s="1" t="s">
        <v>18</v>
      </c>
      <c r="F744" s="1" t="s">
        <v>19</v>
      </c>
      <c r="G744" s="1" t="s">
        <v>42</v>
      </c>
      <c r="H744" s="1" t="s">
        <v>93</v>
      </c>
      <c r="I744" s="1">
        <v>7</v>
      </c>
      <c r="J744" s="1">
        <v>429.66</v>
      </c>
      <c r="K744" s="1">
        <v>0</v>
      </c>
      <c r="L744" s="1">
        <v>3007.62</v>
      </c>
      <c r="M744" s="1">
        <v>13.26</v>
      </c>
      <c r="N744" s="1">
        <v>1189.79</v>
      </c>
      <c r="O744" s="6" t="s">
        <v>39</v>
      </c>
      <c r="P744" s="8">
        <f>Table1[Quantity]*Table1[Unit_Price]</f>
        <v>3007.6200000000003</v>
      </c>
      <c r="Q744" s="1">
        <f>Table1[Profit]/Table1[Total_Sales]</f>
        <v>0.39559186333379881</v>
      </c>
      <c r="R744" s="14">
        <f>Table1[Total_Sales]+Table1[Shipping_Cost]</f>
        <v>3020.88</v>
      </c>
    </row>
    <row r="745" spans="1:18" x14ac:dyDescent="0.35">
      <c r="A745" s="3" t="s">
        <v>1504</v>
      </c>
      <c r="B745" s="2">
        <v>45340</v>
      </c>
      <c r="C745" s="1" t="s">
        <v>1505</v>
      </c>
      <c r="D745" s="1" t="s">
        <v>17</v>
      </c>
      <c r="E745" s="1" t="s">
        <v>92</v>
      </c>
      <c r="F745" s="1" t="s">
        <v>60</v>
      </c>
      <c r="G745" s="1" t="s">
        <v>42</v>
      </c>
      <c r="H745" s="1" t="s">
        <v>118</v>
      </c>
      <c r="I745" s="1">
        <v>2</v>
      </c>
      <c r="J745" s="1">
        <v>48.32</v>
      </c>
      <c r="K745" s="1">
        <v>20</v>
      </c>
      <c r="L745" s="1">
        <v>77.31</v>
      </c>
      <c r="M745" s="1">
        <v>12.19</v>
      </c>
      <c r="N745" s="1">
        <v>7.14</v>
      </c>
      <c r="O745" s="6" t="s">
        <v>22</v>
      </c>
      <c r="P745" s="8">
        <f>Table1[Quantity]*Table1[Unit_Price]</f>
        <v>96.64</v>
      </c>
      <c r="Q745" s="1">
        <f>Table1[Profit]/Table1[Total_Sales]</f>
        <v>9.2355452076057429E-2</v>
      </c>
      <c r="R745" s="14">
        <f>Table1[Total_Sales]+Table1[Shipping_Cost]</f>
        <v>89.5</v>
      </c>
    </row>
    <row r="746" spans="1:18" x14ac:dyDescent="0.35">
      <c r="A746" s="3" t="s">
        <v>1506</v>
      </c>
      <c r="B746" s="2">
        <v>45340</v>
      </c>
      <c r="C746" s="1" t="s">
        <v>1507</v>
      </c>
      <c r="D746" s="1" t="s">
        <v>17</v>
      </c>
      <c r="E746" s="1" t="s">
        <v>37</v>
      </c>
      <c r="F746" s="1" t="s">
        <v>26</v>
      </c>
      <c r="G746" s="1" t="s">
        <v>69</v>
      </c>
      <c r="H746" s="1" t="s">
        <v>163</v>
      </c>
      <c r="I746" s="1">
        <v>3</v>
      </c>
      <c r="J746" s="1">
        <v>62.02</v>
      </c>
      <c r="K746" s="1">
        <v>5</v>
      </c>
      <c r="L746" s="1">
        <v>176.76</v>
      </c>
      <c r="M746" s="1">
        <v>8.7899999999999991</v>
      </c>
      <c r="N746" s="1">
        <v>74.94</v>
      </c>
      <c r="O746" s="6" t="s">
        <v>22</v>
      </c>
      <c r="P746" s="8">
        <f>Table1[Quantity]*Table1[Unit_Price]</f>
        <v>186.06</v>
      </c>
      <c r="Q746" s="1">
        <f>Table1[Profit]/Table1[Total_Sales]</f>
        <v>0.42396469789545149</v>
      </c>
      <c r="R746" s="14">
        <f>Table1[Total_Sales]+Table1[Shipping_Cost]</f>
        <v>185.54999999999998</v>
      </c>
    </row>
    <row r="747" spans="1:18" x14ac:dyDescent="0.35">
      <c r="A747" s="3" t="s">
        <v>1508</v>
      </c>
      <c r="B747" s="2">
        <v>45343</v>
      </c>
      <c r="C747" s="1" t="s">
        <v>1509</v>
      </c>
      <c r="D747" s="1" t="s">
        <v>17</v>
      </c>
      <c r="E747" s="1" t="s">
        <v>248</v>
      </c>
      <c r="F747" s="1" t="s">
        <v>26</v>
      </c>
      <c r="G747" s="1" t="s">
        <v>20</v>
      </c>
      <c r="H747" s="1" t="s">
        <v>264</v>
      </c>
      <c r="I747" s="1">
        <v>1</v>
      </c>
      <c r="J747" s="1">
        <v>62.36</v>
      </c>
      <c r="K747" s="1">
        <v>15</v>
      </c>
      <c r="L747" s="1">
        <v>53.01</v>
      </c>
      <c r="M747" s="1">
        <v>7.88</v>
      </c>
      <c r="N747" s="1">
        <v>10.83</v>
      </c>
      <c r="O747" s="6" t="s">
        <v>34</v>
      </c>
      <c r="P747" s="8">
        <f>Table1[Quantity]*Table1[Unit_Price]</f>
        <v>62.36</v>
      </c>
      <c r="Q747" s="1">
        <f>Table1[Profit]/Table1[Total_Sales]</f>
        <v>0.20430107526881722</v>
      </c>
      <c r="R747" s="14">
        <f>Table1[Total_Sales]+Table1[Shipping_Cost]</f>
        <v>60.89</v>
      </c>
    </row>
    <row r="748" spans="1:18" x14ac:dyDescent="0.35">
      <c r="A748" s="3" t="s">
        <v>1510</v>
      </c>
      <c r="B748" s="2">
        <v>45343</v>
      </c>
      <c r="C748" s="1" t="s">
        <v>1511</v>
      </c>
      <c r="D748" s="1" t="s">
        <v>17</v>
      </c>
      <c r="E748" s="1" t="s">
        <v>31</v>
      </c>
      <c r="F748" s="1" t="s">
        <v>19</v>
      </c>
      <c r="G748" s="1" t="s">
        <v>69</v>
      </c>
      <c r="H748" s="1" t="s">
        <v>139</v>
      </c>
      <c r="I748" s="1">
        <v>3</v>
      </c>
      <c r="J748" s="1">
        <v>43.72</v>
      </c>
      <c r="K748" s="1">
        <v>0</v>
      </c>
      <c r="L748" s="1">
        <v>131.16</v>
      </c>
      <c r="M748" s="1">
        <v>11.64</v>
      </c>
      <c r="N748" s="1">
        <v>53.94</v>
      </c>
      <c r="O748" s="6" t="s">
        <v>39</v>
      </c>
      <c r="P748" s="8">
        <f>Table1[Quantity]*Table1[Unit_Price]</f>
        <v>131.16</v>
      </c>
      <c r="Q748" s="1">
        <f>Table1[Profit]/Table1[Total_Sales]</f>
        <v>0.41125343092406219</v>
      </c>
      <c r="R748" s="14">
        <f>Table1[Total_Sales]+Table1[Shipping_Cost]</f>
        <v>142.80000000000001</v>
      </c>
    </row>
    <row r="749" spans="1:18" x14ac:dyDescent="0.35">
      <c r="A749" s="3" t="s">
        <v>1512</v>
      </c>
      <c r="B749" s="2">
        <v>45343</v>
      </c>
      <c r="C749" s="1" t="s">
        <v>1513</v>
      </c>
      <c r="D749" s="1" t="s">
        <v>49</v>
      </c>
      <c r="E749" s="1" t="s">
        <v>76</v>
      </c>
      <c r="F749" s="1" t="s">
        <v>26</v>
      </c>
      <c r="G749" s="1" t="s">
        <v>69</v>
      </c>
      <c r="H749" s="1" t="s">
        <v>196</v>
      </c>
      <c r="I749" s="1">
        <v>5</v>
      </c>
      <c r="J749" s="1">
        <v>13.07</v>
      </c>
      <c r="K749" s="1">
        <v>0</v>
      </c>
      <c r="L749" s="1">
        <v>65.349999999999994</v>
      </c>
      <c r="M749" s="1">
        <v>13.22</v>
      </c>
      <c r="N749" s="1">
        <v>19.45</v>
      </c>
      <c r="O749" s="6" t="s">
        <v>56</v>
      </c>
      <c r="P749" s="8">
        <f>Table1[Quantity]*Table1[Unit_Price]</f>
        <v>65.349999999999994</v>
      </c>
      <c r="Q749" s="1">
        <f>Table1[Profit]/Table1[Total_Sales]</f>
        <v>0.29762815608263199</v>
      </c>
      <c r="R749" s="14">
        <f>Table1[Total_Sales]+Table1[Shipping_Cost]</f>
        <v>78.569999999999993</v>
      </c>
    </row>
    <row r="750" spans="1:18" x14ac:dyDescent="0.35">
      <c r="A750" s="3" t="s">
        <v>1514</v>
      </c>
      <c r="B750" s="2">
        <v>45343</v>
      </c>
      <c r="C750" s="1" t="s">
        <v>1515</v>
      </c>
      <c r="D750" s="1" t="s">
        <v>17</v>
      </c>
      <c r="E750" s="1" t="s">
        <v>18</v>
      </c>
      <c r="F750" s="1" t="s">
        <v>19</v>
      </c>
      <c r="G750" s="1" t="s">
        <v>42</v>
      </c>
      <c r="H750" s="1" t="s">
        <v>43</v>
      </c>
      <c r="I750" s="1">
        <v>1</v>
      </c>
      <c r="J750" s="1">
        <v>246.49</v>
      </c>
      <c r="K750" s="1">
        <v>10</v>
      </c>
      <c r="L750" s="1">
        <v>221.84</v>
      </c>
      <c r="M750" s="1">
        <v>6.91</v>
      </c>
      <c r="N750" s="1">
        <v>67.040000000000006</v>
      </c>
      <c r="O750" s="6" t="s">
        <v>34</v>
      </c>
      <c r="P750" s="8">
        <f>Table1[Quantity]*Table1[Unit_Price]</f>
        <v>246.49</v>
      </c>
      <c r="Q750" s="1">
        <f>Table1[Profit]/Table1[Total_Sales]</f>
        <v>0.30219978362783989</v>
      </c>
      <c r="R750" s="14">
        <f>Table1[Total_Sales]+Table1[Shipping_Cost]</f>
        <v>228.75</v>
      </c>
    </row>
    <row r="751" spans="1:18" x14ac:dyDescent="0.35">
      <c r="A751" s="3" t="s">
        <v>1516</v>
      </c>
      <c r="B751" s="2">
        <v>45345</v>
      </c>
      <c r="C751" s="1" t="s">
        <v>1517</v>
      </c>
      <c r="D751" s="1" t="s">
        <v>30</v>
      </c>
      <c r="E751" s="1" t="s">
        <v>129</v>
      </c>
      <c r="F751" s="1" t="s">
        <v>19</v>
      </c>
      <c r="G751" s="1" t="s">
        <v>69</v>
      </c>
      <c r="H751" s="1" t="s">
        <v>196</v>
      </c>
      <c r="I751" s="1">
        <v>7</v>
      </c>
      <c r="J751" s="1">
        <v>23.26</v>
      </c>
      <c r="K751" s="1">
        <v>5</v>
      </c>
      <c r="L751" s="1">
        <v>154.68</v>
      </c>
      <c r="M751" s="1">
        <v>15.24</v>
      </c>
      <c r="N751" s="1">
        <v>58.03</v>
      </c>
      <c r="O751" s="6" t="s">
        <v>34</v>
      </c>
      <c r="P751" s="8">
        <f>Table1[Quantity]*Table1[Unit_Price]</f>
        <v>162.82000000000002</v>
      </c>
      <c r="Q751" s="1">
        <f>Table1[Profit]/Table1[Total_Sales]</f>
        <v>0.37516162399793118</v>
      </c>
      <c r="R751" s="14">
        <f>Table1[Total_Sales]+Table1[Shipping_Cost]</f>
        <v>169.92000000000002</v>
      </c>
    </row>
    <row r="752" spans="1:18" x14ac:dyDescent="0.35">
      <c r="A752" s="3" t="s">
        <v>1518</v>
      </c>
      <c r="B752" s="2">
        <v>45347</v>
      </c>
      <c r="C752" s="1" t="s">
        <v>579</v>
      </c>
      <c r="D752" s="1" t="s">
        <v>30</v>
      </c>
      <c r="E752" s="1" t="s">
        <v>76</v>
      </c>
      <c r="F752" s="1" t="s">
        <v>26</v>
      </c>
      <c r="G752" s="1" t="s">
        <v>42</v>
      </c>
      <c r="H752" s="1" t="s">
        <v>118</v>
      </c>
      <c r="I752" s="1">
        <v>1</v>
      </c>
      <c r="J752" s="1">
        <v>61.18</v>
      </c>
      <c r="K752" s="1">
        <v>0</v>
      </c>
      <c r="L752" s="1">
        <v>61.18</v>
      </c>
      <c r="M752" s="1">
        <v>8.33</v>
      </c>
      <c r="N752" s="1">
        <v>16.14</v>
      </c>
      <c r="O752" s="6" t="s">
        <v>39</v>
      </c>
      <c r="P752" s="8">
        <f>Table1[Quantity]*Table1[Unit_Price]</f>
        <v>61.18</v>
      </c>
      <c r="Q752" s="1">
        <f>Table1[Profit]/Table1[Total_Sales]</f>
        <v>0.26381170317097091</v>
      </c>
      <c r="R752" s="14">
        <f>Table1[Total_Sales]+Table1[Shipping_Cost]</f>
        <v>69.510000000000005</v>
      </c>
    </row>
    <row r="753" spans="1:18" x14ac:dyDescent="0.35">
      <c r="A753" s="3" t="s">
        <v>1519</v>
      </c>
      <c r="B753" s="2">
        <v>45349</v>
      </c>
      <c r="C753" s="1" t="s">
        <v>1520</v>
      </c>
      <c r="D753" s="1" t="s">
        <v>17</v>
      </c>
      <c r="E753" s="1" t="s">
        <v>248</v>
      </c>
      <c r="F753" s="1" t="s">
        <v>26</v>
      </c>
      <c r="G753" s="1" t="s">
        <v>20</v>
      </c>
      <c r="H753" s="1" t="s">
        <v>122</v>
      </c>
      <c r="I753" s="1">
        <v>4</v>
      </c>
      <c r="J753" s="1">
        <v>78.349999999999994</v>
      </c>
      <c r="K753" s="1">
        <v>20</v>
      </c>
      <c r="L753" s="1">
        <v>250.72</v>
      </c>
      <c r="M753" s="1">
        <v>12.16</v>
      </c>
      <c r="N753" s="1">
        <v>66.19</v>
      </c>
      <c r="O753" s="6" t="s">
        <v>39</v>
      </c>
      <c r="P753" s="8">
        <f>Table1[Quantity]*Table1[Unit_Price]</f>
        <v>313.39999999999998</v>
      </c>
      <c r="Q753" s="1">
        <f>Table1[Profit]/Table1[Total_Sales]</f>
        <v>0.26399968091895343</v>
      </c>
      <c r="R753" s="14">
        <f>Table1[Total_Sales]+Table1[Shipping_Cost]</f>
        <v>262.88</v>
      </c>
    </row>
    <row r="754" spans="1:18" x14ac:dyDescent="0.35">
      <c r="A754" s="3" t="s">
        <v>1521</v>
      </c>
      <c r="B754" s="2">
        <v>45349</v>
      </c>
      <c r="C754" s="1" t="s">
        <v>1522</v>
      </c>
      <c r="D754" s="1" t="s">
        <v>30</v>
      </c>
      <c r="E754" s="1" t="s">
        <v>138</v>
      </c>
      <c r="F754" s="1" t="s">
        <v>54</v>
      </c>
      <c r="G754" s="1" t="s">
        <v>32</v>
      </c>
      <c r="H754" s="1" t="s">
        <v>101</v>
      </c>
      <c r="I754" s="1">
        <v>2</v>
      </c>
      <c r="J754" s="1">
        <v>13.33</v>
      </c>
      <c r="K754" s="1">
        <v>15</v>
      </c>
      <c r="L754" s="1">
        <v>22.66</v>
      </c>
      <c r="M754" s="1">
        <v>15.68</v>
      </c>
      <c r="N754" s="1">
        <v>-5.0199999999999996</v>
      </c>
      <c r="O754" s="6" t="s">
        <v>39</v>
      </c>
      <c r="P754" s="8">
        <f>Table1[Quantity]*Table1[Unit_Price]</f>
        <v>26.66</v>
      </c>
      <c r="Q754" s="1">
        <f>Table1[Profit]/Table1[Total_Sales]</f>
        <v>-0.22153574580759045</v>
      </c>
      <c r="R754" s="14">
        <f>Table1[Total_Sales]+Table1[Shipping_Cost]</f>
        <v>38.340000000000003</v>
      </c>
    </row>
    <row r="755" spans="1:18" x14ac:dyDescent="0.35">
      <c r="A755" s="3" t="s">
        <v>1523</v>
      </c>
      <c r="B755" s="2">
        <v>45349</v>
      </c>
      <c r="C755" s="1" t="s">
        <v>905</v>
      </c>
      <c r="D755" s="1" t="s">
        <v>30</v>
      </c>
      <c r="E755" s="1" t="s">
        <v>18</v>
      </c>
      <c r="F755" s="1" t="s">
        <v>19</v>
      </c>
      <c r="G755" s="1" t="s">
        <v>32</v>
      </c>
      <c r="H755" s="1" t="s">
        <v>110</v>
      </c>
      <c r="I755" s="1">
        <v>1</v>
      </c>
      <c r="J755" s="1">
        <v>14.7</v>
      </c>
      <c r="K755" s="1">
        <v>15</v>
      </c>
      <c r="L755" s="1">
        <v>12.49</v>
      </c>
      <c r="M755" s="1">
        <v>7.42</v>
      </c>
      <c r="N755" s="1">
        <v>-1.54</v>
      </c>
      <c r="O755" s="6" t="s">
        <v>34</v>
      </c>
      <c r="P755" s="8">
        <f>Table1[Quantity]*Table1[Unit_Price]</f>
        <v>14.7</v>
      </c>
      <c r="Q755" s="1">
        <f>Table1[Profit]/Table1[Total_Sales]</f>
        <v>-0.12329863891112891</v>
      </c>
      <c r="R755" s="14">
        <f>Table1[Total_Sales]+Table1[Shipping_Cost]</f>
        <v>19.91</v>
      </c>
    </row>
    <row r="756" spans="1:18" x14ac:dyDescent="0.35">
      <c r="A756" s="3" t="s">
        <v>1524</v>
      </c>
      <c r="B756" s="2">
        <v>45353</v>
      </c>
      <c r="C756" s="1" t="s">
        <v>502</v>
      </c>
      <c r="D756" s="1" t="s">
        <v>17</v>
      </c>
      <c r="E756" s="1" t="s">
        <v>248</v>
      </c>
      <c r="F756" s="1" t="s">
        <v>26</v>
      </c>
      <c r="G756" s="1" t="s">
        <v>32</v>
      </c>
      <c r="H756" s="1" t="s">
        <v>348</v>
      </c>
      <c r="I756" s="1">
        <v>4</v>
      </c>
      <c r="J756" s="1">
        <v>10.51</v>
      </c>
      <c r="K756" s="1">
        <v>5</v>
      </c>
      <c r="L756" s="1">
        <v>39.94</v>
      </c>
      <c r="M756" s="1">
        <v>13.17</v>
      </c>
      <c r="N756" s="1">
        <v>7.85</v>
      </c>
      <c r="O756" s="6" t="s">
        <v>34</v>
      </c>
      <c r="P756" s="8">
        <f>Table1[Quantity]*Table1[Unit_Price]</f>
        <v>42.04</v>
      </c>
      <c r="Q756" s="1">
        <f>Table1[Profit]/Table1[Total_Sales]</f>
        <v>0.19654481722583875</v>
      </c>
      <c r="R756" s="14">
        <f>Table1[Total_Sales]+Table1[Shipping_Cost]</f>
        <v>53.11</v>
      </c>
    </row>
    <row r="757" spans="1:18" x14ac:dyDescent="0.35">
      <c r="A757" s="3" t="s">
        <v>1525</v>
      </c>
      <c r="B757" s="2">
        <v>45354</v>
      </c>
      <c r="C757" s="1" t="s">
        <v>1526</v>
      </c>
      <c r="D757" s="1" t="s">
        <v>49</v>
      </c>
      <c r="E757" s="1" t="s">
        <v>37</v>
      </c>
      <c r="F757" s="1" t="s">
        <v>26</v>
      </c>
      <c r="G757" s="1" t="s">
        <v>42</v>
      </c>
      <c r="H757" s="1" t="s">
        <v>294</v>
      </c>
      <c r="I757" s="1">
        <v>5</v>
      </c>
      <c r="J757" s="1">
        <v>131.71</v>
      </c>
      <c r="K757" s="1">
        <v>10</v>
      </c>
      <c r="L757" s="1">
        <v>592.70000000000005</v>
      </c>
      <c r="M757" s="1">
        <v>10.75</v>
      </c>
      <c r="N757" s="1">
        <v>186.82</v>
      </c>
      <c r="O757" s="6" t="s">
        <v>22</v>
      </c>
      <c r="P757" s="8">
        <f>Table1[Quantity]*Table1[Unit_Price]</f>
        <v>658.55000000000007</v>
      </c>
      <c r="Q757" s="1">
        <f>Table1[Profit]/Table1[Total_Sales]</f>
        <v>0.31520161970642818</v>
      </c>
      <c r="R757" s="14">
        <f>Table1[Total_Sales]+Table1[Shipping_Cost]</f>
        <v>603.45000000000005</v>
      </c>
    </row>
    <row r="758" spans="1:18" x14ac:dyDescent="0.35">
      <c r="A758" s="3" t="s">
        <v>1527</v>
      </c>
      <c r="B758" s="2">
        <v>45355</v>
      </c>
      <c r="C758" s="1" t="s">
        <v>770</v>
      </c>
      <c r="D758" s="1" t="s">
        <v>17</v>
      </c>
      <c r="E758" s="1" t="s">
        <v>92</v>
      </c>
      <c r="F758" s="1" t="s">
        <v>60</v>
      </c>
      <c r="G758" s="1" t="s">
        <v>32</v>
      </c>
      <c r="H758" s="1" t="s">
        <v>110</v>
      </c>
      <c r="I758" s="1">
        <v>5</v>
      </c>
      <c r="J758" s="1">
        <v>5</v>
      </c>
      <c r="K758" s="1">
        <v>0</v>
      </c>
      <c r="L758" s="1">
        <v>25</v>
      </c>
      <c r="M758" s="1">
        <v>13.15</v>
      </c>
      <c r="N758" s="1">
        <v>0.6</v>
      </c>
      <c r="O758" s="6" t="s">
        <v>22</v>
      </c>
      <c r="P758" s="8">
        <f>Table1[Quantity]*Table1[Unit_Price]</f>
        <v>25</v>
      </c>
      <c r="Q758" s="1">
        <f>Table1[Profit]/Table1[Total_Sales]</f>
        <v>2.4E-2</v>
      </c>
      <c r="R758" s="14">
        <f>Table1[Total_Sales]+Table1[Shipping_Cost]</f>
        <v>38.15</v>
      </c>
    </row>
    <row r="759" spans="1:18" x14ac:dyDescent="0.35">
      <c r="A759" s="3" t="s">
        <v>1528</v>
      </c>
      <c r="B759" s="2">
        <v>45356</v>
      </c>
      <c r="C759" s="1" t="s">
        <v>946</v>
      </c>
      <c r="D759" s="1" t="s">
        <v>49</v>
      </c>
      <c r="E759" s="1" t="s">
        <v>129</v>
      </c>
      <c r="F759" s="1" t="s">
        <v>19</v>
      </c>
      <c r="G759" s="1" t="s">
        <v>32</v>
      </c>
      <c r="H759" s="1" t="s">
        <v>149</v>
      </c>
      <c r="I759" s="1">
        <v>1</v>
      </c>
      <c r="J759" s="1">
        <v>12.92</v>
      </c>
      <c r="K759" s="1">
        <v>10</v>
      </c>
      <c r="L759" s="1">
        <v>11.63</v>
      </c>
      <c r="M759" s="1">
        <v>5.83</v>
      </c>
      <c r="N759" s="1">
        <v>-0.01</v>
      </c>
      <c r="O759" s="6" t="s">
        <v>34</v>
      </c>
      <c r="P759" s="8">
        <f>Table1[Quantity]*Table1[Unit_Price]</f>
        <v>12.92</v>
      </c>
      <c r="Q759" s="1">
        <f>Table1[Profit]/Table1[Total_Sales]</f>
        <v>-8.5984522785898529E-4</v>
      </c>
      <c r="R759" s="14">
        <f>Table1[Total_Sales]+Table1[Shipping_Cost]</f>
        <v>17.46</v>
      </c>
    </row>
    <row r="760" spans="1:18" x14ac:dyDescent="0.35">
      <c r="A760" s="3" t="s">
        <v>1529</v>
      </c>
      <c r="B760" s="2">
        <v>45356</v>
      </c>
      <c r="C760" s="1" t="s">
        <v>1530</v>
      </c>
      <c r="D760" s="1" t="s">
        <v>30</v>
      </c>
      <c r="E760" s="1" t="s">
        <v>31</v>
      </c>
      <c r="F760" s="1" t="s">
        <v>19</v>
      </c>
      <c r="G760" s="1" t="s">
        <v>32</v>
      </c>
      <c r="H760" s="1" t="s">
        <v>101</v>
      </c>
      <c r="I760" s="1">
        <v>6</v>
      </c>
      <c r="J760" s="1">
        <v>15.88</v>
      </c>
      <c r="K760" s="1">
        <v>5</v>
      </c>
      <c r="L760" s="1">
        <v>90.52</v>
      </c>
      <c r="M760" s="1">
        <v>10.1</v>
      </c>
      <c r="N760" s="1">
        <v>37.54</v>
      </c>
      <c r="O760" s="6" t="s">
        <v>39</v>
      </c>
      <c r="P760" s="8">
        <f>Table1[Quantity]*Table1[Unit_Price]</f>
        <v>95.28</v>
      </c>
      <c r="Q760" s="1">
        <f>Table1[Profit]/Table1[Total_Sales]</f>
        <v>0.41471498011489172</v>
      </c>
      <c r="R760" s="14">
        <f>Table1[Total_Sales]+Table1[Shipping_Cost]</f>
        <v>100.61999999999999</v>
      </c>
    </row>
    <row r="761" spans="1:18" x14ac:dyDescent="0.35">
      <c r="A761" s="3" t="s">
        <v>1531</v>
      </c>
      <c r="B761" s="2">
        <v>45356</v>
      </c>
      <c r="C761" s="1" t="s">
        <v>1532</v>
      </c>
      <c r="D761" s="1" t="s">
        <v>30</v>
      </c>
      <c r="E761" s="1" t="s">
        <v>18</v>
      </c>
      <c r="F761" s="1" t="s">
        <v>19</v>
      </c>
      <c r="G761" s="1" t="s">
        <v>69</v>
      </c>
      <c r="H761" s="1" t="s">
        <v>163</v>
      </c>
      <c r="I761" s="1">
        <v>5</v>
      </c>
      <c r="J761" s="1">
        <v>32.04</v>
      </c>
      <c r="K761" s="1">
        <v>5</v>
      </c>
      <c r="L761" s="1">
        <v>152.19</v>
      </c>
      <c r="M761" s="1">
        <v>8.49</v>
      </c>
      <c r="N761" s="1">
        <v>63.6</v>
      </c>
      <c r="O761" s="6" t="s">
        <v>56</v>
      </c>
      <c r="P761" s="8">
        <f>Table1[Quantity]*Table1[Unit_Price]</f>
        <v>160.19999999999999</v>
      </c>
      <c r="Q761" s="1">
        <f>Table1[Profit]/Table1[Total_Sales]</f>
        <v>0.41789867928247587</v>
      </c>
      <c r="R761" s="14">
        <f>Table1[Total_Sales]+Table1[Shipping_Cost]</f>
        <v>160.68</v>
      </c>
    </row>
    <row r="762" spans="1:18" x14ac:dyDescent="0.35">
      <c r="A762" s="3" t="s">
        <v>1533</v>
      </c>
      <c r="B762" s="2">
        <v>45356</v>
      </c>
      <c r="C762" s="1" t="s">
        <v>1534</v>
      </c>
      <c r="D762" s="1" t="s">
        <v>17</v>
      </c>
      <c r="E762" s="1" t="s">
        <v>109</v>
      </c>
      <c r="F762" s="1" t="s">
        <v>54</v>
      </c>
      <c r="G762" s="1" t="s">
        <v>20</v>
      </c>
      <c r="H762" s="1" t="s">
        <v>21</v>
      </c>
      <c r="I762" s="1">
        <v>3</v>
      </c>
      <c r="J762" s="1">
        <v>187.55</v>
      </c>
      <c r="K762" s="1">
        <v>15</v>
      </c>
      <c r="L762" s="1">
        <v>478.25</v>
      </c>
      <c r="M762" s="1">
        <v>15.41</v>
      </c>
      <c r="N762" s="1">
        <v>153.38</v>
      </c>
      <c r="O762" s="6" t="s">
        <v>22</v>
      </c>
      <c r="P762" s="8">
        <f>Table1[Quantity]*Table1[Unit_Price]</f>
        <v>562.65000000000009</v>
      </c>
      <c r="Q762" s="1">
        <f>Table1[Profit]/Table1[Total_Sales]</f>
        <v>0.32071092524830108</v>
      </c>
      <c r="R762" s="14">
        <f>Table1[Total_Sales]+Table1[Shipping_Cost]</f>
        <v>493.66</v>
      </c>
    </row>
    <row r="763" spans="1:18" x14ac:dyDescent="0.35">
      <c r="A763" s="3" t="s">
        <v>1535</v>
      </c>
      <c r="B763" s="2">
        <v>45357</v>
      </c>
      <c r="C763" s="1" t="s">
        <v>1536</v>
      </c>
      <c r="D763" s="1" t="s">
        <v>30</v>
      </c>
      <c r="E763" s="1" t="s">
        <v>59</v>
      </c>
      <c r="F763" s="1" t="s">
        <v>60</v>
      </c>
      <c r="G763" s="1" t="s">
        <v>20</v>
      </c>
      <c r="H763" s="1" t="s">
        <v>38</v>
      </c>
      <c r="I763" s="1">
        <v>11</v>
      </c>
      <c r="J763" s="1">
        <v>67.959999999999994</v>
      </c>
      <c r="K763" s="1">
        <v>5</v>
      </c>
      <c r="L763" s="1">
        <v>710.18</v>
      </c>
      <c r="M763" s="1">
        <v>35.32</v>
      </c>
      <c r="N763" s="1">
        <v>263.7</v>
      </c>
      <c r="O763" s="6" t="s">
        <v>22</v>
      </c>
      <c r="P763" s="8">
        <f>Table1[Quantity]*Table1[Unit_Price]</f>
        <v>747.56</v>
      </c>
      <c r="Q763" s="1">
        <f>Table1[Profit]/Table1[Total_Sales]</f>
        <v>0.37131431468078518</v>
      </c>
      <c r="R763" s="14">
        <f>Table1[Total_Sales]+Table1[Shipping_Cost]</f>
        <v>745.5</v>
      </c>
    </row>
    <row r="764" spans="1:18" x14ac:dyDescent="0.35">
      <c r="A764" s="3" t="s">
        <v>1537</v>
      </c>
      <c r="B764" s="2">
        <v>45357</v>
      </c>
      <c r="C764" s="1" t="s">
        <v>1538</v>
      </c>
      <c r="D764" s="1" t="s">
        <v>17</v>
      </c>
      <c r="E764" s="1" t="s">
        <v>169</v>
      </c>
      <c r="F764" s="1" t="s">
        <v>68</v>
      </c>
      <c r="G764" s="1" t="s">
        <v>42</v>
      </c>
      <c r="H764" s="1" t="s">
        <v>64</v>
      </c>
      <c r="I764" s="1">
        <v>1</v>
      </c>
      <c r="J764" s="1">
        <v>127.07</v>
      </c>
      <c r="K764" s="1">
        <v>0</v>
      </c>
      <c r="L764" s="1">
        <v>127.07</v>
      </c>
      <c r="M764" s="1">
        <v>10.8</v>
      </c>
      <c r="N764" s="1">
        <v>40.03</v>
      </c>
      <c r="O764" s="6" t="s">
        <v>34</v>
      </c>
      <c r="P764" s="8">
        <f>Table1[Quantity]*Table1[Unit_Price]</f>
        <v>127.07</v>
      </c>
      <c r="Q764" s="1">
        <f>Table1[Profit]/Table1[Total_Sales]</f>
        <v>0.31502321555048401</v>
      </c>
      <c r="R764" s="14">
        <f>Table1[Total_Sales]+Table1[Shipping_Cost]</f>
        <v>137.87</v>
      </c>
    </row>
    <row r="765" spans="1:18" x14ac:dyDescent="0.35">
      <c r="A765" s="3" t="s">
        <v>1539</v>
      </c>
      <c r="B765" s="2">
        <v>45358</v>
      </c>
      <c r="C765" s="1" t="s">
        <v>1540</v>
      </c>
      <c r="D765" s="1" t="s">
        <v>17</v>
      </c>
      <c r="E765" s="1" t="s">
        <v>59</v>
      </c>
      <c r="F765" s="1" t="s">
        <v>60</v>
      </c>
      <c r="G765" s="1" t="s">
        <v>69</v>
      </c>
      <c r="H765" s="1" t="s">
        <v>86</v>
      </c>
      <c r="I765" s="1">
        <v>5</v>
      </c>
      <c r="J765" s="1">
        <v>110.65</v>
      </c>
      <c r="K765" s="1">
        <v>0</v>
      </c>
      <c r="L765" s="1">
        <v>553.25</v>
      </c>
      <c r="M765" s="1">
        <v>13.18</v>
      </c>
      <c r="N765" s="1">
        <v>263.44</v>
      </c>
      <c r="O765" s="6" t="s">
        <v>34</v>
      </c>
      <c r="P765" s="8">
        <f>Table1[Quantity]*Table1[Unit_Price]</f>
        <v>553.25</v>
      </c>
      <c r="Q765" s="1">
        <f>Table1[Profit]/Table1[Total_Sales]</f>
        <v>0.47616809760506101</v>
      </c>
      <c r="R765" s="14">
        <f>Table1[Total_Sales]+Table1[Shipping_Cost]</f>
        <v>566.42999999999995</v>
      </c>
    </row>
    <row r="766" spans="1:18" x14ac:dyDescent="0.35">
      <c r="A766" s="3" t="s">
        <v>1541</v>
      </c>
      <c r="B766" s="2">
        <v>45358</v>
      </c>
      <c r="C766" s="1" t="s">
        <v>1542</v>
      </c>
      <c r="D766" s="1" t="s">
        <v>30</v>
      </c>
      <c r="E766" s="1" t="s">
        <v>67</v>
      </c>
      <c r="F766" s="1" t="s">
        <v>68</v>
      </c>
      <c r="G766" s="1" t="s">
        <v>20</v>
      </c>
      <c r="H766" s="1" t="s">
        <v>175</v>
      </c>
      <c r="I766" s="1">
        <v>2</v>
      </c>
      <c r="J766" s="1">
        <v>27.57</v>
      </c>
      <c r="K766" s="1">
        <v>0</v>
      </c>
      <c r="L766" s="1">
        <v>55.14</v>
      </c>
      <c r="M766" s="1">
        <v>12.15</v>
      </c>
      <c r="N766" s="1">
        <v>12.66</v>
      </c>
      <c r="O766" s="6" t="s">
        <v>39</v>
      </c>
      <c r="P766" s="8">
        <f>Table1[Quantity]*Table1[Unit_Price]</f>
        <v>55.14</v>
      </c>
      <c r="Q766" s="1">
        <f>Table1[Profit]/Table1[Total_Sales]</f>
        <v>0.22959738846572361</v>
      </c>
      <c r="R766" s="14">
        <f>Table1[Total_Sales]+Table1[Shipping_Cost]</f>
        <v>67.290000000000006</v>
      </c>
    </row>
    <row r="767" spans="1:18" x14ac:dyDescent="0.35">
      <c r="A767" s="3" t="s">
        <v>1543</v>
      </c>
      <c r="B767" s="2">
        <v>45358</v>
      </c>
      <c r="C767" s="1" t="s">
        <v>1133</v>
      </c>
      <c r="D767" s="1" t="s">
        <v>49</v>
      </c>
      <c r="E767" s="1" t="s">
        <v>59</v>
      </c>
      <c r="F767" s="1" t="s">
        <v>60</v>
      </c>
      <c r="G767" s="1" t="s">
        <v>42</v>
      </c>
      <c r="H767" s="1" t="s">
        <v>234</v>
      </c>
      <c r="I767" s="1">
        <v>4</v>
      </c>
      <c r="J767" s="1">
        <v>36.409999999999997</v>
      </c>
      <c r="K767" s="1">
        <v>10</v>
      </c>
      <c r="L767" s="1">
        <v>131.08000000000001</v>
      </c>
      <c r="M767" s="1">
        <v>17.64</v>
      </c>
      <c r="N767" s="1">
        <v>26.06</v>
      </c>
      <c r="O767" s="6" t="s">
        <v>56</v>
      </c>
      <c r="P767" s="8">
        <f>Table1[Quantity]*Table1[Unit_Price]</f>
        <v>145.63999999999999</v>
      </c>
      <c r="Q767" s="1">
        <f>Table1[Profit]/Table1[Total_Sales]</f>
        <v>0.19880988709185227</v>
      </c>
      <c r="R767" s="14">
        <f>Table1[Total_Sales]+Table1[Shipping_Cost]</f>
        <v>148.72000000000003</v>
      </c>
    </row>
    <row r="768" spans="1:18" x14ac:dyDescent="0.35">
      <c r="A768" s="3" t="s">
        <v>1544</v>
      </c>
      <c r="B768" s="2">
        <v>45359</v>
      </c>
      <c r="C768" s="1" t="s">
        <v>1545</v>
      </c>
      <c r="D768" s="1" t="s">
        <v>30</v>
      </c>
      <c r="E768" s="1" t="s">
        <v>59</v>
      </c>
      <c r="F768" s="1" t="s">
        <v>60</v>
      </c>
      <c r="G768" s="1" t="s">
        <v>32</v>
      </c>
      <c r="H768" s="1" t="s">
        <v>115</v>
      </c>
      <c r="I768" s="1">
        <v>4</v>
      </c>
      <c r="J768" s="1">
        <v>7.72</v>
      </c>
      <c r="K768" s="1">
        <v>15</v>
      </c>
      <c r="L768" s="1">
        <v>26.25</v>
      </c>
      <c r="M768" s="1">
        <v>14</v>
      </c>
      <c r="N768" s="1">
        <v>-1.65</v>
      </c>
      <c r="O768" s="6" t="s">
        <v>39</v>
      </c>
      <c r="P768" s="8">
        <f>Table1[Quantity]*Table1[Unit_Price]</f>
        <v>30.88</v>
      </c>
      <c r="Q768" s="1">
        <f>Table1[Profit]/Table1[Total_Sales]</f>
        <v>-6.2857142857142848E-2</v>
      </c>
      <c r="R768" s="14">
        <f>Table1[Total_Sales]+Table1[Shipping_Cost]</f>
        <v>40.25</v>
      </c>
    </row>
    <row r="769" spans="1:18" x14ac:dyDescent="0.35">
      <c r="A769" s="3" t="s">
        <v>1546</v>
      </c>
      <c r="B769" s="2">
        <v>45359</v>
      </c>
      <c r="C769" s="1" t="s">
        <v>1547</v>
      </c>
      <c r="D769" s="1" t="s">
        <v>30</v>
      </c>
      <c r="E769" s="1" t="s">
        <v>76</v>
      </c>
      <c r="F769" s="1" t="s">
        <v>26</v>
      </c>
      <c r="G769" s="1" t="s">
        <v>20</v>
      </c>
      <c r="H769" s="1" t="s">
        <v>106</v>
      </c>
      <c r="I769" s="1">
        <v>2</v>
      </c>
      <c r="J769" s="1">
        <v>57.7</v>
      </c>
      <c r="K769" s="1">
        <v>0</v>
      </c>
      <c r="L769" s="1">
        <v>115.4</v>
      </c>
      <c r="M769" s="1">
        <v>9.5500000000000007</v>
      </c>
      <c r="N769" s="1">
        <v>42.38</v>
      </c>
      <c r="O769" s="6" t="s">
        <v>56</v>
      </c>
      <c r="P769" s="8">
        <f>Table1[Quantity]*Table1[Unit_Price]</f>
        <v>115.4</v>
      </c>
      <c r="Q769" s="1">
        <f>Table1[Profit]/Table1[Total_Sales]</f>
        <v>0.36724436741767763</v>
      </c>
      <c r="R769" s="14">
        <f>Table1[Total_Sales]+Table1[Shipping_Cost]</f>
        <v>124.95</v>
      </c>
    </row>
    <row r="770" spans="1:18" x14ac:dyDescent="0.35">
      <c r="A770" s="3" t="s">
        <v>1548</v>
      </c>
      <c r="B770" s="2">
        <v>45359</v>
      </c>
      <c r="C770" s="1" t="s">
        <v>1549</v>
      </c>
      <c r="D770" s="1" t="s">
        <v>30</v>
      </c>
      <c r="E770" s="1" t="s">
        <v>18</v>
      </c>
      <c r="F770" s="1" t="s">
        <v>19</v>
      </c>
      <c r="G770" s="1" t="s">
        <v>20</v>
      </c>
      <c r="H770" s="1" t="s">
        <v>264</v>
      </c>
      <c r="I770" s="1">
        <v>3</v>
      </c>
      <c r="J770" s="1">
        <v>69.59</v>
      </c>
      <c r="K770" s="1">
        <v>20</v>
      </c>
      <c r="L770" s="1">
        <v>167.02</v>
      </c>
      <c r="M770" s="1">
        <v>10.17</v>
      </c>
      <c r="N770" s="1">
        <v>42.03</v>
      </c>
      <c r="O770" s="6" t="s">
        <v>22</v>
      </c>
      <c r="P770" s="8">
        <f>Table1[Quantity]*Table1[Unit_Price]</f>
        <v>208.77</v>
      </c>
      <c r="Q770" s="1">
        <f>Table1[Profit]/Table1[Total_Sales]</f>
        <v>0.25164650940007183</v>
      </c>
      <c r="R770" s="14">
        <f>Table1[Total_Sales]+Table1[Shipping_Cost]</f>
        <v>177.19</v>
      </c>
    </row>
    <row r="771" spans="1:18" x14ac:dyDescent="0.35">
      <c r="A771" s="3" t="s">
        <v>1550</v>
      </c>
      <c r="B771" s="2">
        <v>45360</v>
      </c>
      <c r="C771" s="1" t="s">
        <v>651</v>
      </c>
      <c r="D771" s="1" t="s">
        <v>30</v>
      </c>
      <c r="E771" s="1" t="s">
        <v>166</v>
      </c>
      <c r="F771" s="1" t="s">
        <v>60</v>
      </c>
      <c r="G771" s="1" t="s">
        <v>32</v>
      </c>
      <c r="H771" s="1" t="s">
        <v>82</v>
      </c>
      <c r="I771" s="1">
        <v>1</v>
      </c>
      <c r="J771" s="1">
        <v>10.42</v>
      </c>
      <c r="K771" s="1">
        <v>10</v>
      </c>
      <c r="L771" s="1">
        <v>9.3800000000000008</v>
      </c>
      <c r="M771" s="1">
        <v>10.01</v>
      </c>
      <c r="N771" s="1">
        <v>-5.32</v>
      </c>
      <c r="O771" s="6" t="s">
        <v>34</v>
      </c>
      <c r="P771" s="8">
        <f>Table1[Quantity]*Table1[Unit_Price]</f>
        <v>10.42</v>
      </c>
      <c r="Q771" s="1">
        <f>Table1[Profit]/Table1[Total_Sales]</f>
        <v>-0.56716417910447758</v>
      </c>
      <c r="R771" s="14">
        <f>Table1[Total_Sales]+Table1[Shipping_Cost]</f>
        <v>19.39</v>
      </c>
    </row>
    <row r="772" spans="1:18" x14ac:dyDescent="0.35">
      <c r="A772" s="3" t="s">
        <v>1551</v>
      </c>
      <c r="B772" s="2">
        <v>45361</v>
      </c>
      <c r="C772" s="1" t="s">
        <v>1552</v>
      </c>
      <c r="D772" s="1" t="s">
        <v>30</v>
      </c>
      <c r="E772" s="1" t="s">
        <v>53</v>
      </c>
      <c r="F772" s="1" t="s">
        <v>54</v>
      </c>
      <c r="G772" s="1" t="s">
        <v>32</v>
      </c>
      <c r="H772" s="1" t="s">
        <v>132</v>
      </c>
      <c r="I772" s="1">
        <v>1</v>
      </c>
      <c r="J772" s="1">
        <v>10.33</v>
      </c>
      <c r="K772" s="1">
        <v>0</v>
      </c>
      <c r="L772" s="1">
        <v>10.33</v>
      </c>
      <c r="M772" s="1">
        <v>12.17</v>
      </c>
      <c r="N772" s="1">
        <v>-6.49</v>
      </c>
      <c r="O772" s="6" t="s">
        <v>34</v>
      </c>
      <c r="P772" s="8">
        <f>Table1[Quantity]*Table1[Unit_Price]</f>
        <v>10.33</v>
      </c>
      <c r="Q772" s="1">
        <f>Table1[Profit]/Table1[Total_Sales]</f>
        <v>-0.62826718296224593</v>
      </c>
      <c r="R772" s="14">
        <f>Table1[Total_Sales]+Table1[Shipping_Cost]</f>
        <v>22.5</v>
      </c>
    </row>
    <row r="773" spans="1:18" x14ac:dyDescent="0.35">
      <c r="A773" s="3" t="s">
        <v>1553</v>
      </c>
      <c r="B773" s="2">
        <v>45361</v>
      </c>
      <c r="C773" s="1" t="s">
        <v>1100</v>
      </c>
      <c r="D773" s="1" t="s">
        <v>30</v>
      </c>
      <c r="E773" s="1" t="s">
        <v>248</v>
      </c>
      <c r="F773" s="1" t="s">
        <v>26</v>
      </c>
      <c r="G773" s="1" t="s">
        <v>69</v>
      </c>
      <c r="H773" s="1" t="s">
        <v>196</v>
      </c>
      <c r="I773" s="1">
        <v>1</v>
      </c>
      <c r="J773" s="1">
        <v>24.87</v>
      </c>
      <c r="K773" s="1">
        <v>20</v>
      </c>
      <c r="L773" s="1">
        <v>19.899999999999999</v>
      </c>
      <c r="M773" s="1">
        <v>7.99</v>
      </c>
      <c r="N773" s="1">
        <v>-0.53</v>
      </c>
      <c r="O773" s="6" t="s">
        <v>39</v>
      </c>
      <c r="P773" s="8">
        <f>Table1[Quantity]*Table1[Unit_Price]</f>
        <v>24.87</v>
      </c>
      <c r="Q773" s="1">
        <f>Table1[Profit]/Table1[Total_Sales]</f>
        <v>-2.6633165829145732E-2</v>
      </c>
      <c r="R773" s="14">
        <f>Table1[Total_Sales]+Table1[Shipping_Cost]</f>
        <v>27.89</v>
      </c>
    </row>
    <row r="774" spans="1:18" x14ac:dyDescent="0.35">
      <c r="A774" s="3" t="s">
        <v>1554</v>
      </c>
      <c r="B774" s="2">
        <v>45361</v>
      </c>
      <c r="C774" s="1" t="s">
        <v>1555</v>
      </c>
      <c r="D774" s="1" t="s">
        <v>30</v>
      </c>
      <c r="E774" s="1" t="s">
        <v>135</v>
      </c>
      <c r="F774" s="1" t="s">
        <v>26</v>
      </c>
      <c r="G774" s="1" t="s">
        <v>20</v>
      </c>
      <c r="H774" s="1" t="s">
        <v>55</v>
      </c>
      <c r="I774" s="1">
        <v>5</v>
      </c>
      <c r="J774" s="1">
        <v>73.849999999999994</v>
      </c>
      <c r="K774" s="1">
        <v>0</v>
      </c>
      <c r="L774" s="1">
        <v>369.25</v>
      </c>
      <c r="M774" s="1">
        <v>19.399999999999999</v>
      </c>
      <c r="N774" s="1">
        <v>146.76</v>
      </c>
      <c r="O774" s="6" t="s">
        <v>22</v>
      </c>
      <c r="P774" s="8">
        <f>Table1[Quantity]*Table1[Unit_Price]</f>
        <v>369.25</v>
      </c>
      <c r="Q774" s="1">
        <f>Table1[Profit]/Table1[Total_Sales]</f>
        <v>0.39745429925524711</v>
      </c>
      <c r="R774" s="14">
        <f>Table1[Total_Sales]+Table1[Shipping_Cost]</f>
        <v>388.65</v>
      </c>
    </row>
    <row r="775" spans="1:18" x14ac:dyDescent="0.35">
      <c r="A775" s="3" t="s">
        <v>1556</v>
      </c>
      <c r="B775" s="2">
        <v>45364</v>
      </c>
      <c r="C775" s="1" t="s">
        <v>1557</v>
      </c>
      <c r="D775" s="1" t="s">
        <v>17</v>
      </c>
      <c r="E775" s="1" t="s">
        <v>31</v>
      </c>
      <c r="F775" s="1" t="s">
        <v>19</v>
      </c>
      <c r="G775" s="1" t="s">
        <v>32</v>
      </c>
      <c r="H775" s="1" t="s">
        <v>149</v>
      </c>
      <c r="I775" s="1">
        <v>8</v>
      </c>
      <c r="J775" s="1">
        <v>16.12</v>
      </c>
      <c r="K775" s="1">
        <v>10</v>
      </c>
      <c r="L775" s="1">
        <v>116.06</v>
      </c>
      <c r="M775" s="1">
        <v>20.61</v>
      </c>
      <c r="N775" s="1">
        <v>37.42</v>
      </c>
      <c r="O775" s="6" t="s">
        <v>34</v>
      </c>
      <c r="P775" s="8">
        <f>Table1[Quantity]*Table1[Unit_Price]</f>
        <v>128.96</v>
      </c>
      <c r="Q775" s="1">
        <f>Table1[Profit]/Table1[Total_Sales]</f>
        <v>0.32241943822160951</v>
      </c>
      <c r="R775" s="14">
        <f>Table1[Total_Sales]+Table1[Shipping_Cost]</f>
        <v>136.67000000000002</v>
      </c>
    </row>
    <row r="776" spans="1:18" x14ac:dyDescent="0.35">
      <c r="A776" s="3" t="s">
        <v>1558</v>
      </c>
      <c r="B776" s="2">
        <v>45364</v>
      </c>
      <c r="C776" s="1" t="s">
        <v>1559</v>
      </c>
      <c r="D776" s="1" t="s">
        <v>49</v>
      </c>
      <c r="E776" s="1" t="s">
        <v>59</v>
      </c>
      <c r="F776" s="1" t="s">
        <v>60</v>
      </c>
      <c r="G776" s="1" t="s">
        <v>20</v>
      </c>
      <c r="H776" s="1" t="s">
        <v>106</v>
      </c>
      <c r="I776" s="1">
        <v>4</v>
      </c>
      <c r="J776" s="1">
        <v>74.64</v>
      </c>
      <c r="K776" s="1">
        <v>0</v>
      </c>
      <c r="L776" s="1">
        <v>298.56</v>
      </c>
      <c r="M776" s="1">
        <v>12.03</v>
      </c>
      <c r="N776" s="1">
        <v>122.32</v>
      </c>
      <c r="O776" s="6" t="s">
        <v>39</v>
      </c>
      <c r="P776" s="8">
        <f>Table1[Quantity]*Table1[Unit_Price]</f>
        <v>298.56</v>
      </c>
      <c r="Q776" s="1">
        <f>Table1[Profit]/Table1[Total_Sales]</f>
        <v>0.40969989281886388</v>
      </c>
      <c r="R776" s="14">
        <f>Table1[Total_Sales]+Table1[Shipping_Cost]</f>
        <v>310.58999999999997</v>
      </c>
    </row>
    <row r="777" spans="1:18" x14ac:dyDescent="0.35">
      <c r="A777" s="3" t="s">
        <v>1560</v>
      </c>
      <c r="B777" s="2">
        <v>45364</v>
      </c>
      <c r="C777" s="1" t="s">
        <v>1561</v>
      </c>
      <c r="D777" s="1" t="s">
        <v>49</v>
      </c>
      <c r="E777" s="1" t="s">
        <v>53</v>
      </c>
      <c r="F777" s="1" t="s">
        <v>54</v>
      </c>
      <c r="G777" s="1" t="s">
        <v>42</v>
      </c>
      <c r="H777" s="1" t="s">
        <v>294</v>
      </c>
      <c r="I777" s="1">
        <v>4</v>
      </c>
      <c r="J777" s="1">
        <v>119.66</v>
      </c>
      <c r="K777" s="1">
        <v>10</v>
      </c>
      <c r="L777" s="1">
        <v>430.78</v>
      </c>
      <c r="M777" s="1">
        <v>18.850000000000001</v>
      </c>
      <c r="N777" s="1">
        <v>124.75</v>
      </c>
      <c r="O777" s="6" t="s">
        <v>39</v>
      </c>
      <c r="P777" s="8">
        <f>Table1[Quantity]*Table1[Unit_Price]</f>
        <v>478.64</v>
      </c>
      <c r="Q777" s="1">
        <f>Table1[Profit]/Table1[Total_Sales]</f>
        <v>0.28959097451135152</v>
      </c>
      <c r="R777" s="14">
        <f>Table1[Total_Sales]+Table1[Shipping_Cost]</f>
        <v>449.63</v>
      </c>
    </row>
    <row r="778" spans="1:18" x14ac:dyDescent="0.35">
      <c r="A778" s="3" t="s">
        <v>1562</v>
      </c>
      <c r="B778" s="2">
        <v>45367</v>
      </c>
      <c r="C778" s="1" t="s">
        <v>1563</v>
      </c>
      <c r="D778" s="1" t="s">
        <v>30</v>
      </c>
      <c r="E778" s="1" t="s">
        <v>63</v>
      </c>
      <c r="F778" s="1" t="s">
        <v>54</v>
      </c>
      <c r="G778" s="1" t="s">
        <v>20</v>
      </c>
      <c r="H778" s="1" t="s">
        <v>199</v>
      </c>
      <c r="I778" s="1">
        <v>3</v>
      </c>
      <c r="J778" s="1">
        <v>187.16</v>
      </c>
      <c r="K778" s="1">
        <v>0</v>
      </c>
      <c r="L778" s="1">
        <v>561.48</v>
      </c>
      <c r="M778" s="1">
        <v>15.51</v>
      </c>
      <c r="N778" s="1">
        <v>237.16</v>
      </c>
      <c r="O778" s="6" t="s">
        <v>22</v>
      </c>
      <c r="P778" s="8">
        <f>Table1[Quantity]*Table1[Unit_Price]</f>
        <v>561.48</v>
      </c>
      <c r="Q778" s="1">
        <f>Table1[Profit]/Table1[Total_Sales]</f>
        <v>0.42238370022084487</v>
      </c>
      <c r="R778" s="14">
        <f>Table1[Total_Sales]+Table1[Shipping_Cost]</f>
        <v>576.99</v>
      </c>
    </row>
    <row r="779" spans="1:18" x14ac:dyDescent="0.35">
      <c r="A779" s="3" t="s">
        <v>1564</v>
      </c>
      <c r="B779" s="2">
        <v>45368</v>
      </c>
      <c r="C779" s="1" t="s">
        <v>1565</v>
      </c>
      <c r="D779" s="1" t="s">
        <v>49</v>
      </c>
      <c r="E779" s="1" t="s">
        <v>248</v>
      </c>
      <c r="F779" s="1" t="s">
        <v>26</v>
      </c>
      <c r="G779" s="1" t="s">
        <v>32</v>
      </c>
      <c r="H779" s="1" t="s">
        <v>50</v>
      </c>
      <c r="I779" s="1">
        <v>2</v>
      </c>
      <c r="J779" s="1">
        <v>10.08</v>
      </c>
      <c r="K779" s="1">
        <v>15</v>
      </c>
      <c r="L779" s="1">
        <v>17.14</v>
      </c>
      <c r="M779" s="1">
        <v>9.67</v>
      </c>
      <c r="N779" s="1">
        <v>-1.6</v>
      </c>
      <c r="O779" s="6" t="s">
        <v>39</v>
      </c>
      <c r="P779" s="8">
        <f>Table1[Quantity]*Table1[Unit_Price]</f>
        <v>20.16</v>
      </c>
      <c r="Q779" s="1">
        <f>Table1[Profit]/Table1[Total_Sales]</f>
        <v>-9.3348891481913651E-2</v>
      </c>
      <c r="R779" s="14">
        <f>Table1[Total_Sales]+Table1[Shipping_Cost]</f>
        <v>26.810000000000002</v>
      </c>
    </row>
    <row r="780" spans="1:18" x14ac:dyDescent="0.35">
      <c r="A780" s="3" t="s">
        <v>1566</v>
      </c>
      <c r="B780" s="2">
        <v>45368</v>
      </c>
      <c r="C780" s="1" t="s">
        <v>1567</v>
      </c>
      <c r="D780" s="1" t="s">
        <v>30</v>
      </c>
      <c r="E780" s="1" t="s">
        <v>67</v>
      </c>
      <c r="F780" s="1" t="s">
        <v>68</v>
      </c>
      <c r="G780" s="1" t="s">
        <v>42</v>
      </c>
      <c r="H780" s="1" t="s">
        <v>64</v>
      </c>
      <c r="I780" s="1">
        <v>2</v>
      </c>
      <c r="J780" s="1">
        <v>115.3</v>
      </c>
      <c r="K780" s="1">
        <v>5</v>
      </c>
      <c r="L780" s="1">
        <v>219.07</v>
      </c>
      <c r="M780" s="1">
        <v>13.43</v>
      </c>
      <c r="N780" s="1">
        <v>67.28</v>
      </c>
      <c r="O780" s="6" t="s">
        <v>22</v>
      </c>
      <c r="P780" s="8">
        <f>Table1[Quantity]*Table1[Unit_Price]</f>
        <v>230.6</v>
      </c>
      <c r="Q780" s="1">
        <f>Table1[Profit]/Table1[Total_Sales]</f>
        <v>0.30711644679782718</v>
      </c>
      <c r="R780" s="14">
        <f>Table1[Total_Sales]+Table1[Shipping_Cost]</f>
        <v>232.5</v>
      </c>
    </row>
    <row r="781" spans="1:18" x14ac:dyDescent="0.35">
      <c r="A781" s="3" t="s">
        <v>1568</v>
      </c>
      <c r="B781" s="2">
        <v>45368</v>
      </c>
      <c r="C781" s="1" t="s">
        <v>1569</v>
      </c>
      <c r="D781" s="1" t="s">
        <v>30</v>
      </c>
      <c r="E781" s="1" t="s">
        <v>18</v>
      </c>
      <c r="F781" s="1" t="s">
        <v>19</v>
      </c>
      <c r="G781" s="1" t="s">
        <v>42</v>
      </c>
      <c r="H781" s="1" t="s">
        <v>294</v>
      </c>
      <c r="I781" s="1">
        <v>3</v>
      </c>
      <c r="J781" s="1">
        <v>185.09</v>
      </c>
      <c r="K781" s="1">
        <v>0</v>
      </c>
      <c r="L781" s="1">
        <v>555.27</v>
      </c>
      <c r="M781" s="1">
        <v>9.3699999999999992</v>
      </c>
      <c r="N781" s="1">
        <v>212.74</v>
      </c>
      <c r="O781" s="6" t="s">
        <v>34</v>
      </c>
      <c r="P781" s="8">
        <f>Table1[Quantity]*Table1[Unit_Price]</f>
        <v>555.27</v>
      </c>
      <c r="Q781" s="1">
        <f>Table1[Profit]/Table1[Total_Sales]</f>
        <v>0.38312892826913036</v>
      </c>
      <c r="R781" s="14">
        <f>Table1[Total_Sales]+Table1[Shipping_Cost]</f>
        <v>564.64</v>
      </c>
    </row>
    <row r="782" spans="1:18" x14ac:dyDescent="0.35">
      <c r="A782" s="3" t="s">
        <v>1570</v>
      </c>
      <c r="B782" s="2">
        <v>45369</v>
      </c>
      <c r="C782" s="1" t="s">
        <v>1571</v>
      </c>
      <c r="D782" s="1" t="s">
        <v>49</v>
      </c>
      <c r="E782" s="1" t="s">
        <v>148</v>
      </c>
      <c r="F782" s="1" t="s">
        <v>60</v>
      </c>
      <c r="G782" s="1" t="s">
        <v>20</v>
      </c>
      <c r="H782" s="1" t="s">
        <v>170</v>
      </c>
      <c r="I782" s="1">
        <v>3</v>
      </c>
      <c r="J782" s="1">
        <v>55.49</v>
      </c>
      <c r="K782" s="1">
        <v>5</v>
      </c>
      <c r="L782" s="1">
        <v>158.15</v>
      </c>
      <c r="M782" s="1">
        <v>16.399999999999999</v>
      </c>
      <c r="N782" s="1">
        <v>50.19</v>
      </c>
      <c r="O782" s="6" t="s">
        <v>22</v>
      </c>
      <c r="P782" s="8">
        <f>Table1[Quantity]*Table1[Unit_Price]</f>
        <v>166.47</v>
      </c>
      <c r="Q782" s="1">
        <f>Table1[Profit]/Table1[Total_Sales]</f>
        <v>0.31735693961429018</v>
      </c>
      <c r="R782" s="14">
        <f>Table1[Total_Sales]+Table1[Shipping_Cost]</f>
        <v>174.55</v>
      </c>
    </row>
    <row r="783" spans="1:18" x14ac:dyDescent="0.35">
      <c r="A783" s="3" t="s">
        <v>1572</v>
      </c>
      <c r="B783" s="2">
        <v>45369</v>
      </c>
      <c r="C783" s="1" t="s">
        <v>1573</v>
      </c>
      <c r="D783" s="1" t="s">
        <v>30</v>
      </c>
      <c r="E783" s="1" t="s">
        <v>37</v>
      </c>
      <c r="F783" s="1" t="s">
        <v>26</v>
      </c>
      <c r="G783" s="1" t="s">
        <v>42</v>
      </c>
      <c r="H783" s="1" t="s">
        <v>234</v>
      </c>
      <c r="I783" s="1">
        <v>1</v>
      </c>
      <c r="J783" s="1">
        <v>53.47</v>
      </c>
      <c r="K783" s="1">
        <v>0</v>
      </c>
      <c r="L783" s="1">
        <v>53.47</v>
      </c>
      <c r="M783" s="1">
        <v>8.83</v>
      </c>
      <c r="N783" s="1">
        <v>12.56</v>
      </c>
      <c r="O783" s="6" t="s">
        <v>39</v>
      </c>
      <c r="P783" s="8">
        <f>Table1[Quantity]*Table1[Unit_Price]</f>
        <v>53.47</v>
      </c>
      <c r="Q783" s="1">
        <f>Table1[Profit]/Table1[Total_Sales]</f>
        <v>0.23489807368617918</v>
      </c>
      <c r="R783" s="14">
        <f>Table1[Total_Sales]+Table1[Shipping_Cost]</f>
        <v>62.3</v>
      </c>
    </row>
    <row r="784" spans="1:18" x14ac:dyDescent="0.35">
      <c r="A784" s="3" t="s">
        <v>1574</v>
      </c>
      <c r="B784" s="2">
        <v>45370</v>
      </c>
      <c r="C784" s="1" t="s">
        <v>368</v>
      </c>
      <c r="D784" s="1" t="s">
        <v>17</v>
      </c>
      <c r="E784" s="1" t="s">
        <v>92</v>
      </c>
      <c r="F784" s="1" t="s">
        <v>60</v>
      </c>
      <c r="G784" s="1" t="s">
        <v>69</v>
      </c>
      <c r="H784" s="1" t="s">
        <v>163</v>
      </c>
      <c r="I784" s="1">
        <v>3</v>
      </c>
      <c r="J784" s="1">
        <v>24.44</v>
      </c>
      <c r="K784" s="1">
        <v>25</v>
      </c>
      <c r="L784" s="1">
        <v>54.99</v>
      </c>
      <c r="M784" s="1">
        <v>12.17</v>
      </c>
      <c r="N784" s="1">
        <v>6.16</v>
      </c>
      <c r="O784" s="6" t="s">
        <v>39</v>
      </c>
      <c r="P784" s="8">
        <f>Table1[Quantity]*Table1[Unit_Price]</f>
        <v>73.320000000000007</v>
      </c>
      <c r="Q784" s="1">
        <f>Table1[Profit]/Table1[Total_Sales]</f>
        <v>0.11202036733951627</v>
      </c>
      <c r="R784" s="14">
        <f>Table1[Total_Sales]+Table1[Shipping_Cost]</f>
        <v>67.16</v>
      </c>
    </row>
    <row r="785" spans="1:18" x14ac:dyDescent="0.35">
      <c r="A785" s="3" t="s">
        <v>1575</v>
      </c>
      <c r="B785" s="2">
        <v>45370</v>
      </c>
      <c r="C785" s="1" t="s">
        <v>1576</v>
      </c>
      <c r="D785" s="1" t="s">
        <v>30</v>
      </c>
      <c r="E785" s="1" t="s">
        <v>85</v>
      </c>
      <c r="F785" s="1" t="s">
        <v>60</v>
      </c>
      <c r="G785" s="1" t="s">
        <v>69</v>
      </c>
      <c r="H785" s="1" t="s">
        <v>196</v>
      </c>
      <c r="I785" s="1">
        <v>11</v>
      </c>
      <c r="J785" s="1">
        <v>15.11</v>
      </c>
      <c r="K785" s="1">
        <v>10</v>
      </c>
      <c r="L785" s="1">
        <v>149.59</v>
      </c>
      <c r="M785" s="1">
        <v>21.86</v>
      </c>
      <c r="N785" s="1">
        <v>44.63</v>
      </c>
      <c r="O785" s="6" t="s">
        <v>34</v>
      </c>
      <c r="P785" s="8">
        <f>Table1[Quantity]*Table1[Unit_Price]</f>
        <v>166.20999999999998</v>
      </c>
      <c r="Q785" s="1">
        <f>Table1[Profit]/Table1[Total_Sales]</f>
        <v>0.298348820108296</v>
      </c>
      <c r="R785" s="14">
        <f>Table1[Total_Sales]+Table1[Shipping_Cost]</f>
        <v>171.45</v>
      </c>
    </row>
    <row r="786" spans="1:18" x14ac:dyDescent="0.35">
      <c r="A786" s="3" t="s">
        <v>1577</v>
      </c>
      <c r="B786" s="2">
        <v>45370</v>
      </c>
      <c r="C786" s="1" t="s">
        <v>1578</v>
      </c>
      <c r="D786" s="1" t="s">
        <v>17</v>
      </c>
      <c r="E786" s="1" t="s">
        <v>76</v>
      </c>
      <c r="F786" s="1" t="s">
        <v>26</v>
      </c>
      <c r="G786" s="1" t="s">
        <v>32</v>
      </c>
      <c r="H786" s="1" t="s">
        <v>110</v>
      </c>
      <c r="I786" s="1">
        <v>2</v>
      </c>
      <c r="J786" s="1">
        <v>4.03</v>
      </c>
      <c r="K786" s="1">
        <v>5</v>
      </c>
      <c r="L786" s="1">
        <v>7.66</v>
      </c>
      <c r="M786" s="1">
        <v>10.73</v>
      </c>
      <c r="N786" s="1">
        <v>-6.7</v>
      </c>
      <c r="O786" s="6" t="s">
        <v>22</v>
      </c>
      <c r="P786" s="8">
        <f>Table1[Quantity]*Table1[Unit_Price]</f>
        <v>8.06</v>
      </c>
      <c r="Q786" s="1">
        <f>Table1[Profit]/Table1[Total_Sales]</f>
        <v>-0.87467362924281988</v>
      </c>
      <c r="R786" s="14">
        <f>Table1[Total_Sales]+Table1[Shipping_Cost]</f>
        <v>18.39</v>
      </c>
    </row>
    <row r="787" spans="1:18" x14ac:dyDescent="0.35">
      <c r="A787" s="3" t="s">
        <v>1579</v>
      </c>
      <c r="B787" s="2">
        <v>45372</v>
      </c>
      <c r="C787" s="1" t="s">
        <v>333</v>
      </c>
      <c r="D787" s="1" t="s">
        <v>30</v>
      </c>
      <c r="E787" s="1" t="s">
        <v>85</v>
      </c>
      <c r="F787" s="1" t="s">
        <v>60</v>
      </c>
      <c r="G787" s="1" t="s">
        <v>69</v>
      </c>
      <c r="H787" s="1" t="s">
        <v>86</v>
      </c>
      <c r="I787" s="1">
        <v>4</v>
      </c>
      <c r="J787" s="1">
        <v>123.28</v>
      </c>
      <c r="K787" s="1">
        <v>5</v>
      </c>
      <c r="L787" s="1">
        <v>468.46</v>
      </c>
      <c r="M787" s="1">
        <v>13.33</v>
      </c>
      <c r="N787" s="1">
        <v>208.57</v>
      </c>
      <c r="O787" s="6" t="s">
        <v>39</v>
      </c>
      <c r="P787" s="8">
        <f>Table1[Quantity]*Table1[Unit_Price]</f>
        <v>493.12</v>
      </c>
      <c r="Q787" s="1">
        <f>Table1[Profit]/Table1[Total_Sales]</f>
        <v>0.44522477906331387</v>
      </c>
      <c r="R787" s="14">
        <f>Table1[Total_Sales]+Table1[Shipping_Cost]</f>
        <v>481.78999999999996</v>
      </c>
    </row>
    <row r="788" spans="1:18" x14ac:dyDescent="0.35">
      <c r="A788" s="3" t="s">
        <v>1580</v>
      </c>
      <c r="B788" s="2">
        <v>45378</v>
      </c>
      <c r="C788" s="1" t="s">
        <v>868</v>
      </c>
      <c r="D788" s="1" t="s">
        <v>17</v>
      </c>
      <c r="E788" s="1" t="s">
        <v>53</v>
      </c>
      <c r="F788" s="1" t="s">
        <v>54</v>
      </c>
      <c r="G788" s="1" t="s">
        <v>20</v>
      </c>
      <c r="H788" s="1" t="s">
        <v>264</v>
      </c>
      <c r="I788" s="1">
        <v>2</v>
      </c>
      <c r="J788" s="1">
        <v>21.45</v>
      </c>
      <c r="K788" s="1">
        <v>15</v>
      </c>
      <c r="L788" s="1">
        <v>36.46</v>
      </c>
      <c r="M788" s="1">
        <v>13.62</v>
      </c>
      <c r="N788" s="1">
        <v>-0.76</v>
      </c>
      <c r="O788" s="6" t="s">
        <v>34</v>
      </c>
      <c r="P788" s="8">
        <f>Table1[Quantity]*Table1[Unit_Price]</f>
        <v>42.9</v>
      </c>
      <c r="Q788" s="1">
        <f>Table1[Profit]/Table1[Total_Sales]</f>
        <v>-2.0844761382336808E-2</v>
      </c>
      <c r="R788" s="14">
        <f>Table1[Total_Sales]+Table1[Shipping_Cost]</f>
        <v>50.08</v>
      </c>
    </row>
    <row r="789" spans="1:18" x14ac:dyDescent="0.35">
      <c r="A789" s="3" t="s">
        <v>1581</v>
      </c>
      <c r="B789" s="2">
        <v>45378</v>
      </c>
      <c r="C789" s="1" t="s">
        <v>1582</v>
      </c>
      <c r="D789" s="1" t="s">
        <v>17</v>
      </c>
      <c r="E789" s="1" t="s">
        <v>248</v>
      </c>
      <c r="F789" s="1" t="s">
        <v>26</v>
      </c>
      <c r="G789" s="1" t="s">
        <v>20</v>
      </c>
      <c r="H789" s="1" t="s">
        <v>55</v>
      </c>
      <c r="I789" s="1">
        <v>1</v>
      </c>
      <c r="J789" s="1">
        <v>34.409999999999997</v>
      </c>
      <c r="K789" s="1">
        <v>5</v>
      </c>
      <c r="L789" s="1">
        <v>32.69</v>
      </c>
      <c r="M789" s="1">
        <v>7.58</v>
      </c>
      <c r="N789" s="1">
        <v>6.18</v>
      </c>
      <c r="O789" s="6" t="s">
        <v>34</v>
      </c>
      <c r="P789" s="8">
        <f>Table1[Quantity]*Table1[Unit_Price]</f>
        <v>34.409999999999997</v>
      </c>
      <c r="Q789" s="1">
        <f>Table1[Profit]/Table1[Total_Sales]</f>
        <v>0.1890486387274396</v>
      </c>
      <c r="R789" s="14">
        <f>Table1[Total_Sales]+Table1[Shipping_Cost]</f>
        <v>40.269999999999996</v>
      </c>
    </row>
    <row r="790" spans="1:18" x14ac:dyDescent="0.35">
      <c r="A790" s="3" t="s">
        <v>1583</v>
      </c>
      <c r="B790" s="2">
        <v>45378</v>
      </c>
      <c r="C790" s="1" t="s">
        <v>1584</v>
      </c>
      <c r="D790" s="1" t="s">
        <v>30</v>
      </c>
      <c r="E790" s="1" t="s">
        <v>18</v>
      </c>
      <c r="F790" s="1" t="s">
        <v>19</v>
      </c>
      <c r="G790" s="1" t="s">
        <v>20</v>
      </c>
      <c r="H790" s="1" t="s">
        <v>122</v>
      </c>
      <c r="I790" s="1">
        <v>6</v>
      </c>
      <c r="J790" s="1">
        <v>99.17</v>
      </c>
      <c r="K790" s="1">
        <v>15</v>
      </c>
      <c r="L790" s="1">
        <v>505.77</v>
      </c>
      <c r="M790" s="1">
        <v>13.35</v>
      </c>
      <c r="N790" s="1">
        <v>165.16</v>
      </c>
      <c r="O790" s="6" t="s">
        <v>34</v>
      </c>
      <c r="P790" s="8">
        <f>Table1[Quantity]*Table1[Unit_Price]</f>
        <v>595.02</v>
      </c>
      <c r="Q790" s="1">
        <f>Table1[Profit]/Table1[Total_Sales]</f>
        <v>0.32655159459833522</v>
      </c>
      <c r="R790" s="14">
        <f>Table1[Total_Sales]+Table1[Shipping_Cost]</f>
        <v>519.12</v>
      </c>
    </row>
    <row r="791" spans="1:18" x14ac:dyDescent="0.35">
      <c r="A791" s="3" t="s">
        <v>1585</v>
      </c>
      <c r="B791" s="2">
        <v>45378</v>
      </c>
      <c r="C791" s="1" t="s">
        <v>1586</v>
      </c>
      <c r="D791" s="1" t="s">
        <v>17</v>
      </c>
      <c r="E791" s="1" t="s">
        <v>63</v>
      </c>
      <c r="F791" s="1" t="s">
        <v>54</v>
      </c>
      <c r="G791" s="1" t="s">
        <v>42</v>
      </c>
      <c r="H791" s="1" t="s">
        <v>371</v>
      </c>
      <c r="I791" s="1">
        <v>7</v>
      </c>
      <c r="J791" s="1">
        <v>140.88999999999999</v>
      </c>
      <c r="K791" s="1">
        <v>15</v>
      </c>
      <c r="L791" s="1">
        <v>838.3</v>
      </c>
      <c r="M791" s="1">
        <v>16.010000000000002</v>
      </c>
      <c r="N791" s="1">
        <v>230.55</v>
      </c>
      <c r="O791" s="6" t="s">
        <v>39</v>
      </c>
      <c r="P791" s="8">
        <f>Table1[Quantity]*Table1[Unit_Price]</f>
        <v>986.2299999999999</v>
      </c>
      <c r="Q791" s="1">
        <f>Table1[Profit]/Table1[Total_Sales]</f>
        <v>0.2750208755815341</v>
      </c>
      <c r="R791" s="14">
        <f>Table1[Total_Sales]+Table1[Shipping_Cost]</f>
        <v>854.31</v>
      </c>
    </row>
    <row r="792" spans="1:18" x14ac:dyDescent="0.35">
      <c r="A792" s="3" t="s">
        <v>1587</v>
      </c>
      <c r="B792" s="2">
        <v>45379</v>
      </c>
      <c r="C792" s="1" t="s">
        <v>1588</v>
      </c>
      <c r="D792" s="1" t="s">
        <v>49</v>
      </c>
      <c r="E792" s="1" t="s">
        <v>31</v>
      </c>
      <c r="F792" s="1" t="s">
        <v>19</v>
      </c>
      <c r="G792" s="1" t="s">
        <v>20</v>
      </c>
      <c r="H792" s="1" t="s">
        <v>170</v>
      </c>
      <c r="I792" s="1">
        <v>12</v>
      </c>
      <c r="J792" s="1">
        <v>40.47</v>
      </c>
      <c r="K792" s="1">
        <v>5</v>
      </c>
      <c r="L792" s="1">
        <v>461.36</v>
      </c>
      <c r="M792" s="1">
        <v>27.85</v>
      </c>
      <c r="N792" s="1">
        <v>166.41</v>
      </c>
      <c r="O792" s="6" t="s">
        <v>22</v>
      </c>
      <c r="P792" s="8">
        <f>Table1[Quantity]*Table1[Unit_Price]</f>
        <v>485.64</v>
      </c>
      <c r="Q792" s="1">
        <f>Table1[Profit]/Table1[Total_Sales]</f>
        <v>0.36069446852783077</v>
      </c>
      <c r="R792" s="14">
        <f>Table1[Total_Sales]+Table1[Shipping_Cost]</f>
        <v>489.21000000000004</v>
      </c>
    </row>
    <row r="793" spans="1:18" x14ac:dyDescent="0.35">
      <c r="A793" s="3" t="s">
        <v>1589</v>
      </c>
      <c r="B793" s="2">
        <v>45379</v>
      </c>
      <c r="C793" s="1" t="s">
        <v>1590</v>
      </c>
      <c r="D793" s="1" t="s">
        <v>30</v>
      </c>
      <c r="E793" s="1" t="s">
        <v>121</v>
      </c>
      <c r="F793" s="1" t="s">
        <v>68</v>
      </c>
      <c r="G793" s="1" t="s">
        <v>42</v>
      </c>
      <c r="H793" s="1" t="s">
        <v>64</v>
      </c>
      <c r="I793" s="1">
        <v>1</v>
      </c>
      <c r="J793" s="1">
        <v>42.6</v>
      </c>
      <c r="K793" s="1">
        <v>15</v>
      </c>
      <c r="L793" s="1">
        <v>36.21</v>
      </c>
      <c r="M793" s="1">
        <v>11.24</v>
      </c>
      <c r="N793" s="1">
        <v>-0.59</v>
      </c>
      <c r="O793" s="6" t="s">
        <v>56</v>
      </c>
      <c r="P793" s="8">
        <f>Table1[Quantity]*Table1[Unit_Price]</f>
        <v>42.6</v>
      </c>
      <c r="Q793" s="1">
        <f>Table1[Profit]/Table1[Total_Sales]</f>
        <v>-1.6293841480254073E-2</v>
      </c>
      <c r="R793" s="14">
        <f>Table1[Total_Sales]+Table1[Shipping_Cost]</f>
        <v>47.45</v>
      </c>
    </row>
    <row r="794" spans="1:18" x14ac:dyDescent="0.35">
      <c r="A794" s="3" t="s">
        <v>1591</v>
      </c>
      <c r="B794" s="2">
        <v>45381</v>
      </c>
      <c r="C794" s="1" t="s">
        <v>1120</v>
      </c>
      <c r="D794" s="1" t="s">
        <v>17</v>
      </c>
      <c r="E794" s="1" t="s">
        <v>85</v>
      </c>
      <c r="F794" s="1" t="s">
        <v>60</v>
      </c>
      <c r="G794" s="1" t="s">
        <v>32</v>
      </c>
      <c r="H794" s="1" t="s">
        <v>115</v>
      </c>
      <c r="I794" s="1">
        <v>1</v>
      </c>
      <c r="J794" s="1">
        <v>7.85</v>
      </c>
      <c r="K794" s="1">
        <v>10</v>
      </c>
      <c r="L794" s="1">
        <v>7.06</v>
      </c>
      <c r="M794" s="1">
        <v>9.6</v>
      </c>
      <c r="N794" s="1">
        <v>-6.07</v>
      </c>
      <c r="O794" s="6" t="s">
        <v>34</v>
      </c>
      <c r="P794" s="8">
        <f>Table1[Quantity]*Table1[Unit_Price]</f>
        <v>7.85</v>
      </c>
      <c r="Q794" s="1">
        <f>Table1[Profit]/Table1[Total_Sales]</f>
        <v>-0.859773371104816</v>
      </c>
      <c r="R794" s="14">
        <f>Table1[Total_Sales]+Table1[Shipping_Cost]</f>
        <v>16.66</v>
      </c>
    </row>
    <row r="795" spans="1:18" x14ac:dyDescent="0.35">
      <c r="A795" s="3" t="s">
        <v>1592</v>
      </c>
      <c r="B795" s="2">
        <v>45381</v>
      </c>
      <c r="C795" s="1" t="s">
        <v>946</v>
      </c>
      <c r="D795" s="1" t="s">
        <v>17</v>
      </c>
      <c r="E795" s="1" t="s">
        <v>135</v>
      </c>
      <c r="F795" s="1" t="s">
        <v>26</v>
      </c>
      <c r="G795" s="1" t="s">
        <v>42</v>
      </c>
      <c r="H795" s="1" t="s">
        <v>371</v>
      </c>
      <c r="I795" s="1">
        <v>6</v>
      </c>
      <c r="J795" s="1">
        <v>203.47</v>
      </c>
      <c r="K795" s="1">
        <v>10</v>
      </c>
      <c r="L795" s="1">
        <v>1098.74</v>
      </c>
      <c r="M795" s="1">
        <v>13.13</v>
      </c>
      <c r="N795" s="1">
        <v>353.12</v>
      </c>
      <c r="O795" s="6" t="s">
        <v>34</v>
      </c>
      <c r="P795" s="8">
        <f>Table1[Quantity]*Table1[Unit_Price]</f>
        <v>1220.82</v>
      </c>
      <c r="Q795" s="1">
        <f>Table1[Profit]/Table1[Total_Sales]</f>
        <v>0.32138631523381328</v>
      </c>
      <c r="R795" s="14">
        <f>Table1[Total_Sales]+Table1[Shipping_Cost]</f>
        <v>1111.8700000000001</v>
      </c>
    </row>
    <row r="796" spans="1:18" x14ac:dyDescent="0.35">
      <c r="A796" s="3" t="s">
        <v>1593</v>
      </c>
      <c r="B796" s="2">
        <v>45382</v>
      </c>
      <c r="C796" s="1" t="s">
        <v>1594</v>
      </c>
      <c r="D796" s="1" t="s">
        <v>49</v>
      </c>
      <c r="E796" s="1" t="s">
        <v>121</v>
      </c>
      <c r="F796" s="1" t="s">
        <v>68</v>
      </c>
      <c r="G796" s="1" t="s">
        <v>69</v>
      </c>
      <c r="H796" s="1" t="s">
        <v>160</v>
      </c>
      <c r="I796" s="1">
        <v>8</v>
      </c>
      <c r="J796" s="1">
        <v>14.51</v>
      </c>
      <c r="K796" s="1">
        <v>20</v>
      </c>
      <c r="L796" s="1">
        <v>92.86</v>
      </c>
      <c r="M796" s="1">
        <v>27.87</v>
      </c>
      <c r="N796" s="1">
        <v>6.95</v>
      </c>
      <c r="O796" s="6" t="s">
        <v>39</v>
      </c>
      <c r="P796" s="8">
        <f>Table1[Quantity]*Table1[Unit_Price]</f>
        <v>116.08</v>
      </c>
      <c r="Q796" s="1">
        <f>Table1[Profit]/Table1[Total_Sales]</f>
        <v>7.4843850958432045E-2</v>
      </c>
      <c r="R796" s="14">
        <f>Table1[Total_Sales]+Table1[Shipping_Cost]</f>
        <v>120.73</v>
      </c>
    </row>
    <row r="797" spans="1:18" x14ac:dyDescent="0.35">
      <c r="A797" s="3" t="s">
        <v>1595</v>
      </c>
      <c r="B797" s="2">
        <v>45382</v>
      </c>
      <c r="C797" s="1" t="s">
        <v>114</v>
      </c>
      <c r="D797" s="1" t="s">
        <v>49</v>
      </c>
      <c r="E797" s="1" t="s">
        <v>129</v>
      </c>
      <c r="F797" s="1" t="s">
        <v>19</v>
      </c>
      <c r="G797" s="1" t="s">
        <v>32</v>
      </c>
      <c r="H797" s="1" t="s">
        <v>115</v>
      </c>
      <c r="I797" s="1">
        <v>7</v>
      </c>
      <c r="J797" s="1">
        <v>18.79</v>
      </c>
      <c r="K797" s="1">
        <v>5</v>
      </c>
      <c r="L797" s="1">
        <v>124.95</v>
      </c>
      <c r="M797" s="1">
        <v>9.1199999999999992</v>
      </c>
      <c r="N797" s="1">
        <v>56.64</v>
      </c>
      <c r="O797" s="6" t="s">
        <v>22</v>
      </c>
      <c r="P797" s="8">
        <f>Table1[Quantity]*Table1[Unit_Price]</f>
        <v>131.53</v>
      </c>
      <c r="Q797" s="1">
        <f>Table1[Profit]/Table1[Total_Sales]</f>
        <v>0.45330132052821126</v>
      </c>
      <c r="R797" s="14">
        <f>Table1[Total_Sales]+Table1[Shipping_Cost]</f>
        <v>134.07</v>
      </c>
    </row>
    <row r="798" spans="1:18" x14ac:dyDescent="0.35">
      <c r="A798" s="3" t="s">
        <v>1596</v>
      </c>
      <c r="B798" s="2">
        <v>45382</v>
      </c>
      <c r="C798" s="1" t="s">
        <v>748</v>
      </c>
      <c r="D798" s="1" t="s">
        <v>30</v>
      </c>
      <c r="E798" s="1" t="s">
        <v>248</v>
      </c>
      <c r="F798" s="1" t="s">
        <v>26</v>
      </c>
      <c r="G798" s="1" t="s">
        <v>32</v>
      </c>
      <c r="H798" s="1" t="s">
        <v>82</v>
      </c>
      <c r="I798" s="1">
        <v>1</v>
      </c>
      <c r="J798" s="1">
        <v>18.75</v>
      </c>
      <c r="K798" s="1">
        <v>0</v>
      </c>
      <c r="L798" s="1">
        <v>18.75</v>
      </c>
      <c r="M798" s="1">
        <v>9.2200000000000006</v>
      </c>
      <c r="N798" s="1">
        <v>1.0900000000000001</v>
      </c>
      <c r="O798" s="6" t="s">
        <v>39</v>
      </c>
      <c r="P798" s="8">
        <f>Table1[Quantity]*Table1[Unit_Price]</f>
        <v>18.75</v>
      </c>
      <c r="Q798" s="1">
        <f>Table1[Profit]/Table1[Total_Sales]</f>
        <v>5.8133333333333335E-2</v>
      </c>
      <c r="R798" s="14">
        <f>Table1[Total_Sales]+Table1[Shipping_Cost]</f>
        <v>27.97</v>
      </c>
    </row>
    <row r="799" spans="1:18" x14ac:dyDescent="0.35">
      <c r="A799" s="3" t="s">
        <v>1597</v>
      </c>
      <c r="B799" s="2">
        <v>45382</v>
      </c>
      <c r="C799" s="1" t="s">
        <v>1598</v>
      </c>
      <c r="D799" s="1" t="s">
        <v>30</v>
      </c>
      <c r="E799" s="1" t="s">
        <v>92</v>
      </c>
      <c r="F799" s="1" t="s">
        <v>60</v>
      </c>
      <c r="G799" s="1" t="s">
        <v>20</v>
      </c>
      <c r="H799" s="1" t="s">
        <v>199</v>
      </c>
      <c r="I799" s="1">
        <v>4</v>
      </c>
      <c r="J799" s="1">
        <v>130.44999999999999</v>
      </c>
      <c r="K799" s="1">
        <v>0</v>
      </c>
      <c r="L799" s="1">
        <v>521.79999999999995</v>
      </c>
      <c r="M799" s="1">
        <v>18.510000000000002</v>
      </c>
      <c r="N799" s="1">
        <v>216.3</v>
      </c>
      <c r="O799" s="6" t="s">
        <v>39</v>
      </c>
      <c r="P799" s="8">
        <f>Table1[Quantity]*Table1[Unit_Price]</f>
        <v>521.79999999999995</v>
      </c>
      <c r="Q799" s="1">
        <f>Table1[Profit]/Table1[Total_Sales]</f>
        <v>0.41452663855883487</v>
      </c>
      <c r="R799" s="14">
        <f>Table1[Total_Sales]+Table1[Shipping_Cost]</f>
        <v>540.30999999999995</v>
      </c>
    </row>
    <row r="800" spans="1:18" x14ac:dyDescent="0.35">
      <c r="A800" s="3" t="s">
        <v>1599</v>
      </c>
      <c r="B800" s="2">
        <v>45383</v>
      </c>
      <c r="C800" s="1" t="s">
        <v>1600</v>
      </c>
      <c r="D800" s="1" t="s">
        <v>49</v>
      </c>
      <c r="E800" s="1" t="s">
        <v>25</v>
      </c>
      <c r="F800" s="1" t="s">
        <v>26</v>
      </c>
      <c r="G800" s="1" t="s">
        <v>20</v>
      </c>
      <c r="H800" s="1" t="s">
        <v>21</v>
      </c>
      <c r="I800" s="1">
        <v>1</v>
      </c>
      <c r="J800" s="1">
        <v>231.11</v>
      </c>
      <c r="K800" s="1">
        <v>10</v>
      </c>
      <c r="L800" s="1">
        <v>208</v>
      </c>
      <c r="M800" s="1">
        <v>8.8699999999999992</v>
      </c>
      <c r="N800" s="1">
        <v>72.02</v>
      </c>
      <c r="O800" s="6" t="s">
        <v>39</v>
      </c>
      <c r="P800" s="8">
        <f>Table1[Quantity]*Table1[Unit_Price]</f>
        <v>231.11</v>
      </c>
      <c r="Q800" s="1">
        <f>Table1[Profit]/Table1[Total_Sales]</f>
        <v>0.34625</v>
      </c>
      <c r="R800" s="14">
        <f>Table1[Total_Sales]+Table1[Shipping_Cost]</f>
        <v>216.87</v>
      </c>
    </row>
    <row r="801" spans="1:18" x14ac:dyDescent="0.35">
      <c r="A801" s="3" t="s">
        <v>1601</v>
      </c>
      <c r="B801" s="2">
        <v>45385</v>
      </c>
      <c r="C801" s="1" t="s">
        <v>1602</v>
      </c>
      <c r="D801" s="1" t="s">
        <v>17</v>
      </c>
      <c r="E801" s="1" t="s">
        <v>248</v>
      </c>
      <c r="F801" s="1" t="s">
        <v>26</v>
      </c>
      <c r="G801" s="1" t="s">
        <v>69</v>
      </c>
      <c r="H801" s="1" t="s">
        <v>79</v>
      </c>
      <c r="I801" s="1">
        <v>2</v>
      </c>
      <c r="J801" s="1">
        <v>35.17</v>
      </c>
      <c r="K801" s="1">
        <v>25</v>
      </c>
      <c r="L801" s="1">
        <v>52.76</v>
      </c>
      <c r="M801" s="1">
        <v>10.97</v>
      </c>
      <c r="N801" s="1">
        <v>6.62</v>
      </c>
      <c r="O801" s="6" t="s">
        <v>56</v>
      </c>
      <c r="P801" s="8">
        <f>Table1[Quantity]*Table1[Unit_Price]</f>
        <v>70.34</v>
      </c>
      <c r="Q801" s="1">
        <f>Table1[Profit]/Table1[Total_Sales]</f>
        <v>0.12547384382107657</v>
      </c>
      <c r="R801" s="14">
        <f>Table1[Total_Sales]+Table1[Shipping_Cost]</f>
        <v>63.73</v>
      </c>
    </row>
    <row r="802" spans="1:18" x14ac:dyDescent="0.35">
      <c r="A802" s="3" t="s">
        <v>1603</v>
      </c>
      <c r="B802" s="2">
        <v>45385</v>
      </c>
      <c r="C802" s="1" t="s">
        <v>1604</v>
      </c>
      <c r="D802" s="1" t="s">
        <v>30</v>
      </c>
      <c r="E802" s="1" t="s">
        <v>85</v>
      </c>
      <c r="F802" s="1" t="s">
        <v>60</v>
      </c>
      <c r="G802" s="1" t="s">
        <v>20</v>
      </c>
      <c r="H802" s="1" t="s">
        <v>21</v>
      </c>
      <c r="I802" s="1">
        <v>13</v>
      </c>
      <c r="J802" s="1">
        <v>73.44</v>
      </c>
      <c r="K802" s="1">
        <v>15</v>
      </c>
      <c r="L802" s="1">
        <v>811.51</v>
      </c>
      <c r="M802" s="1">
        <v>34.33</v>
      </c>
      <c r="N802" s="1">
        <v>252.08</v>
      </c>
      <c r="O802" s="6" t="s">
        <v>34</v>
      </c>
      <c r="P802" s="8">
        <f>Table1[Quantity]*Table1[Unit_Price]</f>
        <v>954.72</v>
      </c>
      <c r="Q802" s="1">
        <f>Table1[Profit]/Table1[Total_Sales]</f>
        <v>0.31063079937400651</v>
      </c>
      <c r="R802" s="14">
        <f>Table1[Total_Sales]+Table1[Shipping_Cost]</f>
        <v>845.84</v>
      </c>
    </row>
    <row r="803" spans="1:18" x14ac:dyDescent="0.35">
      <c r="A803" s="3" t="s">
        <v>1605</v>
      </c>
      <c r="B803" s="2">
        <v>45385</v>
      </c>
      <c r="C803" s="1" t="s">
        <v>1606</v>
      </c>
      <c r="D803" s="1" t="s">
        <v>17</v>
      </c>
      <c r="E803" s="1" t="s">
        <v>37</v>
      </c>
      <c r="F803" s="1" t="s">
        <v>26</v>
      </c>
      <c r="G803" s="1" t="s">
        <v>32</v>
      </c>
      <c r="H803" s="1" t="s">
        <v>110</v>
      </c>
      <c r="I803" s="1">
        <v>2</v>
      </c>
      <c r="J803" s="1">
        <v>9.1</v>
      </c>
      <c r="K803" s="1">
        <v>0</v>
      </c>
      <c r="L803" s="1">
        <v>18.2</v>
      </c>
      <c r="M803" s="1">
        <v>9.66</v>
      </c>
      <c r="N803" s="1">
        <v>0.35</v>
      </c>
      <c r="O803" s="6" t="s">
        <v>39</v>
      </c>
      <c r="P803" s="8">
        <f>Table1[Quantity]*Table1[Unit_Price]</f>
        <v>18.2</v>
      </c>
      <c r="Q803" s="1">
        <f>Table1[Profit]/Table1[Total_Sales]</f>
        <v>1.9230769230769232E-2</v>
      </c>
      <c r="R803" s="14">
        <f>Table1[Total_Sales]+Table1[Shipping_Cost]</f>
        <v>27.86</v>
      </c>
    </row>
    <row r="804" spans="1:18" x14ac:dyDescent="0.35">
      <c r="A804" s="3" t="s">
        <v>1607</v>
      </c>
      <c r="B804" s="2">
        <v>45386</v>
      </c>
      <c r="C804" s="1" t="s">
        <v>1608</v>
      </c>
      <c r="D804" s="1" t="s">
        <v>17</v>
      </c>
      <c r="E804" s="1" t="s">
        <v>148</v>
      </c>
      <c r="F804" s="1" t="s">
        <v>60</v>
      </c>
      <c r="G804" s="1" t="s">
        <v>32</v>
      </c>
      <c r="H804" s="1" t="s">
        <v>82</v>
      </c>
      <c r="I804" s="1">
        <v>3</v>
      </c>
      <c r="J804" s="1">
        <v>14.61</v>
      </c>
      <c r="K804" s="1">
        <v>15</v>
      </c>
      <c r="L804" s="1">
        <v>37.26</v>
      </c>
      <c r="M804" s="1">
        <v>14.68</v>
      </c>
      <c r="N804" s="1">
        <v>2.86</v>
      </c>
      <c r="O804" s="6" t="s">
        <v>39</v>
      </c>
      <c r="P804" s="8">
        <f>Table1[Quantity]*Table1[Unit_Price]</f>
        <v>43.83</v>
      </c>
      <c r="Q804" s="1">
        <f>Table1[Profit]/Table1[Total_Sales]</f>
        <v>7.6757917337627476E-2</v>
      </c>
      <c r="R804" s="14">
        <f>Table1[Total_Sales]+Table1[Shipping_Cost]</f>
        <v>51.94</v>
      </c>
    </row>
    <row r="805" spans="1:18" x14ac:dyDescent="0.35">
      <c r="A805" s="3" t="s">
        <v>1609</v>
      </c>
      <c r="B805" s="2">
        <v>45386</v>
      </c>
      <c r="C805" s="1" t="s">
        <v>1610</v>
      </c>
      <c r="D805" s="1" t="s">
        <v>17</v>
      </c>
      <c r="E805" s="1" t="s">
        <v>85</v>
      </c>
      <c r="F805" s="1" t="s">
        <v>60</v>
      </c>
      <c r="G805" s="1" t="s">
        <v>32</v>
      </c>
      <c r="H805" s="1" t="s">
        <v>132</v>
      </c>
      <c r="I805" s="1">
        <v>5</v>
      </c>
      <c r="J805" s="1">
        <v>15.19</v>
      </c>
      <c r="K805" s="1">
        <v>10</v>
      </c>
      <c r="L805" s="1">
        <v>68.36</v>
      </c>
      <c r="M805" s="1">
        <v>12.71</v>
      </c>
      <c r="N805" s="1">
        <v>21.47</v>
      </c>
      <c r="O805" s="6" t="s">
        <v>22</v>
      </c>
      <c r="P805" s="8">
        <f>Table1[Quantity]*Table1[Unit_Price]</f>
        <v>75.95</v>
      </c>
      <c r="Q805" s="1">
        <f>Table1[Profit]/Table1[Total_Sales]</f>
        <v>0.31407255705090698</v>
      </c>
      <c r="R805" s="14">
        <f>Table1[Total_Sales]+Table1[Shipping_Cost]</f>
        <v>81.069999999999993</v>
      </c>
    </row>
    <row r="806" spans="1:18" x14ac:dyDescent="0.35">
      <c r="A806" s="3" t="s">
        <v>1611</v>
      </c>
      <c r="B806" s="2">
        <v>45386</v>
      </c>
      <c r="C806" s="1" t="s">
        <v>1612</v>
      </c>
      <c r="D806" s="1" t="s">
        <v>30</v>
      </c>
      <c r="E806" s="1" t="s">
        <v>166</v>
      </c>
      <c r="F806" s="1" t="s">
        <v>60</v>
      </c>
      <c r="G806" s="1" t="s">
        <v>20</v>
      </c>
      <c r="H806" s="1" t="s">
        <v>122</v>
      </c>
      <c r="I806" s="1">
        <v>1</v>
      </c>
      <c r="J806" s="1">
        <v>116.53</v>
      </c>
      <c r="K806" s="1">
        <v>10</v>
      </c>
      <c r="L806" s="1">
        <v>104.88</v>
      </c>
      <c r="M806" s="1">
        <v>10.52</v>
      </c>
      <c r="N806" s="1">
        <v>30.27</v>
      </c>
      <c r="O806" s="6" t="s">
        <v>39</v>
      </c>
      <c r="P806" s="8">
        <f>Table1[Quantity]*Table1[Unit_Price]</f>
        <v>116.53</v>
      </c>
      <c r="Q806" s="1">
        <f>Table1[Profit]/Table1[Total_Sales]</f>
        <v>0.28861556064073229</v>
      </c>
      <c r="R806" s="14">
        <f>Table1[Total_Sales]+Table1[Shipping_Cost]</f>
        <v>115.39999999999999</v>
      </c>
    </row>
    <row r="807" spans="1:18" x14ac:dyDescent="0.35">
      <c r="A807" s="3" t="s">
        <v>1613</v>
      </c>
      <c r="B807" s="2">
        <v>45386</v>
      </c>
      <c r="C807" s="1" t="s">
        <v>487</v>
      </c>
      <c r="D807" s="1" t="s">
        <v>30</v>
      </c>
      <c r="E807" s="1" t="s">
        <v>248</v>
      </c>
      <c r="F807" s="1" t="s">
        <v>26</v>
      </c>
      <c r="G807" s="1" t="s">
        <v>69</v>
      </c>
      <c r="H807" s="1" t="s">
        <v>139</v>
      </c>
      <c r="I807" s="1">
        <v>5</v>
      </c>
      <c r="J807" s="1">
        <v>45.28</v>
      </c>
      <c r="K807" s="1">
        <v>25</v>
      </c>
      <c r="L807" s="1">
        <v>169.8</v>
      </c>
      <c r="M807" s="1">
        <v>12.55</v>
      </c>
      <c r="N807" s="1">
        <v>44.05</v>
      </c>
      <c r="O807" s="6" t="s">
        <v>34</v>
      </c>
      <c r="P807" s="8">
        <f>Table1[Quantity]*Table1[Unit_Price]</f>
        <v>226.4</v>
      </c>
      <c r="Q807" s="1">
        <f>Table1[Profit]/Table1[Total_Sales]</f>
        <v>0.25942285041224966</v>
      </c>
      <c r="R807" s="14">
        <f>Table1[Total_Sales]+Table1[Shipping_Cost]</f>
        <v>182.35000000000002</v>
      </c>
    </row>
    <row r="808" spans="1:18" x14ac:dyDescent="0.35">
      <c r="A808" s="3" t="s">
        <v>1614</v>
      </c>
      <c r="B808" s="2">
        <v>45387</v>
      </c>
      <c r="C808" s="1" t="s">
        <v>174</v>
      </c>
      <c r="D808" s="1" t="s">
        <v>17</v>
      </c>
      <c r="E808" s="1" t="s">
        <v>85</v>
      </c>
      <c r="F808" s="1" t="s">
        <v>60</v>
      </c>
      <c r="G808" s="1" t="s">
        <v>69</v>
      </c>
      <c r="H808" s="1" t="s">
        <v>163</v>
      </c>
      <c r="I808" s="1">
        <v>1</v>
      </c>
      <c r="J808" s="1">
        <v>43.07</v>
      </c>
      <c r="K808" s="1">
        <v>20</v>
      </c>
      <c r="L808" s="1">
        <v>34.46</v>
      </c>
      <c r="M808" s="1">
        <v>10.5</v>
      </c>
      <c r="N808" s="1">
        <v>2.4300000000000002</v>
      </c>
      <c r="O808" s="6" t="s">
        <v>56</v>
      </c>
      <c r="P808" s="8">
        <f>Table1[Quantity]*Table1[Unit_Price]</f>
        <v>43.07</v>
      </c>
      <c r="Q808" s="1">
        <f>Table1[Profit]/Table1[Total_Sales]</f>
        <v>7.0516540917005224E-2</v>
      </c>
      <c r="R808" s="14">
        <f>Table1[Total_Sales]+Table1[Shipping_Cost]</f>
        <v>44.96</v>
      </c>
    </row>
    <row r="809" spans="1:18" x14ac:dyDescent="0.35">
      <c r="A809" s="3" t="s">
        <v>1615</v>
      </c>
      <c r="B809" s="2">
        <v>45387</v>
      </c>
      <c r="C809" s="1" t="s">
        <v>1616</v>
      </c>
      <c r="D809" s="1" t="s">
        <v>49</v>
      </c>
      <c r="E809" s="1" t="s">
        <v>31</v>
      </c>
      <c r="F809" s="1" t="s">
        <v>19</v>
      </c>
      <c r="G809" s="1" t="s">
        <v>32</v>
      </c>
      <c r="H809" s="1" t="s">
        <v>50</v>
      </c>
      <c r="I809" s="1">
        <v>5</v>
      </c>
      <c r="J809" s="1">
        <v>23.69</v>
      </c>
      <c r="K809" s="1">
        <v>15</v>
      </c>
      <c r="L809" s="1">
        <v>100.68</v>
      </c>
      <c r="M809" s="1">
        <v>14.77</v>
      </c>
      <c r="N809" s="1">
        <v>32.61</v>
      </c>
      <c r="O809" s="6" t="s">
        <v>34</v>
      </c>
      <c r="P809" s="8">
        <f>Table1[Quantity]*Table1[Unit_Price]</f>
        <v>118.45</v>
      </c>
      <c r="Q809" s="1">
        <f>Table1[Profit]/Table1[Total_Sales]</f>
        <v>0.32389749702026222</v>
      </c>
      <c r="R809" s="14">
        <f>Table1[Total_Sales]+Table1[Shipping_Cost]</f>
        <v>115.45</v>
      </c>
    </row>
    <row r="810" spans="1:18" x14ac:dyDescent="0.35">
      <c r="A810" s="3" t="s">
        <v>1617</v>
      </c>
      <c r="B810" s="2">
        <v>45387</v>
      </c>
      <c r="C810" s="1" t="s">
        <v>1618</v>
      </c>
      <c r="D810" s="1" t="s">
        <v>30</v>
      </c>
      <c r="E810" s="1" t="s">
        <v>31</v>
      </c>
      <c r="F810" s="1" t="s">
        <v>19</v>
      </c>
      <c r="G810" s="1" t="s">
        <v>20</v>
      </c>
      <c r="H810" s="1" t="s">
        <v>38</v>
      </c>
      <c r="I810" s="1">
        <v>3</v>
      </c>
      <c r="J810" s="1">
        <v>80.36</v>
      </c>
      <c r="K810" s="1">
        <v>20</v>
      </c>
      <c r="L810" s="1">
        <v>192.86</v>
      </c>
      <c r="M810" s="1">
        <v>9.0399999999999991</v>
      </c>
      <c r="N810" s="1">
        <v>51.23</v>
      </c>
      <c r="O810" s="6" t="s">
        <v>34</v>
      </c>
      <c r="P810" s="8">
        <f>Table1[Quantity]*Table1[Unit_Price]</f>
        <v>241.07999999999998</v>
      </c>
      <c r="Q810" s="1">
        <f>Table1[Profit]/Table1[Total_Sales]</f>
        <v>0.26563310173182614</v>
      </c>
      <c r="R810" s="14">
        <f>Table1[Total_Sales]+Table1[Shipping_Cost]</f>
        <v>201.9</v>
      </c>
    </row>
    <row r="811" spans="1:18" x14ac:dyDescent="0.35">
      <c r="A811" s="3" t="s">
        <v>1619</v>
      </c>
      <c r="B811" s="2">
        <v>45388</v>
      </c>
      <c r="C811" s="1" t="s">
        <v>189</v>
      </c>
      <c r="D811" s="1" t="s">
        <v>30</v>
      </c>
      <c r="E811" s="1" t="s">
        <v>248</v>
      </c>
      <c r="F811" s="1" t="s">
        <v>26</v>
      </c>
      <c r="G811" s="1" t="s">
        <v>20</v>
      </c>
      <c r="H811" s="1" t="s">
        <v>170</v>
      </c>
      <c r="I811" s="1">
        <v>3</v>
      </c>
      <c r="J811" s="1">
        <v>39.53</v>
      </c>
      <c r="K811" s="1">
        <v>15</v>
      </c>
      <c r="L811" s="1">
        <v>100.8</v>
      </c>
      <c r="M811" s="1">
        <v>9.02</v>
      </c>
      <c r="N811" s="1">
        <v>26.56</v>
      </c>
      <c r="O811" s="6" t="s">
        <v>34</v>
      </c>
      <c r="P811" s="8">
        <f>Table1[Quantity]*Table1[Unit_Price]</f>
        <v>118.59</v>
      </c>
      <c r="Q811" s="1">
        <f>Table1[Profit]/Table1[Total_Sales]</f>
        <v>0.2634920634920635</v>
      </c>
      <c r="R811" s="14">
        <f>Table1[Total_Sales]+Table1[Shipping_Cost]</f>
        <v>109.82</v>
      </c>
    </row>
    <row r="812" spans="1:18" x14ac:dyDescent="0.35">
      <c r="A812" s="3" t="s">
        <v>1620</v>
      </c>
      <c r="B812" s="2">
        <v>45388</v>
      </c>
      <c r="C812" s="1" t="s">
        <v>1621</v>
      </c>
      <c r="D812" s="1" t="s">
        <v>30</v>
      </c>
      <c r="E812" s="1" t="s">
        <v>31</v>
      </c>
      <c r="F812" s="1" t="s">
        <v>19</v>
      </c>
      <c r="G812" s="1" t="s">
        <v>32</v>
      </c>
      <c r="H812" s="1" t="s">
        <v>33</v>
      </c>
      <c r="I812" s="1">
        <v>5</v>
      </c>
      <c r="J812" s="1">
        <v>10.25</v>
      </c>
      <c r="K812" s="1">
        <v>15</v>
      </c>
      <c r="L812" s="1">
        <v>43.56</v>
      </c>
      <c r="M812" s="1">
        <v>9.7799999999999994</v>
      </c>
      <c r="N812" s="1">
        <v>10.72</v>
      </c>
      <c r="O812" s="6" t="s">
        <v>22</v>
      </c>
      <c r="P812" s="8">
        <f>Table1[Quantity]*Table1[Unit_Price]</f>
        <v>51.25</v>
      </c>
      <c r="Q812" s="1">
        <f>Table1[Profit]/Table1[Total_Sales]</f>
        <v>0.24609733700642791</v>
      </c>
      <c r="R812" s="14">
        <f>Table1[Total_Sales]+Table1[Shipping_Cost]</f>
        <v>53.34</v>
      </c>
    </row>
    <row r="813" spans="1:18" x14ac:dyDescent="0.35">
      <c r="A813" s="3" t="s">
        <v>1622</v>
      </c>
      <c r="B813" s="2">
        <v>45388</v>
      </c>
      <c r="C813" s="1" t="s">
        <v>807</v>
      </c>
      <c r="D813" s="1" t="s">
        <v>30</v>
      </c>
      <c r="E813" s="1" t="s">
        <v>18</v>
      </c>
      <c r="F813" s="1" t="s">
        <v>19</v>
      </c>
      <c r="G813" s="1" t="s">
        <v>32</v>
      </c>
      <c r="H813" s="1" t="s">
        <v>149</v>
      </c>
      <c r="I813" s="1">
        <v>2</v>
      </c>
      <c r="J813" s="1">
        <v>14.32</v>
      </c>
      <c r="K813" s="1">
        <v>10</v>
      </c>
      <c r="L813" s="1">
        <v>25.78</v>
      </c>
      <c r="M813" s="1">
        <v>7</v>
      </c>
      <c r="N813" s="1">
        <v>5.89</v>
      </c>
      <c r="O813" s="6" t="s">
        <v>34</v>
      </c>
      <c r="P813" s="8">
        <f>Table1[Quantity]*Table1[Unit_Price]</f>
        <v>28.64</v>
      </c>
      <c r="Q813" s="1">
        <f>Table1[Profit]/Table1[Total_Sales]</f>
        <v>0.22847168347556243</v>
      </c>
      <c r="R813" s="14">
        <f>Table1[Total_Sales]+Table1[Shipping_Cost]</f>
        <v>32.78</v>
      </c>
    </row>
    <row r="814" spans="1:18" x14ac:dyDescent="0.35">
      <c r="A814" s="3" t="s">
        <v>1623</v>
      </c>
      <c r="B814" s="2">
        <v>45388</v>
      </c>
      <c r="C814" s="1" t="s">
        <v>1624</v>
      </c>
      <c r="D814" s="1" t="s">
        <v>30</v>
      </c>
      <c r="E814" s="1" t="s">
        <v>135</v>
      </c>
      <c r="F814" s="1" t="s">
        <v>26</v>
      </c>
      <c r="G814" s="1" t="s">
        <v>32</v>
      </c>
      <c r="H814" s="1" t="s">
        <v>73</v>
      </c>
      <c r="I814" s="1">
        <v>8</v>
      </c>
      <c r="J814" s="1">
        <v>9</v>
      </c>
      <c r="K814" s="1">
        <v>0</v>
      </c>
      <c r="L814" s="1">
        <v>72</v>
      </c>
      <c r="M814" s="1">
        <v>16.77</v>
      </c>
      <c r="N814" s="1">
        <v>22.83</v>
      </c>
      <c r="O814" s="6" t="s">
        <v>34</v>
      </c>
      <c r="P814" s="8">
        <f>Table1[Quantity]*Table1[Unit_Price]</f>
        <v>72</v>
      </c>
      <c r="Q814" s="1">
        <f>Table1[Profit]/Table1[Total_Sales]</f>
        <v>0.31708333333333333</v>
      </c>
      <c r="R814" s="14">
        <f>Table1[Total_Sales]+Table1[Shipping_Cost]</f>
        <v>88.77</v>
      </c>
    </row>
    <row r="815" spans="1:18" x14ac:dyDescent="0.35">
      <c r="A815" s="3" t="s">
        <v>1625</v>
      </c>
      <c r="B815" s="2">
        <v>45389</v>
      </c>
      <c r="C815" s="1" t="s">
        <v>1626</v>
      </c>
      <c r="D815" s="1" t="s">
        <v>30</v>
      </c>
      <c r="E815" s="1" t="s">
        <v>169</v>
      </c>
      <c r="F815" s="1" t="s">
        <v>68</v>
      </c>
      <c r="G815" s="1" t="s">
        <v>69</v>
      </c>
      <c r="H815" s="1" t="s">
        <v>305</v>
      </c>
      <c r="I815" s="1">
        <v>5</v>
      </c>
      <c r="J815" s="1">
        <v>77.97</v>
      </c>
      <c r="K815" s="1">
        <v>5</v>
      </c>
      <c r="L815" s="1">
        <v>370.36</v>
      </c>
      <c r="M815" s="1">
        <v>20.41</v>
      </c>
      <c r="N815" s="1">
        <v>155.03</v>
      </c>
      <c r="O815" s="6" t="s">
        <v>34</v>
      </c>
      <c r="P815" s="8">
        <f>Table1[Quantity]*Table1[Unit_Price]</f>
        <v>389.85</v>
      </c>
      <c r="Q815" s="1">
        <f>Table1[Profit]/Table1[Total_Sales]</f>
        <v>0.41859272059617669</v>
      </c>
      <c r="R815" s="14">
        <f>Table1[Total_Sales]+Table1[Shipping_Cost]</f>
        <v>390.77000000000004</v>
      </c>
    </row>
    <row r="816" spans="1:18" x14ac:dyDescent="0.35">
      <c r="A816" s="3" t="s">
        <v>1627</v>
      </c>
      <c r="B816" s="2">
        <v>45389</v>
      </c>
      <c r="C816" s="1" t="s">
        <v>1628</v>
      </c>
      <c r="D816" s="1" t="s">
        <v>30</v>
      </c>
      <c r="E816" s="1" t="s">
        <v>85</v>
      </c>
      <c r="F816" s="1" t="s">
        <v>60</v>
      </c>
      <c r="G816" s="1" t="s">
        <v>69</v>
      </c>
      <c r="H816" s="1" t="s">
        <v>79</v>
      </c>
      <c r="I816" s="1">
        <v>3</v>
      </c>
      <c r="J816" s="1">
        <v>70.34</v>
      </c>
      <c r="K816" s="1">
        <v>10</v>
      </c>
      <c r="L816" s="1">
        <v>189.92</v>
      </c>
      <c r="M816" s="1">
        <v>14.67</v>
      </c>
      <c r="N816" s="1">
        <v>69.739999999999995</v>
      </c>
      <c r="O816" s="6" t="s">
        <v>34</v>
      </c>
      <c r="P816" s="8">
        <f>Table1[Quantity]*Table1[Unit_Price]</f>
        <v>211.02</v>
      </c>
      <c r="Q816" s="1">
        <f>Table1[Profit]/Table1[Total_Sales]</f>
        <v>0.36720724515585507</v>
      </c>
      <c r="R816" s="14">
        <f>Table1[Total_Sales]+Table1[Shipping_Cost]</f>
        <v>204.58999999999997</v>
      </c>
    </row>
    <row r="817" spans="1:18" x14ac:dyDescent="0.35">
      <c r="A817" s="3" t="s">
        <v>1629</v>
      </c>
      <c r="B817" s="2">
        <v>45390</v>
      </c>
      <c r="C817" s="1" t="s">
        <v>1630</v>
      </c>
      <c r="D817" s="1" t="s">
        <v>49</v>
      </c>
      <c r="E817" s="1" t="s">
        <v>248</v>
      </c>
      <c r="F817" s="1" t="s">
        <v>26</v>
      </c>
      <c r="G817" s="1" t="s">
        <v>69</v>
      </c>
      <c r="H817" s="1" t="s">
        <v>196</v>
      </c>
      <c r="I817" s="1">
        <v>6</v>
      </c>
      <c r="J817" s="1">
        <v>29.44</v>
      </c>
      <c r="K817" s="1">
        <v>10</v>
      </c>
      <c r="L817" s="1">
        <v>158.97999999999999</v>
      </c>
      <c r="M817" s="1">
        <v>17.71</v>
      </c>
      <c r="N817" s="1">
        <v>52.95</v>
      </c>
      <c r="O817" s="6" t="s">
        <v>34</v>
      </c>
      <c r="P817" s="8">
        <f>Table1[Quantity]*Table1[Unit_Price]</f>
        <v>176.64000000000001</v>
      </c>
      <c r="Q817" s="1">
        <f>Table1[Profit]/Table1[Total_Sales]</f>
        <v>0.33306076236004534</v>
      </c>
      <c r="R817" s="14">
        <f>Table1[Total_Sales]+Table1[Shipping_Cost]</f>
        <v>176.69</v>
      </c>
    </row>
    <row r="818" spans="1:18" x14ac:dyDescent="0.35">
      <c r="A818" s="3" t="s">
        <v>1631</v>
      </c>
      <c r="B818" s="2">
        <v>45390</v>
      </c>
      <c r="C818" s="1" t="s">
        <v>1632</v>
      </c>
      <c r="D818" s="1" t="s">
        <v>30</v>
      </c>
      <c r="E818" s="1" t="s">
        <v>148</v>
      </c>
      <c r="F818" s="1" t="s">
        <v>60</v>
      </c>
      <c r="G818" s="1" t="s">
        <v>69</v>
      </c>
      <c r="H818" s="1" t="s">
        <v>243</v>
      </c>
      <c r="I818" s="1">
        <v>9</v>
      </c>
      <c r="J818" s="1">
        <v>36.630000000000003</v>
      </c>
      <c r="K818" s="1">
        <v>5</v>
      </c>
      <c r="L818" s="1">
        <v>313.19</v>
      </c>
      <c r="M818" s="1">
        <v>17.14</v>
      </c>
      <c r="N818" s="1">
        <v>131.21</v>
      </c>
      <c r="O818" s="6" t="s">
        <v>34</v>
      </c>
      <c r="P818" s="8">
        <f>Table1[Quantity]*Table1[Unit_Price]</f>
        <v>329.67</v>
      </c>
      <c r="Q818" s="1">
        <f>Table1[Profit]/Table1[Total_Sales]</f>
        <v>0.41894696510105689</v>
      </c>
      <c r="R818" s="14">
        <f>Table1[Total_Sales]+Table1[Shipping_Cost]</f>
        <v>330.33</v>
      </c>
    </row>
    <row r="819" spans="1:18" x14ac:dyDescent="0.35">
      <c r="A819" s="3" t="s">
        <v>1633</v>
      </c>
      <c r="B819" s="2">
        <v>45390</v>
      </c>
      <c r="C819" s="1" t="s">
        <v>1634</v>
      </c>
      <c r="D819" s="1" t="s">
        <v>30</v>
      </c>
      <c r="E819" s="1" t="s">
        <v>18</v>
      </c>
      <c r="F819" s="1" t="s">
        <v>19</v>
      </c>
      <c r="G819" s="1" t="s">
        <v>32</v>
      </c>
      <c r="H819" s="1" t="s">
        <v>115</v>
      </c>
      <c r="I819" s="1">
        <v>1</v>
      </c>
      <c r="J819" s="1">
        <v>13.3</v>
      </c>
      <c r="K819" s="1">
        <v>15</v>
      </c>
      <c r="L819" s="1">
        <v>11.3</v>
      </c>
      <c r="M819" s="1">
        <v>5.8</v>
      </c>
      <c r="N819" s="1">
        <v>-0.48</v>
      </c>
      <c r="O819" s="6" t="s">
        <v>34</v>
      </c>
      <c r="P819" s="8">
        <f>Table1[Quantity]*Table1[Unit_Price]</f>
        <v>13.3</v>
      </c>
      <c r="Q819" s="1">
        <f>Table1[Profit]/Table1[Total_Sales]</f>
        <v>-4.2477876106194683E-2</v>
      </c>
      <c r="R819" s="14">
        <f>Table1[Total_Sales]+Table1[Shipping_Cost]</f>
        <v>17.100000000000001</v>
      </c>
    </row>
    <row r="820" spans="1:18" x14ac:dyDescent="0.35">
      <c r="A820" s="3" t="s">
        <v>1635</v>
      </c>
      <c r="B820" s="2">
        <v>45391</v>
      </c>
      <c r="C820" s="1" t="s">
        <v>1636</v>
      </c>
      <c r="D820" s="1" t="s">
        <v>30</v>
      </c>
      <c r="E820" s="1" t="s">
        <v>18</v>
      </c>
      <c r="F820" s="1" t="s">
        <v>19</v>
      </c>
      <c r="G820" s="1" t="s">
        <v>42</v>
      </c>
      <c r="H820" s="1" t="s">
        <v>43</v>
      </c>
      <c r="I820" s="1">
        <v>5</v>
      </c>
      <c r="J820" s="1">
        <v>184.93</v>
      </c>
      <c r="K820" s="1">
        <v>5</v>
      </c>
      <c r="L820" s="1">
        <v>878.42</v>
      </c>
      <c r="M820" s="1">
        <v>7.7</v>
      </c>
      <c r="N820" s="1">
        <v>315.93</v>
      </c>
      <c r="O820" s="6" t="s">
        <v>39</v>
      </c>
      <c r="P820" s="8">
        <f>Table1[Quantity]*Table1[Unit_Price]</f>
        <v>924.65000000000009</v>
      </c>
      <c r="Q820" s="1">
        <f>Table1[Profit]/Table1[Total_Sales]</f>
        <v>0.35965711163224884</v>
      </c>
      <c r="R820" s="14">
        <f>Table1[Total_Sales]+Table1[Shipping_Cost]</f>
        <v>886.12</v>
      </c>
    </row>
    <row r="821" spans="1:18" x14ac:dyDescent="0.35">
      <c r="A821" s="3" t="s">
        <v>1637</v>
      </c>
      <c r="B821" s="2">
        <v>45391</v>
      </c>
      <c r="C821" s="1" t="s">
        <v>1638</v>
      </c>
      <c r="D821" s="1" t="s">
        <v>49</v>
      </c>
      <c r="E821" s="1" t="s">
        <v>18</v>
      </c>
      <c r="F821" s="1" t="s">
        <v>19</v>
      </c>
      <c r="G821" s="1" t="s">
        <v>69</v>
      </c>
      <c r="H821" s="1" t="s">
        <v>98</v>
      </c>
      <c r="I821" s="1">
        <v>1</v>
      </c>
      <c r="J821" s="1">
        <v>53.29</v>
      </c>
      <c r="K821" s="1">
        <v>10</v>
      </c>
      <c r="L821" s="1">
        <v>47.96</v>
      </c>
      <c r="M821" s="1">
        <v>6.39</v>
      </c>
      <c r="N821" s="1">
        <v>14.93</v>
      </c>
      <c r="O821" s="6" t="s">
        <v>34</v>
      </c>
      <c r="P821" s="8">
        <f>Table1[Quantity]*Table1[Unit_Price]</f>
        <v>53.29</v>
      </c>
      <c r="Q821" s="1">
        <f>Table1[Profit]/Table1[Total_Sales]</f>
        <v>0.31130108423686403</v>
      </c>
      <c r="R821" s="14">
        <f>Table1[Total_Sales]+Table1[Shipping_Cost]</f>
        <v>54.35</v>
      </c>
    </row>
    <row r="822" spans="1:18" x14ac:dyDescent="0.35">
      <c r="A822" s="3" t="s">
        <v>1639</v>
      </c>
      <c r="B822" s="2">
        <v>45392</v>
      </c>
      <c r="C822" s="1" t="s">
        <v>1640</v>
      </c>
      <c r="D822" s="1" t="s">
        <v>17</v>
      </c>
      <c r="E822" s="1" t="s">
        <v>53</v>
      </c>
      <c r="F822" s="1" t="s">
        <v>54</v>
      </c>
      <c r="G822" s="1" t="s">
        <v>32</v>
      </c>
      <c r="H822" s="1" t="s">
        <v>33</v>
      </c>
      <c r="I822" s="1">
        <v>2</v>
      </c>
      <c r="J822" s="1">
        <v>14</v>
      </c>
      <c r="K822" s="1">
        <v>10</v>
      </c>
      <c r="L822" s="1">
        <v>25.2</v>
      </c>
      <c r="M822" s="1">
        <v>15.47</v>
      </c>
      <c r="N822" s="1">
        <v>-2.87</v>
      </c>
      <c r="O822" s="6" t="s">
        <v>39</v>
      </c>
      <c r="P822" s="8">
        <f>Table1[Quantity]*Table1[Unit_Price]</f>
        <v>28</v>
      </c>
      <c r="Q822" s="1">
        <f>Table1[Profit]/Table1[Total_Sales]</f>
        <v>-0.1138888888888889</v>
      </c>
      <c r="R822" s="14">
        <f>Table1[Total_Sales]+Table1[Shipping_Cost]</f>
        <v>40.67</v>
      </c>
    </row>
    <row r="823" spans="1:18" x14ac:dyDescent="0.35">
      <c r="A823" s="3" t="s">
        <v>1641</v>
      </c>
      <c r="B823" s="2">
        <v>45392</v>
      </c>
      <c r="C823" s="1" t="s">
        <v>128</v>
      </c>
      <c r="D823" s="1" t="s">
        <v>30</v>
      </c>
      <c r="E823" s="1" t="s">
        <v>166</v>
      </c>
      <c r="F823" s="1" t="s">
        <v>60</v>
      </c>
      <c r="G823" s="1" t="s">
        <v>20</v>
      </c>
      <c r="H823" s="1" t="s">
        <v>199</v>
      </c>
      <c r="I823" s="1">
        <v>4</v>
      </c>
      <c r="J823" s="1">
        <v>43.88</v>
      </c>
      <c r="K823" s="1">
        <v>10</v>
      </c>
      <c r="L823" s="1">
        <v>157.97</v>
      </c>
      <c r="M823" s="1">
        <v>14.83</v>
      </c>
      <c r="N823" s="1">
        <v>46.6</v>
      </c>
      <c r="O823" s="6" t="s">
        <v>34</v>
      </c>
      <c r="P823" s="8">
        <f>Table1[Quantity]*Table1[Unit_Price]</f>
        <v>175.52</v>
      </c>
      <c r="Q823" s="1">
        <f>Table1[Profit]/Table1[Total_Sales]</f>
        <v>0.29499272013673483</v>
      </c>
      <c r="R823" s="14">
        <f>Table1[Total_Sales]+Table1[Shipping_Cost]</f>
        <v>172.8</v>
      </c>
    </row>
    <row r="824" spans="1:18" x14ac:dyDescent="0.35">
      <c r="A824" s="3" t="s">
        <v>1642</v>
      </c>
      <c r="B824" s="2">
        <v>45392</v>
      </c>
      <c r="C824" s="1" t="s">
        <v>1643</v>
      </c>
      <c r="D824" s="1" t="s">
        <v>49</v>
      </c>
      <c r="E824" s="1" t="s">
        <v>59</v>
      </c>
      <c r="F824" s="1" t="s">
        <v>60</v>
      </c>
      <c r="G824" s="1" t="s">
        <v>20</v>
      </c>
      <c r="H824" s="1" t="s">
        <v>199</v>
      </c>
      <c r="I824" s="1">
        <v>1</v>
      </c>
      <c r="J824" s="1">
        <v>198.87</v>
      </c>
      <c r="K824" s="1">
        <v>15</v>
      </c>
      <c r="L824" s="1">
        <v>169.04</v>
      </c>
      <c r="M824" s="1">
        <v>10.72</v>
      </c>
      <c r="N824" s="1">
        <v>48.94</v>
      </c>
      <c r="O824" s="6" t="s">
        <v>34</v>
      </c>
      <c r="P824" s="8">
        <f>Table1[Quantity]*Table1[Unit_Price]</f>
        <v>198.87</v>
      </c>
      <c r="Q824" s="1">
        <f>Table1[Profit]/Table1[Total_Sales]</f>
        <v>0.28951727401798388</v>
      </c>
      <c r="R824" s="14">
        <f>Table1[Total_Sales]+Table1[Shipping_Cost]</f>
        <v>179.76</v>
      </c>
    </row>
    <row r="825" spans="1:18" x14ac:dyDescent="0.35">
      <c r="A825" s="3" t="s">
        <v>1644</v>
      </c>
      <c r="B825" s="2">
        <v>45392</v>
      </c>
      <c r="C825" s="1" t="s">
        <v>1645</v>
      </c>
      <c r="D825" s="1" t="s">
        <v>30</v>
      </c>
      <c r="E825" s="1" t="s">
        <v>76</v>
      </c>
      <c r="F825" s="1" t="s">
        <v>26</v>
      </c>
      <c r="G825" s="1" t="s">
        <v>20</v>
      </c>
      <c r="H825" s="1" t="s">
        <v>264</v>
      </c>
      <c r="I825" s="1">
        <v>3</v>
      </c>
      <c r="J825" s="1">
        <v>53.25</v>
      </c>
      <c r="K825" s="1">
        <v>5</v>
      </c>
      <c r="L825" s="1">
        <v>151.76</v>
      </c>
      <c r="M825" s="1">
        <v>11.26</v>
      </c>
      <c r="N825" s="1">
        <v>52.64</v>
      </c>
      <c r="O825" s="6" t="s">
        <v>39</v>
      </c>
      <c r="P825" s="8">
        <f>Table1[Quantity]*Table1[Unit_Price]</f>
        <v>159.75</v>
      </c>
      <c r="Q825" s="1">
        <f>Table1[Profit]/Table1[Total_Sales]</f>
        <v>0.34686346863468637</v>
      </c>
      <c r="R825" s="14">
        <f>Table1[Total_Sales]+Table1[Shipping_Cost]</f>
        <v>163.01999999999998</v>
      </c>
    </row>
    <row r="826" spans="1:18" x14ac:dyDescent="0.35">
      <c r="A826" s="3" t="s">
        <v>1646</v>
      </c>
      <c r="B826" s="2">
        <v>45393</v>
      </c>
      <c r="C826" s="1" t="s">
        <v>1647</v>
      </c>
      <c r="D826" s="1" t="s">
        <v>17</v>
      </c>
      <c r="E826" s="1" t="s">
        <v>148</v>
      </c>
      <c r="F826" s="1" t="s">
        <v>60</v>
      </c>
      <c r="G826" s="1" t="s">
        <v>69</v>
      </c>
      <c r="H826" s="1" t="s">
        <v>305</v>
      </c>
      <c r="I826" s="1">
        <v>4</v>
      </c>
      <c r="J826" s="1">
        <v>42.06</v>
      </c>
      <c r="K826" s="1">
        <v>10</v>
      </c>
      <c r="L826" s="1">
        <v>151.41999999999999</v>
      </c>
      <c r="M826" s="1">
        <v>11.14</v>
      </c>
      <c r="N826" s="1">
        <v>56.16</v>
      </c>
      <c r="O826" s="6" t="s">
        <v>39</v>
      </c>
      <c r="P826" s="8">
        <f>Table1[Quantity]*Table1[Unit_Price]</f>
        <v>168.24</v>
      </c>
      <c r="Q826" s="1">
        <f>Table1[Profit]/Table1[Total_Sales]</f>
        <v>0.37088891824065512</v>
      </c>
      <c r="R826" s="14">
        <f>Table1[Total_Sales]+Table1[Shipping_Cost]</f>
        <v>162.56</v>
      </c>
    </row>
    <row r="827" spans="1:18" x14ac:dyDescent="0.35">
      <c r="A827" s="3" t="s">
        <v>1648</v>
      </c>
      <c r="B827" s="2">
        <v>45395</v>
      </c>
      <c r="C827" s="1" t="s">
        <v>1649</v>
      </c>
      <c r="D827" s="1" t="s">
        <v>30</v>
      </c>
      <c r="E827" s="1" t="s">
        <v>76</v>
      </c>
      <c r="F827" s="1" t="s">
        <v>26</v>
      </c>
      <c r="G827" s="1" t="s">
        <v>20</v>
      </c>
      <c r="H827" s="1" t="s">
        <v>170</v>
      </c>
      <c r="I827" s="1">
        <v>4</v>
      </c>
      <c r="J827" s="1">
        <v>24.16</v>
      </c>
      <c r="K827" s="1">
        <v>0</v>
      </c>
      <c r="L827" s="1">
        <v>96.64</v>
      </c>
      <c r="M827" s="1">
        <v>9.6300000000000008</v>
      </c>
      <c r="N827" s="1">
        <v>33.86</v>
      </c>
      <c r="O827" s="6" t="s">
        <v>22</v>
      </c>
      <c r="P827" s="8">
        <f>Table1[Quantity]*Table1[Unit_Price]</f>
        <v>96.64</v>
      </c>
      <c r="Q827" s="1">
        <f>Table1[Profit]/Table1[Total_Sales]</f>
        <v>0.35037251655629137</v>
      </c>
      <c r="R827" s="14">
        <f>Table1[Total_Sales]+Table1[Shipping_Cost]</f>
        <v>106.27</v>
      </c>
    </row>
    <row r="828" spans="1:18" x14ac:dyDescent="0.35">
      <c r="A828" s="3" t="s">
        <v>1650</v>
      </c>
      <c r="B828" s="2">
        <v>45396</v>
      </c>
      <c r="C828" s="1" t="s">
        <v>1651</v>
      </c>
      <c r="D828" s="1" t="s">
        <v>30</v>
      </c>
      <c r="E828" s="1" t="s">
        <v>85</v>
      </c>
      <c r="F828" s="1" t="s">
        <v>60</v>
      </c>
      <c r="G828" s="1" t="s">
        <v>69</v>
      </c>
      <c r="H828" s="1" t="s">
        <v>98</v>
      </c>
      <c r="I828" s="1">
        <v>1</v>
      </c>
      <c r="J828" s="1">
        <v>33.049999999999997</v>
      </c>
      <c r="K828" s="1">
        <v>20</v>
      </c>
      <c r="L828" s="1">
        <v>26.44</v>
      </c>
      <c r="M828" s="1">
        <v>10.63</v>
      </c>
      <c r="N828" s="1">
        <v>-0.71</v>
      </c>
      <c r="O828" s="6" t="s">
        <v>56</v>
      </c>
      <c r="P828" s="8">
        <f>Table1[Quantity]*Table1[Unit_Price]</f>
        <v>33.049999999999997</v>
      </c>
      <c r="Q828" s="1">
        <f>Table1[Profit]/Table1[Total_Sales]</f>
        <v>-2.6853252647503781E-2</v>
      </c>
      <c r="R828" s="14">
        <f>Table1[Total_Sales]+Table1[Shipping_Cost]</f>
        <v>37.07</v>
      </c>
    </row>
    <row r="829" spans="1:18" x14ac:dyDescent="0.35">
      <c r="A829" s="3" t="s">
        <v>1652</v>
      </c>
      <c r="B829" s="2">
        <v>45396</v>
      </c>
      <c r="C829" s="1" t="s">
        <v>1653</v>
      </c>
      <c r="D829" s="1" t="s">
        <v>30</v>
      </c>
      <c r="E829" s="1" t="s">
        <v>109</v>
      </c>
      <c r="F829" s="1" t="s">
        <v>54</v>
      </c>
      <c r="G829" s="1" t="s">
        <v>32</v>
      </c>
      <c r="H829" s="1" t="s">
        <v>132</v>
      </c>
      <c r="I829" s="1">
        <v>2</v>
      </c>
      <c r="J829" s="1">
        <v>10.3</v>
      </c>
      <c r="K829" s="1">
        <v>5</v>
      </c>
      <c r="L829" s="1">
        <v>19.57</v>
      </c>
      <c r="M829" s="1">
        <v>12.16</v>
      </c>
      <c r="N829" s="1">
        <v>-1.86</v>
      </c>
      <c r="O829" s="6" t="s">
        <v>22</v>
      </c>
      <c r="P829" s="8">
        <f>Table1[Quantity]*Table1[Unit_Price]</f>
        <v>20.6</v>
      </c>
      <c r="Q829" s="1">
        <f>Table1[Profit]/Table1[Total_Sales]</f>
        <v>-9.5043433827286666E-2</v>
      </c>
      <c r="R829" s="14">
        <f>Table1[Total_Sales]+Table1[Shipping_Cost]</f>
        <v>31.73</v>
      </c>
    </row>
    <row r="830" spans="1:18" x14ac:dyDescent="0.35">
      <c r="A830" s="3" t="s">
        <v>1654</v>
      </c>
      <c r="B830" s="2">
        <v>45396</v>
      </c>
      <c r="C830" s="1" t="s">
        <v>1655</v>
      </c>
      <c r="D830" s="1" t="s">
        <v>30</v>
      </c>
      <c r="E830" s="1" t="s">
        <v>92</v>
      </c>
      <c r="F830" s="1" t="s">
        <v>60</v>
      </c>
      <c r="G830" s="1" t="s">
        <v>32</v>
      </c>
      <c r="H830" s="1" t="s">
        <v>348</v>
      </c>
      <c r="I830" s="1">
        <v>2</v>
      </c>
      <c r="J830" s="1">
        <v>10.57</v>
      </c>
      <c r="K830" s="1">
        <v>5</v>
      </c>
      <c r="L830" s="1">
        <v>20.079999999999998</v>
      </c>
      <c r="M830" s="1">
        <v>11.11</v>
      </c>
      <c r="N830" s="1">
        <v>-0.54</v>
      </c>
      <c r="O830" s="6" t="s">
        <v>39</v>
      </c>
      <c r="P830" s="8">
        <f>Table1[Quantity]*Table1[Unit_Price]</f>
        <v>21.14</v>
      </c>
      <c r="Q830" s="1">
        <f>Table1[Profit]/Table1[Total_Sales]</f>
        <v>-2.6892430278884466E-2</v>
      </c>
      <c r="R830" s="14">
        <f>Table1[Total_Sales]+Table1[Shipping_Cost]</f>
        <v>31.189999999999998</v>
      </c>
    </row>
    <row r="831" spans="1:18" x14ac:dyDescent="0.35">
      <c r="A831" s="3" t="s">
        <v>1656</v>
      </c>
      <c r="B831" s="2">
        <v>45397</v>
      </c>
      <c r="C831" s="1" t="s">
        <v>1657</v>
      </c>
      <c r="D831" s="1" t="s">
        <v>17</v>
      </c>
      <c r="E831" s="1" t="s">
        <v>169</v>
      </c>
      <c r="F831" s="1" t="s">
        <v>68</v>
      </c>
      <c r="G831" s="1" t="s">
        <v>20</v>
      </c>
      <c r="H831" s="1" t="s">
        <v>199</v>
      </c>
      <c r="I831" s="1">
        <v>14</v>
      </c>
      <c r="J831" s="1">
        <v>118.27</v>
      </c>
      <c r="K831" s="1">
        <v>10</v>
      </c>
      <c r="L831" s="1">
        <v>1490.2</v>
      </c>
      <c r="M831" s="1">
        <v>40.44</v>
      </c>
      <c r="N831" s="1">
        <v>539.08000000000004</v>
      </c>
      <c r="O831" s="6" t="s">
        <v>34</v>
      </c>
      <c r="P831" s="8">
        <f>Table1[Quantity]*Table1[Unit_Price]</f>
        <v>1655.78</v>
      </c>
      <c r="Q831" s="1">
        <f>Table1[Profit]/Table1[Total_Sales]</f>
        <v>0.36175010065762986</v>
      </c>
      <c r="R831" s="14">
        <f>Table1[Total_Sales]+Table1[Shipping_Cost]</f>
        <v>1530.64</v>
      </c>
    </row>
    <row r="832" spans="1:18" x14ac:dyDescent="0.35">
      <c r="A832" s="3" t="s">
        <v>1658</v>
      </c>
      <c r="B832" s="2">
        <v>45397</v>
      </c>
      <c r="C832" s="1" t="s">
        <v>1659</v>
      </c>
      <c r="D832" s="1" t="s">
        <v>49</v>
      </c>
      <c r="E832" s="1" t="s">
        <v>92</v>
      </c>
      <c r="F832" s="1" t="s">
        <v>60</v>
      </c>
      <c r="G832" s="1" t="s">
        <v>20</v>
      </c>
      <c r="H832" s="1" t="s">
        <v>106</v>
      </c>
      <c r="I832" s="1">
        <v>9</v>
      </c>
      <c r="J832" s="1">
        <v>38.81</v>
      </c>
      <c r="K832" s="1">
        <v>5</v>
      </c>
      <c r="L832" s="1">
        <v>331.83</v>
      </c>
      <c r="M832" s="1">
        <v>21.13</v>
      </c>
      <c r="N832" s="1">
        <v>118.59</v>
      </c>
      <c r="O832" s="6" t="s">
        <v>34</v>
      </c>
      <c r="P832" s="8">
        <f>Table1[Quantity]*Table1[Unit_Price]</f>
        <v>349.29</v>
      </c>
      <c r="Q832" s="1">
        <f>Table1[Profit]/Table1[Total_Sales]</f>
        <v>0.35738179188138508</v>
      </c>
      <c r="R832" s="14">
        <f>Table1[Total_Sales]+Table1[Shipping_Cost]</f>
        <v>352.96</v>
      </c>
    </row>
    <row r="833" spans="1:18" x14ac:dyDescent="0.35">
      <c r="A833" s="3" t="s">
        <v>1660</v>
      </c>
      <c r="B833" s="2">
        <v>45398</v>
      </c>
      <c r="C833" s="1" t="s">
        <v>427</v>
      </c>
      <c r="D833" s="1" t="s">
        <v>17</v>
      </c>
      <c r="E833" s="1" t="s">
        <v>138</v>
      </c>
      <c r="F833" s="1" t="s">
        <v>54</v>
      </c>
      <c r="G833" s="1" t="s">
        <v>32</v>
      </c>
      <c r="H833" s="1" t="s">
        <v>101</v>
      </c>
      <c r="I833" s="1">
        <v>1</v>
      </c>
      <c r="J833" s="1">
        <v>9.5</v>
      </c>
      <c r="K833" s="1">
        <v>5</v>
      </c>
      <c r="L833" s="1">
        <v>9.0299999999999994</v>
      </c>
      <c r="M833" s="1">
        <v>13.01</v>
      </c>
      <c r="N833" s="1">
        <v>-8.26</v>
      </c>
      <c r="O833" s="6" t="s">
        <v>56</v>
      </c>
      <c r="P833" s="8">
        <f>Table1[Quantity]*Table1[Unit_Price]</f>
        <v>9.5</v>
      </c>
      <c r="Q833" s="1">
        <f>Table1[Profit]/Table1[Total_Sales]</f>
        <v>-0.91472868217054271</v>
      </c>
      <c r="R833" s="14">
        <f>Table1[Total_Sales]+Table1[Shipping_Cost]</f>
        <v>22.04</v>
      </c>
    </row>
    <row r="834" spans="1:18" x14ac:dyDescent="0.35">
      <c r="A834" s="3" t="s">
        <v>1661</v>
      </c>
      <c r="B834" s="2">
        <v>45398</v>
      </c>
      <c r="C834" s="1" t="s">
        <v>496</v>
      </c>
      <c r="D834" s="1" t="s">
        <v>17</v>
      </c>
      <c r="E834" s="1" t="s">
        <v>248</v>
      </c>
      <c r="F834" s="1" t="s">
        <v>26</v>
      </c>
      <c r="G834" s="1" t="s">
        <v>32</v>
      </c>
      <c r="H834" s="1" t="s">
        <v>101</v>
      </c>
      <c r="I834" s="1">
        <v>1</v>
      </c>
      <c r="J834" s="1">
        <v>9.64</v>
      </c>
      <c r="K834" s="1">
        <v>10</v>
      </c>
      <c r="L834" s="1">
        <v>8.68</v>
      </c>
      <c r="M834" s="1">
        <v>7.9</v>
      </c>
      <c r="N834" s="1">
        <v>-3.56</v>
      </c>
      <c r="O834" s="6" t="s">
        <v>22</v>
      </c>
      <c r="P834" s="8">
        <f>Table1[Quantity]*Table1[Unit_Price]</f>
        <v>9.64</v>
      </c>
      <c r="Q834" s="1">
        <f>Table1[Profit]/Table1[Total_Sales]</f>
        <v>-0.41013824884792627</v>
      </c>
      <c r="R834" s="14">
        <f>Table1[Total_Sales]+Table1[Shipping_Cost]</f>
        <v>16.579999999999998</v>
      </c>
    </row>
    <row r="835" spans="1:18" x14ac:dyDescent="0.35">
      <c r="A835" s="3" t="s">
        <v>1662</v>
      </c>
      <c r="B835" s="2">
        <v>45398</v>
      </c>
      <c r="C835" s="1" t="s">
        <v>1663</v>
      </c>
      <c r="D835" s="1" t="s">
        <v>17</v>
      </c>
      <c r="E835" s="1" t="s">
        <v>135</v>
      </c>
      <c r="F835" s="1" t="s">
        <v>26</v>
      </c>
      <c r="G835" s="1" t="s">
        <v>32</v>
      </c>
      <c r="H835" s="1" t="s">
        <v>82</v>
      </c>
      <c r="I835" s="1">
        <v>2</v>
      </c>
      <c r="J835" s="1">
        <v>10.28</v>
      </c>
      <c r="K835" s="1">
        <v>10</v>
      </c>
      <c r="L835" s="1">
        <v>18.5</v>
      </c>
      <c r="M835" s="1">
        <v>11.36</v>
      </c>
      <c r="N835" s="1">
        <v>-2.11</v>
      </c>
      <c r="O835" s="6" t="s">
        <v>22</v>
      </c>
      <c r="P835" s="8">
        <f>Table1[Quantity]*Table1[Unit_Price]</f>
        <v>20.56</v>
      </c>
      <c r="Q835" s="1">
        <f>Table1[Profit]/Table1[Total_Sales]</f>
        <v>-0.11405405405405404</v>
      </c>
      <c r="R835" s="14">
        <f>Table1[Total_Sales]+Table1[Shipping_Cost]</f>
        <v>29.86</v>
      </c>
    </row>
    <row r="836" spans="1:18" x14ac:dyDescent="0.35">
      <c r="A836" s="3" t="s">
        <v>1664</v>
      </c>
      <c r="B836" s="2">
        <v>45400</v>
      </c>
      <c r="C836" s="1" t="s">
        <v>1665</v>
      </c>
      <c r="D836" s="1" t="s">
        <v>30</v>
      </c>
      <c r="E836" s="1" t="s">
        <v>31</v>
      </c>
      <c r="F836" s="1" t="s">
        <v>19</v>
      </c>
      <c r="G836" s="1" t="s">
        <v>20</v>
      </c>
      <c r="H836" s="1" t="s">
        <v>170</v>
      </c>
      <c r="I836" s="1">
        <v>3</v>
      </c>
      <c r="J836" s="1">
        <v>20.41</v>
      </c>
      <c r="K836" s="1">
        <v>5</v>
      </c>
      <c r="L836" s="1">
        <v>58.17</v>
      </c>
      <c r="M836" s="1">
        <v>10.210000000000001</v>
      </c>
      <c r="N836" s="1">
        <v>14.28</v>
      </c>
      <c r="O836" s="6" t="s">
        <v>39</v>
      </c>
      <c r="P836" s="8">
        <f>Table1[Quantity]*Table1[Unit_Price]</f>
        <v>61.230000000000004</v>
      </c>
      <c r="Q836" s="1">
        <f>Table1[Profit]/Table1[Total_Sales]</f>
        <v>0.24548736462093862</v>
      </c>
      <c r="R836" s="14">
        <f>Table1[Total_Sales]+Table1[Shipping_Cost]</f>
        <v>68.38</v>
      </c>
    </row>
    <row r="837" spans="1:18" x14ac:dyDescent="0.35">
      <c r="A837" s="3" t="s">
        <v>1666</v>
      </c>
      <c r="B837" s="2">
        <v>45400</v>
      </c>
      <c r="C837" s="1" t="s">
        <v>1667</v>
      </c>
      <c r="D837" s="1" t="s">
        <v>30</v>
      </c>
      <c r="E837" s="1" t="s">
        <v>248</v>
      </c>
      <c r="F837" s="1" t="s">
        <v>26</v>
      </c>
      <c r="G837" s="1" t="s">
        <v>32</v>
      </c>
      <c r="H837" s="1" t="s">
        <v>82</v>
      </c>
      <c r="I837" s="1">
        <v>2</v>
      </c>
      <c r="J837" s="1">
        <v>14.35</v>
      </c>
      <c r="K837" s="1">
        <v>10</v>
      </c>
      <c r="L837" s="1">
        <v>25.83</v>
      </c>
      <c r="M837" s="1">
        <v>9.58</v>
      </c>
      <c r="N837" s="1">
        <v>3.33</v>
      </c>
      <c r="O837" s="6" t="s">
        <v>34</v>
      </c>
      <c r="P837" s="8">
        <f>Table1[Quantity]*Table1[Unit_Price]</f>
        <v>28.7</v>
      </c>
      <c r="Q837" s="1">
        <f>Table1[Profit]/Table1[Total_Sales]</f>
        <v>0.12891986062717772</v>
      </c>
      <c r="R837" s="14">
        <f>Table1[Total_Sales]+Table1[Shipping_Cost]</f>
        <v>35.409999999999997</v>
      </c>
    </row>
    <row r="838" spans="1:18" x14ac:dyDescent="0.35">
      <c r="A838" s="3" t="s">
        <v>1668</v>
      </c>
      <c r="B838" s="2">
        <v>45400</v>
      </c>
      <c r="C838" s="1" t="s">
        <v>1669</v>
      </c>
      <c r="D838" s="1" t="s">
        <v>30</v>
      </c>
      <c r="E838" s="1" t="s">
        <v>59</v>
      </c>
      <c r="F838" s="1" t="s">
        <v>60</v>
      </c>
      <c r="G838" s="1" t="s">
        <v>42</v>
      </c>
      <c r="H838" s="1" t="s">
        <v>93</v>
      </c>
      <c r="I838" s="1">
        <v>2</v>
      </c>
      <c r="J838" s="1">
        <v>221.74</v>
      </c>
      <c r="K838" s="1">
        <v>25</v>
      </c>
      <c r="L838" s="1">
        <v>332.61</v>
      </c>
      <c r="M838" s="1">
        <v>10.29</v>
      </c>
      <c r="N838" s="1">
        <v>56.23</v>
      </c>
      <c r="O838" s="6" t="s">
        <v>39</v>
      </c>
      <c r="P838" s="8">
        <f>Table1[Quantity]*Table1[Unit_Price]</f>
        <v>443.48</v>
      </c>
      <c r="Q838" s="1">
        <f>Table1[Profit]/Table1[Total_Sales]</f>
        <v>0.16905685337181683</v>
      </c>
      <c r="R838" s="14">
        <f>Table1[Total_Sales]+Table1[Shipping_Cost]</f>
        <v>342.90000000000003</v>
      </c>
    </row>
    <row r="839" spans="1:18" x14ac:dyDescent="0.35">
      <c r="A839" s="3" t="s">
        <v>1670</v>
      </c>
      <c r="B839" s="2">
        <v>45401</v>
      </c>
      <c r="C839" s="1" t="s">
        <v>1671</v>
      </c>
      <c r="D839" s="1" t="s">
        <v>30</v>
      </c>
      <c r="E839" s="1" t="s">
        <v>148</v>
      </c>
      <c r="F839" s="1" t="s">
        <v>60</v>
      </c>
      <c r="G839" s="1" t="s">
        <v>32</v>
      </c>
      <c r="H839" s="1" t="s">
        <v>50</v>
      </c>
      <c r="I839" s="1">
        <v>4</v>
      </c>
      <c r="J839" s="1">
        <v>14.12</v>
      </c>
      <c r="K839" s="1">
        <v>25</v>
      </c>
      <c r="L839" s="1">
        <v>42.36</v>
      </c>
      <c r="M839" s="1">
        <v>11.69</v>
      </c>
      <c r="N839" s="1">
        <v>5.25</v>
      </c>
      <c r="O839" s="6" t="s">
        <v>34</v>
      </c>
      <c r="P839" s="8">
        <f>Table1[Quantity]*Table1[Unit_Price]</f>
        <v>56.48</v>
      </c>
      <c r="Q839" s="1">
        <f>Table1[Profit]/Table1[Total_Sales]</f>
        <v>0.12393767705382436</v>
      </c>
      <c r="R839" s="14">
        <f>Table1[Total_Sales]+Table1[Shipping_Cost]</f>
        <v>54.05</v>
      </c>
    </row>
    <row r="840" spans="1:18" x14ac:dyDescent="0.35">
      <c r="A840" s="3" t="s">
        <v>1672</v>
      </c>
      <c r="B840" s="2">
        <v>45401</v>
      </c>
      <c r="C840" s="1" t="s">
        <v>1673</v>
      </c>
      <c r="D840" s="1" t="s">
        <v>17</v>
      </c>
      <c r="E840" s="1" t="s">
        <v>92</v>
      </c>
      <c r="F840" s="1" t="s">
        <v>60</v>
      </c>
      <c r="G840" s="1" t="s">
        <v>69</v>
      </c>
      <c r="H840" s="1" t="s">
        <v>243</v>
      </c>
      <c r="I840" s="1">
        <v>4</v>
      </c>
      <c r="J840" s="1">
        <v>49.44</v>
      </c>
      <c r="K840" s="1">
        <v>25</v>
      </c>
      <c r="L840" s="1">
        <v>148.32</v>
      </c>
      <c r="M840" s="1">
        <v>14.14</v>
      </c>
      <c r="N840" s="1">
        <v>35.299999999999997</v>
      </c>
      <c r="O840" s="6" t="s">
        <v>39</v>
      </c>
      <c r="P840" s="8">
        <f>Table1[Quantity]*Table1[Unit_Price]</f>
        <v>197.76</v>
      </c>
      <c r="Q840" s="1">
        <f>Table1[Profit]/Table1[Total_Sales]</f>
        <v>0.23799892125134842</v>
      </c>
      <c r="R840" s="14">
        <f>Table1[Total_Sales]+Table1[Shipping_Cost]</f>
        <v>162.45999999999998</v>
      </c>
    </row>
    <row r="841" spans="1:18" x14ac:dyDescent="0.35">
      <c r="A841" s="3" t="s">
        <v>1674</v>
      </c>
      <c r="B841" s="2">
        <v>45402</v>
      </c>
      <c r="C841" s="1" t="s">
        <v>1675</v>
      </c>
      <c r="D841" s="1" t="s">
        <v>30</v>
      </c>
      <c r="E841" s="1" t="s">
        <v>148</v>
      </c>
      <c r="F841" s="1" t="s">
        <v>60</v>
      </c>
      <c r="G841" s="1" t="s">
        <v>20</v>
      </c>
      <c r="H841" s="1" t="s">
        <v>27</v>
      </c>
      <c r="I841" s="1">
        <v>7</v>
      </c>
      <c r="J841" s="1">
        <v>67.05</v>
      </c>
      <c r="K841" s="1">
        <v>15</v>
      </c>
      <c r="L841" s="1">
        <v>398.95</v>
      </c>
      <c r="M841" s="1">
        <v>24.08</v>
      </c>
      <c r="N841" s="1">
        <v>116.73</v>
      </c>
      <c r="O841" s="6" t="s">
        <v>56</v>
      </c>
      <c r="P841" s="8">
        <f>Table1[Quantity]*Table1[Unit_Price]</f>
        <v>469.34999999999997</v>
      </c>
      <c r="Q841" s="1">
        <f>Table1[Profit]/Table1[Total_Sales]</f>
        <v>0.29259305677403186</v>
      </c>
      <c r="R841" s="14">
        <f>Table1[Total_Sales]+Table1[Shipping_Cost]</f>
        <v>423.03</v>
      </c>
    </row>
    <row r="842" spans="1:18" x14ac:dyDescent="0.35">
      <c r="A842" s="3" t="s">
        <v>1676</v>
      </c>
      <c r="B842" s="2">
        <v>45402</v>
      </c>
      <c r="C842" s="1" t="s">
        <v>321</v>
      </c>
      <c r="D842" s="1" t="s">
        <v>49</v>
      </c>
      <c r="E842" s="1" t="s">
        <v>248</v>
      </c>
      <c r="F842" s="1" t="s">
        <v>26</v>
      </c>
      <c r="G842" s="1" t="s">
        <v>32</v>
      </c>
      <c r="H842" s="1" t="s">
        <v>82</v>
      </c>
      <c r="I842" s="1">
        <v>2</v>
      </c>
      <c r="J842" s="1">
        <v>20.62</v>
      </c>
      <c r="K842" s="1">
        <v>15</v>
      </c>
      <c r="L842" s="1">
        <v>35.049999999999997</v>
      </c>
      <c r="M842" s="1">
        <v>11.25</v>
      </c>
      <c r="N842" s="1">
        <v>5.24</v>
      </c>
      <c r="O842" s="6" t="s">
        <v>39</v>
      </c>
      <c r="P842" s="8">
        <f>Table1[Quantity]*Table1[Unit_Price]</f>
        <v>41.24</v>
      </c>
      <c r="Q842" s="1">
        <f>Table1[Profit]/Table1[Total_Sales]</f>
        <v>0.14950071326676179</v>
      </c>
      <c r="R842" s="14">
        <f>Table1[Total_Sales]+Table1[Shipping_Cost]</f>
        <v>46.3</v>
      </c>
    </row>
    <row r="843" spans="1:18" x14ac:dyDescent="0.35">
      <c r="A843" s="3" t="s">
        <v>1677</v>
      </c>
      <c r="B843" s="2">
        <v>45403</v>
      </c>
      <c r="C843" s="1" t="s">
        <v>1678</v>
      </c>
      <c r="D843" s="1" t="s">
        <v>49</v>
      </c>
      <c r="E843" s="1" t="s">
        <v>248</v>
      </c>
      <c r="F843" s="1" t="s">
        <v>26</v>
      </c>
      <c r="G843" s="1" t="s">
        <v>69</v>
      </c>
      <c r="H843" s="1" t="s">
        <v>163</v>
      </c>
      <c r="I843" s="1">
        <v>1</v>
      </c>
      <c r="J843" s="1">
        <v>32.39</v>
      </c>
      <c r="K843" s="1">
        <v>10</v>
      </c>
      <c r="L843" s="1">
        <v>29.15</v>
      </c>
      <c r="M843" s="1">
        <v>9.08</v>
      </c>
      <c r="N843" s="1">
        <v>3.87</v>
      </c>
      <c r="O843" s="6" t="s">
        <v>56</v>
      </c>
      <c r="P843" s="8">
        <f>Table1[Quantity]*Table1[Unit_Price]</f>
        <v>32.39</v>
      </c>
      <c r="Q843" s="1">
        <f>Table1[Profit]/Table1[Total_Sales]</f>
        <v>0.13276157804459693</v>
      </c>
      <c r="R843" s="14">
        <f>Table1[Total_Sales]+Table1[Shipping_Cost]</f>
        <v>38.229999999999997</v>
      </c>
    </row>
    <row r="844" spans="1:18" x14ac:dyDescent="0.35">
      <c r="A844" s="3" t="s">
        <v>1679</v>
      </c>
      <c r="B844" s="2">
        <v>45403</v>
      </c>
      <c r="C844" s="1" t="s">
        <v>1680</v>
      </c>
      <c r="D844" s="1" t="s">
        <v>17</v>
      </c>
      <c r="E844" s="1" t="s">
        <v>135</v>
      </c>
      <c r="F844" s="1" t="s">
        <v>26</v>
      </c>
      <c r="G844" s="1" t="s">
        <v>32</v>
      </c>
      <c r="H844" s="1" t="s">
        <v>110</v>
      </c>
      <c r="I844" s="1">
        <v>1</v>
      </c>
      <c r="J844" s="1">
        <v>4.0199999999999996</v>
      </c>
      <c r="K844" s="1">
        <v>15</v>
      </c>
      <c r="L844" s="1">
        <v>3.42</v>
      </c>
      <c r="M844" s="1">
        <v>7.74</v>
      </c>
      <c r="N844" s="1">
        <v>-6.13</v>
      </c>
      <c r="O844" s="6" t="s">
        <v>56</v>
      </c>
      <c r="P844" s="8">
        <f>Table1[Quantity]*Table1[Unit_Price]</f>
        <v>4.0199999999999996</v>
      </c>
      <c r="Q844" s="1">
        <f>Table1[Profit]/Table1[Total_Sales]</f>
        <v>-1.7923976608187135</v>
      </c>
      <c r="R844" s="14">
        <f>Table1[Total_Sales]+Table1[Shipping_Cost]</f>
        <v>11.16</v>
      </c>
    </row>
    <row r="845" spans="1:18" x14ac:dyDescent="0.35">
      <c r="A845" s="3" t="s">
        <v>1681</v>
      </c>
      <c r="B845" s="2">
        <v>45403</v>
      </c>
      <c r="C845" s="1" t="s">
        <v>1682</v>
      </c>
      <c r="D845" s="1" t="s">
        <v>17</v>
      </c>
      <c r="E845" s="1" t="s">
        <v>92</v>
      </c>
      <c r="F845" s="1" t="s">
        <v>60</v>
      </c>
      <c r="G845" s="1" t="s">
        <v>69</v>
      </c>
      <c r="H845" s="1" t="s">
        <v>98</v>
      </c>
      <c r="I845" s="1">
        <v>10</v>
      </c>
      <c r="J845" s="1">
        <v>39.340000000000003</v>
      </c>
      <c r="K845" s="1">
        <v>20</v>
      </c>
      <c r="L845" s="1">
        <v>314.72000000000003</v>
      </c>
      <c r="M845" s="1">
        <v>28.72</v>
      </c>
      <c r="N845" s="1">
        <v>89.3</v>
      </c>
      <c r="O845" s="6" t="s">
        <v>39</v>
      </c>
      <c r="P845" s="8">
        <f>Table1[Quantity]*Table1[Unit_Price]</f>
        <v>393.40000000000003</v>
      </c>
      <c r="Q845" s="1">
        <f>Table1[Profit]/Table1[Total_Sales]</f>
        <v>0.28374428063040158</v>
      </c>
      <c r="R845" s="14">
        <f>Table1[Total_Sales]+Table1[Shipping_Cost]</f>
        <v>343.44000000000005</v>
      </c>
    </row>
    <row r="846" spans="1:18" x14ac:dyDescent="0.35">
      <c r="A846" s="3" t="s">
        <v>1683</v>
      </c>
      <c r="B846" s="2">
        <v>45403</v>
      </c>
      <c r="C846" s="1" t="s">
        <v>1684</v>
      </c>
      <c r="D846" s="1" t="s">
        <v>49</v>
      </c>
      <c r="E846" s="1" t="s">
        <v>85</v>
      </c>
      <c r="F846" s="1" t="s">
        <v>60</v>
      </c>
      <c r="G846" s="1" t="s">
        <v>20</v>
      </c>
      <c r="H846" s="1" t="s">
        <v>106</v>
      </c>
      <c r="I846" s="1">
        <v>2</v>
      </c>
      <c r="J846" s="1">
        <v>69.72</v>
      </c>
      <c r="K846" s="1">
        <v>20</v>
      </c>
      <c r="L846" s="1">
        <v>111.55</v>
      </c>
      <c r="M846" s="1">
        <v>10.18</v>
      </c>
      <c r="N846" s="1">
        <v>24.68</v>
      </c>
      <c r="O846" s="6" t="s">
        <v>34</v>
      </c>
      <c r="P846" s="8">
        <f>Table1[Quantity]*Table1[Unit_Price]</f>
        <v>139.44</v>
      </c>
      <c r="Q846" s="1">
        <f>Table1[Profit]/Table1[Total_Sales]</f>
        <v>0.22124607799193188</v>
      </c>
      <c r="R846" s="14">
        <f>Table1[Total_Sales]+Table1[Shipping_Cost]</f>
        <v>121.72999999999999</v>
      </c>
    </row>
    <row r="847" spans="1:18" x14ac:dyDescent="0.35">
      <c r="A847" s="3" t="s">
        <v>1685</v>
      </c>
      <c r="B847" s="2">
        <v>45403</v>
      </c>
      <c r="C847" s="1" t="s">
        <v>1133</v>
      </c>
      <c r="D847" s="1" t="s">
        <v>49</v>
      </c>
      <c r="E847" s="1" t="s">
        <v>18</v>
      </c>
      <c r="F847" s="1" t="s">
        <v>19</v>
      </c>
      <c r="G847" s="1" t="s">
        <v>69</v>
      </c>
      <c r="H847" s="1" t="s">
        <v>79</v>
      </c>
      <c r="I847" s="1">
        <v>4</v>
      </c>
      <c r="J847" s="1">
        <v>32.79</v>
      </c>
      <c r="K847" s="1">
        <v>5</v>
      </c>
      <c r="L847" s="1">
        <v>124.6</v>
      </c>
      <c r="M847" s="1">
        <v>8.07</v>
      </c>
      <c r="N847" s="1">
        <v>50.95</v>
      </c>
      <c r="O847" s="6" t="s">
        <v>34</v>
      </c>
      <c r="P847" s="8">
        <f>Table1[Quantity]*Table1[Unit_Price]</f>
        <v>131.16</v>
      </c>
      <c r="Q847" s="1">
        <f>Table1[Profit]/Table1[Total_Sales]</f>
        <v>0.408908507223114</v>
      </c>
      <c r="R847" s="14">
        <f>Table1[Total_Sales]+Table1[Shipping_Cost]</f>
        <v>132.66999999999999</v>
      </c>
    </row>
    <row r="848" spans="1:18" x14ac:dyDescent="0.35">
      <c r="A848" s="3" t="s">
        <v>1686</v>
      </c>
      <c r="B848" s="2">
        <v>45403</v>
      </c>
      <c r="C848" s="1" t="s">
        <v>1687</v>
      </c>
      <c r="D848" s="1" t="s">
        <v>17</v>
      </c>
      <c r="E848" s="1" t="s">
        <v>121</v>
      </c>
      <c r="F848" s="1" t="s">
        <v>68</v>
      </c>
      <c r="G848" s="1" t="s">
        <v>42</v>
      </c>
      <c r="H848" s="1" t="s">
        <v>43</v>
      </c>
      <c r="I848" s="1">
        <v>2</v>
      </c>
      <c r="J848" s="1">
        <v>123.37</v>
      </c>
      <c r="K848" s="1">
        <v>20</v>
      </c>
      <c r="L848" s="1">
        <v>197.39</v>
      </c>
      <c r="M848" s="1">
        <v>14.52</v>
      </c>
      <c r="N848" s="1">
        <v>34.83</v>
      </c>
      <c r="O848" s="6" t="s">
        <v>34</v>
      </c>
      <c r="P848" s="8">
        <f>Table1[Quantity]*Table1[Unit_Price]</f>
        <v>246.74</v>
      </c>
      <c r="Q848" s="1">
        <f>Table1[Profit]/Table1[Total_Sales]</f>
        <v>0.17645270783727646</v>
      </c>
      <c r="R848" s="14">
        <f>Table1[Total_Sales]+Table1[Shipping_Cost]</f>
        <v>211.91</v>
      </c>
    </row>
    <row r="849" spans="1:18" x14ac:dyDescent="0.35">
      <c r="A849" s="3" t="s">
        <v>1688</v>
      </c>
      <c r="B849" s="2">
        <v>45404</v>
      </c>
      <c r="C849" s="1" t="s">
        <v>661</v>
      </c>
      <c r="D849" s="1" t="s">
        <v>17</v>
      </c>
      <c r="E849" s="1" t="s">
        <v>169</v>
      </c>
      <c r="F849" s="1" t="s">
        <v>68</v>
      </c>
      <c r="G849" s="1" t="s">
        <v>42</v>
      </c>
      <c r="H849" s="1" t="s">
        <v>89</v>
      </c>
      <c r="I849" s="1">
        <v>8</v>
      </c>
      <c r="J849" s="1">
        <v>363.39</v>
      </c>
      <c r="K849" s="1">
        <v>10</v>
      </c>
      <c r="L849" s="1">
        <v>2616.41</v>
      </c>
      <c r="M849" s="1">
        <v>27.16</v>
      </c>
      <c r="N849" s="1">
        <v>844.98</v>
      </c>
      <c r="O849" s="6" t="s">
        <v>34</v>
      </c>
      <c r="P849" s="8">
        <f>Table1[Quantity]*Table1[Unit_Price]</f>
        <v>2907.12</v>
      </c>
      <c r="Q849" s="1">
        <f>Table1[Profit]/Table1[Total_Sales]</f>
        <v>0.32295397128125947</v>
      </c>
      <c r="R849" s="14">
        <f>Table1[Total_Sales]+Table1[Shipping_Cost]</f>
        <v>2643.5699999999997</v>
      </c>
    </row>
    <row r="850" spans="1:18" x14ac:dyDescent="0.35">
      <c r="A850" s="3" t="s">
        <v>1689</v>
      </c>
      <c r="B850" s="2">
        <v>45405</v>
      </c>
      <c r="C850" s="1" t="s">
        <v>1690</v>
      </c>
      <c r="D850" s="1" t="s">
        <v>30</v>
      </c>
      <c r="E850" s="1" t="s">
        <v>109</v>
      </c>
      <c r="F850" s="1" t="s">
        <v>54</v>
      </c>
      <c r="G850" s="1" t="s">
        <v>69</v>
      </c>
      <c r="H850" s="1" t="s">
        <v>79</v>
      </c>
      <c r="I850" s="1">
        <v>8</v>
      </c>
      <c r="J850" s="1">
        <v>82.89</v>
      </c>
      <c r="K850" s="1">
        <v>5</v>
      </c>
      <c r="L850" s="1">
        <v>629.96</v>
      </c>
      <c r="M850" s="1">
        <v>23.71</v>
      </c>
      <c r="N850" s="1">
        <v>274.69</v>
      </c>
      <c r="O850" s="6" t="s">
        <v>39</v>
      </c>
      <c r="P850" s="8">
        <f>Table1[Quantity]*Table1[Unit_Price]</f>
        <v>663.12</v>
      </c>
      <c r="Q850" s="1">
        <f>Table1[Profit]/Table1[Total_Sales]</f>
        <v>0.4360435583211632</v>
      </c>
      <c r="R850" s="14">
        <f>Table1[Total_Sales]+Table1[Shipping_Cost]</f>
        <v>653.67000000000007</v>
      </c>
    </row>
    <row r="851" spans="1:18" x14ac:dyDescent="0.35">
      <c r="A851" s="3" t="s">
        <v>1691</v>
      </c>
      <c r="B851" s="2">
        <v>45405</v>
      </c>
      <c r="C851" s="1" t="s">
        <v>1692</v>
      </c>
      <c r="D851" s="1" t="s">
        <v>17</v>
      </c>
      <c r="E851" s="1" t="s">
        <v>148</v>
      </c>
      <c r="F851" s="1" t="s">
        <v>60</v>
      </c>
      <c r="G851" s="1" t="s">
        <v>42</v>
      </c>
      <c r="H851" s="1" t="s">
        <v>294</v>
      </c>
      <c r="I851" s="1">
        <v>1</v>
      </c>
      <c r="J851" s="1">
        <v>189.66</v>
      </c>
      <c r="K851" s="1">
        <v>20</v>
      </c>
      <c r="L851" s="1">
        <v>151.72999999999999</v>
      </c>
      <c r="M851" s="1">
        <v>9.52</v>
      </c>
      <c r="N851" s="1">
        <v>28.41</v>
      </c>
      <c r="O851" s="6" t="s">
        <v>22</v>
      </c>
      <c r="P851" s="8">
        <f>Table1[Quantity]*Table1[Unit_Price]</f>
        <v>189.66</v>
      </c>
      <c r="Q851" s="1">
        <f>Table1[Profit]/Table1[Total_Sales]</f>
        <v>0.18724049298095302</v>
      </c>
      <c r="R851" s="14">
        <f>Table1[Total_Sales]+Table1[Shipping_Cost]</f>
        <v>161.25</v>
      </c>
    </row>
    <row r="852" spans="1:18" x14ac:dyDescent="0.35">
      <c r="A852" s="3" t="s">
        <v>1693</v>
      </c>
      <c r="B852" s="2">
        <v>45405</v>
      </c>
      <c r="C852" s="1" t="s">
        <v>1694</v>
      </c>
      <c r="D852" s="1" t="s">
        <v>30</v>
      </c>
      <c r="E852" s="1" t="s">
        <v>92</v>
      </c>
      <c r="F852" s="1" t="s">
        <v>60</v>
      </c>
      <c r="G852" s="1" t="s">
        <v>42</v>
      </c>
      <c r="H852" s="1" t="s">
        <v>118</v>
      </c>
      <c r="I852" s="1">
        <v>4</v>
      </c>
      <c r="J852" s="1">
        <v>83.03</v>
      </c>
      <c r="K852" s="1">
        <v>5</v>
      </c>
      <c r="L852" s="1">
        <v>315.51</v>
      </c>
      <c r="M852" s="1">
        <v>17.34</v>
      </c>
      <c r="N852" s="1">
        <v>98.9</v>
      </c>
      <c r="O852" s="6" t="s">
        <v>34</v>
      </c>
      <c r="P852" s="8">
        <f>Table1[Quantity]*Table1[Unit_Price]</f>
        <v>332.12</v>
      </c>
      <c r="Q852" s="1">
        <f>Table1[Profit]/Table1[Total_Sales]</f>
        <v>0.31346074609362623</v>
      </c>
      <c r="R852" s="14">
        <f>Table1[Total_Sales]+Table1[Shipping_Cost]</f>
        <v>332.84999999999997</v>
      </c>
    </row>
    <row r="853" spans="1:18" x14ac:dyDescent="0.35">
      <c r="A853" s="3" t="s">
        <v>1695</v>
      </c>
      <c r="B853" s="2">
        <v>45405</v>
      </c>
      <c r="C853" s="1" t="s">
        <v>1696</v>
      </c>
      <c r="D853" s="1" t="s">
        <v>30</v>
      </c>
      <c r="E853" s="1" t="s">
        <v>169</v>
      </c>
      <c r="F853" s="1" t="s">
        <v>68</v>
      </c>
      <c r="G853" s="1" t="s">
        <v>20</v>
      </c>
      <c r="H853" s="1" t="s">
        <v>55</v>
      </c>
      <c r="I853" s="1">
        <v>3</v>
      </c>
      <c r="J853" s="1">
        <v>79.819999999999993</v>
      </c>
      <c r="K853" s="1">
        <v>5</v>
      </c>
      <c r="L853" s="1">
        <v>227.49</v>
      </c>
      <c r="M853" s="1">
        <v>13.83</v>
      </c>
      <c r="N853" s="1">
        <v>81.96</v>
      </c>
      <c r="O853" s="6" t="s">
        <v>39</v>
      </c>
      <c r="P853" s="8">
        <f>Table1[Quantity]*Table1[Unit_Price]</f>
        <v>239.45999999999998</v>
      </c>
      <c r="Q853" s="1">
        <f>Table1[Profit]/Table1[Total_Sales]</f>
        <v>0.36027957272847155</v>
      </c>
      <c r="R853" s="14">
        <f>Table1[Total_Sales]+Table1[Shipping_Cost]</f>
        <v>241.32000000000002</v>
      </c>
    </row>
    <row r="854" spans="1:18" x14ac:dyDescent="0.35">
      <c r="A854" s="3" t="s">
        <v>1697</v>
      </c>
      <c r="B854" s="2">
        <v>45406</v>
      </c>
      <c r="C854" s="1" t="s">
        <v>1698</v>
      </c>
      <c r="D854" s="1" t="s">
        <v>17</v>
      </c>
      <c r="E854" s="1" t="s">
        <v>169</v>
      </c>
      <c r="F854" s="1" t="s">
        <v>68</v>
      </c>
      <c r="G854" s="1" t="s">
        <v>20</v>
      </c>
      <c r="H854" s="1" t="s">
        <v>122</v>
      </c>
      <c r="I854" s="1">
        <v>2</v>
      </c>
      <c r="J854" s="1">
        <v>128.49</v>
      </c>
      <c r="K854" s="1">
        <v>20</v>
      </c>
      <c r="L854" s="1">
        <v>205.58</v>
      </c>
      <c r="M854" s="1">
        <v>11.38</v>
      </c>
      <c r="N854" s="1">
        <v>52.86</v>
      </c>
      <c r="O854" s="6" t="s">
        <v>56</v>
      </c>
      <c r="P854" s="8">
        <f>Table1[Quantity]*Table1[Unit_Price]</f>
        <v>256.98</v>
      </c>
      <c r="Q854" s="1">
        <f>Table1[Profit]/Table1[Total_Sales]</f>
        <v>0.25712617958945422</v>
      </c>
      <c r="R854" s="14">
        <f>Table1[Total_Sales]+Table1[Shipping_Cost]</f>
        <v>216.96</v>
      </c>
    </row>
    <row r="855" spans="1:18" x14ac:dyDescent="0.35">
      <c r="A855" s="3" t="s">
        <v>1699</v>
      </c>
      <c r="B855" s="2">
        <v>45406</v>
      </c>
      <c r="C855" s="1" t="s">
        <v>1700</v>
      </c>
      <c r="D855" s="1" t="s">
        <v>49</v>
      </c>
      <c r="E855" s="1" t="s">
        <v>31</v>
      </c>
      <c r="F855" s="1" t="s">
        <v>19</v>
      </c>
      <c r="G855" s="1" t="s">
        <v>20</v>
      </c>
      <c r="H855" s="1" t="s">
        <v>106</v>
      </c>
      <c r="I855" s="1">
        <v>3</v>
      </c>
      <c r="J855" s="1">
        <v>57.54</v>
      </c>
      <c r="K855" s="1">
        <v>20</v>
      </c>
      <c r="L855" s="1">
        <v>138.1</v>
      </c>
      <c r="M855" s="1">
        <v>9.7100000000000009</v>
      </c>
      <c r="N855" s="1">
        <v>33.450000000000003</v>
      </c>
      <c r="O855" s="6" t="s">
        <v>34</v>
      </c>
      <c r="P855" s="8">
        <f>Table1[Quantity]*Table1[Unit_Price]</f>
        <v>172.62</v>
      </c>
      <c r="Q855" s="1">
        <f>Table1[Profit]/Table1[Total_Sales]</f>
        <v>0.24221578566256338</v>
      </c>
      <c r="R855" s="14">
        <f>Table1[Total_Sales]+Table1[Shipping_Cost]</f>
        <v>147.81</v>
      </c>
    </row>
    <row r="856" spans="1:18" x14ac:dyDescent="0.35">
      <c r="A856" s="3" t="s">
        <v>1701</v>
      </c>
      <c r="B856" s="2">
        <v>45407</v>
      </c>
      <c r="C856" s="1" t="s">
        <v>1702</v>
      </c>
      <c r="D856" s="1" t="s">
        <v>17</v>
      </c>
      <c r="E856" s="1" t="s">
        <v>31</v>
      </c>
      <c r="F856" s="1" t="s">
        <v>19</v>
      </c>
      <c r="G856" s="1" t="s">
        <v>42</v>
      </c>
      <c r="H856" s="1" t="s">
        <v>234</v>
      </c>
      <c r="I856" s="1">
        <v>1</v>
      </c>
      <c r="J856" s="1">
        <v>74.599999999999994</v>
      </c>
      <c r="K856" s="1">
        <v>10</v>
      </c>
      <c r="L856" s="1">
        <v>67.14</v>
      </c>
      <c r="M856" s="1">
        <v>6.8</v>
      </c>
      <c r="N856" s="1">
        <v>15.58</v>
      </c>
      <c r="O856" s="6" t="s">
        <v>34</v>
      </c>
      <c r="P856" s="8">
        <f>Table1[Quantity]*Table1[Unit_Price]</f>
        <v>74.599999999999994</v>
      </c>
      <c r="Q856" s="1">
        <f>Table1[Profit]/Table1[Total_Sales]</f>
        <v>0.23205242776288354</v>
      </c>
      <c r="R856" s="14">
        <f>Table1[Total_Sales]+Table1[Shipping_Cost]</f>
        <v>73.94</v>
      </c>
    </row>
    <row r="857" spans="1:18" x14ac:dyDescent="0.35">
      <c r="A857" s="3" t="s">
        <v>1703</v>
      </c>
      <c r="B857" s="2">
        <v>45408</v>
      </c>
      <c r="C857" s="1" t="s">
        <v>1704</v>
      </c>
      <c r="D857" s="1" t="s">
        <v>17</v>
      </c>
      <c r="E857" s="1" t="s">
        <v>85</v>
      </c>
      <c r="F857" s="1" t="s">
        <v>60</v>
      </c>
      <c r="G857" s="1" t="s">
        <v>32</v>
      </c>
      <c r="H857" s="1" t="s">
        <v>110</v>
      </c>
      <c r="I857" s="1">
        <v>1</v>
      </c>
      <c r="J857" s="1">
        <v>12.87</v>
      </c>
      <c r="K857" s="1">
        <v>0</v>
      </c>
      <c r="L857" s="1">
        <v>12.87</v>
      </c>
      <c r="M857" s="1">
        <v>11.47</v>
      </c>
      <c r="N857" s="1">
        <v>-4.3899999999999997</v>
      </c>
      <c r="O857" s="6" t="s">
        <v>39</v>
      </c>
      <c r="P857" s="8">
        <f>Table1[Quantity]*Table1[Unit_Price]</f>
        <v>12.87</v>
      </c>
      <c r="Q857" s="1">
        <f>Table1[Profit]/Table1[Total_Sales]</f>
        <v>-0.34110334110334112</v>
      </c>
      <c r="R857" s="14">
        <f>Table1[Total_Sales]+Table1[Shipping_Cost]</f>
        <v>24.34</v>
      </c>
    </row>
    <row r="858" spans="1:18" x14ac:dyDescent="0.35">
      <c r="A858" s="3" t="s">
        <v>1705</v>
      </c>
      <c r="B858" s="2">
        <v>45408</v>
      </c>
      <c r="C858" s="1" t="s">
        <v>805</v>
      </c>
      <c r="D858" s="1" t="s">
        <v>30</v>
      </c>
      <c r="E858" s="1" t="s">
        <v>138</v>
      </c>
      <c r="F858" s="1" t="s">
        <v>54</v>
      </c>
      <c r="G858" s="1" t="s">
        <v>42</v>
      </c>
      <c r="H858" s="1" t="s">
        <v>294</v>
      </c>
      <c r="I858" s="1">
        <v>15</v>
      </c>
      <c r="J858" s="1">
        <v>107.45</v>
      </c>
      <c r="K858" s="1">
        <v>5</v>
      </c>
      <c r="L858" s="1">
        <v>1531.16</v>
      </c>
      <c r="M858" s="1">
        <v>23.4</v>
      </c>
      <c r="N858" s="1">
        <v>540.71</v>
      </c>
      <c r="O858" s="6" t="s">
        <v>34</v>
      </c>
      <c r="P858" s="8">
        <f>Table1[Quantity]*Table1[Unit_Price]</f>
        <v>1611.75</v>
      </c>
      <c r="Q858" s="1">
        <f>Table1[Profit]/Table1[Total_Sales]</f>
        <v>0.35313749053005566</v>
      </c>
      <c r="R858" s="14">
        <f>Table1[Total_Sales]+Table1[Shipping_Cost]</f>
        <v>1554.5600000000002</v>
      </c>
    </row>
    <row r="859" spans="1:18" x14ac:dyDescent="0.35">
      <c r="A859" s="3" t="s">
        <v>1706</v>
      </c>
      <c r="B859" s="2">
        <v>45408</v>
      </c>
      <c r="C859" s="1" t="s">
        <v>1707</v>
      </c>
      <c r="D859" s="1" t="s">
        <v>30</v>
      </c>
      <c r="E859" s="1" t="s">
        <v>76</v>
      </c>
      <c r="F859" s="1" t="s">
        <v>26</v>
      </c>
      <c r="G859" s="1" t="s">
        <v>20</v>
      </c>
      <c r="H859" s="1" t="s">
        <v>38</v>
      </c>
      <c r="I859" s="1">
        <v>3</v>
      </c>
      <c r="J859" s="1">
        <v>72.81</v>
      </c>
      <c r="K859" s="1">
        <v>10</v>
      </c>
      <c r="L859" s="1">
        <v>196.59</v>
      </c>
      <c r="M859" s="1">
        <v>11.86</v>
      </c>
      <c r="N859" s="1">
        <v>64.59</v>
      </c>
      <c r="O859" s="6" t="s">
        <v>34</v>
      </c>
      <c r="P859" s="8">
        <f>Table1[Quantity]*Table1[Unit_Price]</f>
        <v>218.43</v>
      </c>
      <c r="Q859" s="1">
        <f>Table1[Profit]/Table1[Total_Sales]</f>
        <v>0.32855180833206166</v>
      </c>
      <c r="R859" s="14">
        <f>Table1[Total_Sales]+Table1[Shipping_Cost]</f>
        <v>208.45</v>
      </c>
    </row>
    <row r="860" spans="1:18" x14ac:dyDescent="0.35">
      <c r="A860" s="3" t="s">
        <v>1708</v>
      </c>
      <c r="B860" s="2">
        <v>45410</v>
      </c>
      <c r="C860" s="1" t="s">
        <v>1709</v>
      </c>
      <c r="D860" s="1" t="s">
        <v>17</v>
      </c>
      <c r="E860" s="1" t="s">
        <v>129</v>
      </c>
      <c r="F860" s="1" t="s">
        <v>19</v>
      </c>
      <c r="G860" s="1" t="s">
        <v>69</v>
      </c>
      <c r="H860" s="1" t="s">
        <v>163</v>
      </c>
      <c r="I860" s="1">
        <v>2</v>
      </c>
      <c r="J860" s="1">
        <v>69.05</v>
      </c>
      <c r="K860" s="1">
        <v>25</v>
      </c>
      <c r="L860" s="1">
        <v>103.57</v>
      </c>
      <c r="M860" s="1">
        <v>8.58</v>
      </c>
      <c r="N860" s="1">
        <v>25.94</v>
      </c>
      <c r="O860" s="6" t="s">
        <v>34</v>
      </c>
      <c r="P860" s="8">
        <f>Table1[Quantity]*Table1[Unit_Price]</f>
        <v>138.1</v>
      </c>
      <c r="Q860" s="1">
        <f>Table1[Profit]/Table1[Total_Sales]</f>
        <v>0.25045862701554505</v>
      </c>
      <c r="R860" s="14">
        <f>Table1[Total_Sales]+Table1[Shipping_Cost]</f>
        <v>112.14999999999999</v>
      </c>
    </row>
    <row r="861" spans="1:18" x14ac:dyDescent="0.35">
      <c r="A861" s="3" t="s">
        <v>1710</v>
      </c>
      <c r="B861" s="2">
        <v>45410</v>
      </c>
      <c r="C861" s="1" t="s">
        <v>1711</v>
      </c>
      <c r="D861" s="1" t="s">
        <v>49</v>
      </c>
      <c r="E861" s="1" t="s">
        <v>18</v>
      </c>
      <c r="F861" s="1" t="s">
        <v>19</v>
      </c>
      <c r="G861" s="1" t="s">
        <v>32</v>
      </c>
      <c r="H861" s="1" t="s">
        <v>101</v>
      </c>
      <c r="I861" s="1">
        <v>5</v>
      </c>
      <c r="J861" s="1">
        <v>6.24</v>
      </c>
      <c r="K861" s="1">
        <v>10</v>
      </c>
      <c r="L861" s="1">
        <v>28.08</v>
      </c>
      <c r="M861" s="1">
        <v>11.46</v>
      </c>
      <c r="N861" s="1">
        <v>2.58</v>
      </c>
      <c r="O861" s="6" t="s">
        <v>34</v>
      </c>
      <c r="P861" s="8">
        <f>Table1[Quantity]*Table1[Unit_Price]</f>
        <v>31.200000000000003</v>
      </c>
      <c r="Q861" s="1">
        <f>Table1[Profit]/Table1[Total_Sales]</f>
        <v>9.1880341880341887E-2</v>
      </c>
      <c r="R861" s="14">
        <f>Table1[Total_Sales]+Table1[Shipping_Cost]</f>
        <v>39.54</v>
      </c>
    </row>
    <row r="862" spans="1:18" x14ac:dyDescent="0.35">
      <c r="A862" s="3" t="s">
        <v>1712</v>
      </c>
      <c r="B862" s="2">
        <v>45410</v>
      </c>
      <c r="C862" s="1" t="s">
        <v>1090</v>
      </c>
      <c r="D862" s="1" t="s">
        <v>49</v>
      </c>
      <c r="E862" s="1" t="s">
        <v>166</v>
      </c>
      <c r="F862" s="1" t="s">
        <v>60</v>
      </c>
      <c r="G862" s="1" t="s">
        <v>42</v>
      </c>
      <c r="H862" s="1" t="s">
        <v>43</v>
      </c>
      <c r="I862" s="1">
        <v>1</v>
      </c>
      <c r="J862" s="1">
        <v>137.49</v>
      </c>
      <c r="K862" s="1">
        <v>15</v>
      </c>
      <c r="L862" s="1">
        <v>116.87</v>
      </c>
      <c r="M862" s="1">
        <v>10.119999999999999</v>
      </c>
      <c r="N862" s="1">
        <v>24.26</v>
      </c>
      <c r="O862" s="6" t="s">
        <v>39</v>
      </c>
      <c r="P862" s="8">
        <f>Table1[Quantity]*Table1[Unit_Price]</f>
        <v>137.49</v>
      </c>
      <c r="Q862" s="1">
        <f>Table1[Profit]/Table1[Total_Sales]</f>
        <v>0.20758107298707967</v>
      </c>
      <c r="R862" s="14">
        <f>Table1[Total_Sales]+Table1[Shipping_Cost]</f>
        <v>126.99000000000001</v>
      </c>
    </row>
    <row r="863" spans="1:18" x14ac:dyDescent="0.35">
      <c r="A863" s="3" t="s">
        <v>1713</v>
      </c>
      <c r="B863" s="2">
        <v>45410</v>
      </c>
      <c r="C863" s="1" t="s">
        <v>1714</v>
      </c>
      <c r="D863" s="1" t="s">
        <v>30</v>
      </c>
      <c r="E863" s="1" t="s">
        <v>59</v>
      </c>
      <c r="F863" s="1" t="s">
        <v>60</v>
      </c>
      <c r="G863" s="1" t="s">
        <v>42</v>
      </c>
      <c r="H863" s="1" t="s">
        <v>294</v>
      </c>
      <c r="I863" s="1">
        <v>2</v>
      </c>
      <c r="J863" s="1">
        <v>242.25</v>
      </c>
      <c r="K863" s="1">
        <v>10</v>
      </c>
      <c r="L863" s="1">
        <v>436.05</v>
      </c>
      <c r="M863" s="1">
        <v>10.98</v>
      </c>
      <c r="N863" s="1">
        <v>134.37</v>
      </c>
      <c r="O863" s="6" t="s">
        <v>34</v>
      </c>
      <c r="P863" s="8">
        <f>Table1[Quantity]*Table1[Unit_Price]</f>
        <v>484.5</v>
      </c>
      <c r="Q863" s="1">
        <f>Table1[Profit]/Table1[Total_Sales]</f>
        <v>0.30815273477812177</v>
      </c>
      <c r="R863" s="14">
        <f>Table1[Total_Sales]+Table1[Shipping_Cost]</f>
        <v>447.03000000000003</v>
      </c>
    </row>
    <row r="864" spans="1:18" x14ac:dyDescent="0.35">
      <c r="A864" s="3" t="s">
        <v>1715</v>
      </c>
      <c r="B864" s="2">
        <v>45410</v>
      </c>
      <c r="C864" s="1" t="s">
        <v>1716</v>
      </c>
      <c r="D864" s="1" t="s">
        <v>17</v>
      </c>
      <c r="E864" s="1" t="s">
        <v>169</v>
      </c>
      <c r="F864" s="1" t="s">
        <v>68</v>
      </c>
      <c r="G864" s="1" t="s">
        <v>20</v>
      </c>
      <c r="H864" s="1" t="s">
        <v>27</v>
      </c>
      <c r="I864" s="1">
        <v>1</v>
      </c>
      <c r="J864" s="1">
        <v>128.34</v>
      </c>
      <c r="K864" s="1">
        <v>15</v>
      </c>
      <c r="L864" s="1">
        <v>109.09</v>
      </c>
      <c r="M864" s="1">
        <v>11.04</v>
      </c>
      <c r="N864" s="1">
        <v>27.46</v>
      </c>
      <c r="O864" s="6" t="s">
        <v>56</v>
      </c>
      <c r="P864" s="8">
        <f>Table1[Quantity]*Table1[Unit_Price]</f>
        <v>128.34</v>
      </c>
      <c r="Q864" s="1">
        <f>Table1[Profit]/Table1[Total_Sales]</f>
        <v>0.25171876432303603</v>
      </c>
      <c r="R864" s="14">
        <f>Table1[Total_Sales]+Table1[Shipping_Cost]</f>
        <v>120.13</v>
      </c>
    </row>
    <row r="865" spans="1:18" x14ac:dyDescent="0.35">
      <c r="A865" s="3" t="s">
        <v>1717</v>
      </c>
      <c r="B865" s="2">
        <v>45410</v>
      </c>
      <c r="C865" s="1" t="s">
        <v>1718</v>
      </c>
      <c r="D865" s="1" t="s">
        <v>30</v>
      </c>
      <c r="E865" s="1" t="s">
        <v>166</v>
      </c>
      <c r="F865" s="1" t="s">
        <v>60</v>
      </c>
      <c r="G865" s="1" t="s">
        <v>42</v>
      </c>
      <c r="H865" s="1" t="s">
        <v>118</v>
      </c>
      <c r="I865" s="1">
        <v>4</v>
      </c>
      <c r="J865" s="1">
        <v>34.76</v>
      </c>
      <c r="K865" s="1">
        <v>15</v>
      </c>
      <c r="L865" s="1">
        <v>118.18</v>
      </c>
      <c r="M865" s="1">
        <v>17.86</v>
      </c>
      <c r="N865" s="1">
        <v>16.899999999999999</v>
      </c>
      <c r="O865" s="6" t="s">
        <v>39</v>
      </c>
      <c r="P865" s="8">
        <f>Table1[Quantity]*Table1[Unit_Price]</f>
        <v>139.04</v>
      </c>
      <c r="Q865" s="1">
        <f>Table1[Profit]/Table1[Total_Sales]</f>
        <v>0.14300220003384664</v>
      </c>
      <c r="R865" s="14">
        <f>Table1[Total_Sales]+Table1[Shipping_Cost]</f>
        <v>136.04000000000002</v>
      </c>
    </row>
    <row r="866" spans="1:18" x14ac:dyDescent="0.35">
      <c r="A866" s="3" t="s">
        <v>1719</v>
      </c>
      <c r="B866" s="2">
        <v>45411</v>
      </c>
      <c r="C866" s="1" t="s">
        <v>1720</v>
      </c>
      <c r="D866" s="1" t="s">
        <v>17</v>
      </c>
      <c r="E866" s="1" t="s">
        <v>67</v>
      </c>
      <c r="F866" s="1" t="s">
        <v>68</v>
      </c>
      <c r="G866" s="1" t="s">
        <v>20</v>
      </c>
      <c r="H866" s="1" t="s">
        <v>170</v>
      </c>
      <c r="I866" s="1">
        <v>2</v>
      </c>
      <c r="J866" s="1">
        <v>52.77</v>
      </c>
      <c r="K866" s="1">
        <v>30</v>
      </c>
      <c r="L866" s="1">
        <v>73.88</v>
      </c>
      <c r="M866" s="1">
        <v>14.69</v>
      </c>
      <c r="N866" s="1">
        <v>1.1399999999999999</v>
      </c>
      <c r="O866" s="6" t="s">
        <v>34</v>
      </c>
      <c r="P866" s="8">
        <f>Table1[Quantity]*Table1[Unit_Price]</f>
        <v>105.54</v>
      </c>
      <c r="Q866" s="1">
        <f>Table1[Profit]/Table1[Total_Sales]</f>
        <v>1.5430427720628045E-2</v>
      </c>
      <c r="R866" s="14">
        <f>Table1[Total_Sales]+Table1[Shipping_Cost]</f>
        <v>88.57</v>
      </c>
    </row>
    <row r="867" spans="1:18" x14ac:dyDescent="0.35">
      <c r="A867" s="3" t="s">
        <v>1721</v>
      </c>
      <c r="B867" s="2">
        <v>45412</v>
      </c>
      <c r="C867" s="1" t="s">
        <v>1722</v>
      </c>
      <c r="D867" s="1" t="s">
        <v>49</v>
      </c>
      <c r="E867" s="1" t="s">
        <v>129</v>
      </c>
      <c r="F867" s="1" t="s">
        <v>19</v>
      </c>
      <c r="G867" s="1" t="s">
        <v>20</v>
      </c>
      <c r="H867" s="1" t="s">
        <v>175</v>
      </c>
      <c r="I867" s="1">
        <v>1</v>
      </c>
      <c r="J867" s="1">
        <v>28.72</v>
      </c>
      <c r="K867" s="1">
        <v>5</v>
      </c>
      <c r="L867" s="1">
        <v>27.28</v>
      </c>
      <c r="M867" s="1">
        <v>6.34</v>
      </c>
      <c r="N867" s="1">
        <v>5.14</v>
      </c>
      <c r="O867" s="6" t="s">
        <v>56</v>
      </c>
      <c r="P867" s="8">
        <f>Table1[Quantity]*Table1[Unit_Price]</f>
        <v>28.72</v>
      </c>
      <c r="Q867" s="1">
        <f>Table1[Profit]/Table1[Total_Sales]</f>
        <v>0.18841642228739</v>
      </c>
      <c r="R867" s="14">
        <f>Table1[Total_Sales]+Table1[Shipping_Cost]</f>
        <v>33.620000000000005</v>
      </c>
    </row>
    <row r="868" spans="1:18" x14ac:dyDescent="0.35">
      <c r="A868" s="3" t="s">
        <v>1723</v>
      </c>
      <c r="B868" s="2">
        <v>45416</v>
      </c>
      <c r="C868" s="1" t="s">
        <v>1724</v>
      </c>
      <c r="D868" s="1" t="s">
        <v>30</v>
      </c>
      <c r="E868" s="1" t="s">
        <v>129</v>
      </c>
      <c r="F868" s="1" t="s">
        <v>19</v>
      </c>
      <c r="G868" s="1" t="s">
        <v>42</v>
      </c>
      <c r="H868" s="1" t="s">
        <v>43</v>
      </c>
      <c r="I868" s="1">
        <v>3</v>
      </c>
      <c r="J868" s="1">
        <v>264.57</v>
      </c>
      <c r="K868" s="1">
        <v>5</v>
      </c>
      <c r="L868" s="1">
        <v>754.02</v>
      </c>
      <c r="M868" s="1">
        <v>9.64</v>
      </c>
      <c r="N868" s="1">
        <v>268.14999999999998</v>
      </c>
      <c r="O868" s="6" t="s">
        <v>39</v>
      </c>
      <c r="P868" s="8">
        <f>Table1[Quantity]*Table1[Unit_Price]</f>
        <v>793.71</v>
      </c>
      <c r="Q868" s="1">
        <f>Table1[Profit]/Table1[Total_Sales]</f>
        <v>0.35562717169305852</v>
      </c>
      <c r="R868" s="14">
        <f>Table1[Total_Sales]+Table1[Shipping_Cost]</f>
        <v>763.66</v>
      </c>
    </row>
    <row r="869" spans="1:18" x14ac:dyDescent="0.35">
      <c r="A869" s="3" t="s">
        <v>1725</v>
      </c>
      <c r="B869" s="2">
        <v>45416</v>
      </c>
      <c r="C869" s="1" t="s">
        <v>1726</v>
      </c>
      <c r="D869" s="1" t="s">
        <v>17</v>
      </c>
      <c r="E869" s="1" t="s">
        <v>37</v>
      </c>
      <c r="F869" s="1" t="s">
        <v>26</v>
      </c>
      <c r="G869" s="1" t="s">
        <v>69</v>
      </c>
      <c r="H869" s="1" t="s">
        <v>79</v>
      </c>
      <c r="I869" s="1">
        <v>3</v>
      </c>
      <c r="J869" s="1">
        <v>85.33</v>
      </c>
      <c r="K869" s="1">
        <v>15</v>
      </c>
      <c r="L869" s="1">
        <v>217.59</v>
      </c>
      <c r="M869" s="1">
        <v>12.17</v>
      </c>
      <c r="N869" s="1">
        <v>77.42</v>
      </c>
      <c r="O869" s="6" t="s">
        <v>34</v>
      </c>
      <c r="P869" s="8">
        <f>Table1[Quantity]*Table1[Unit_Price]</f>
        <v>255.99</v>
      </c>
      <c r="Q869" s="1">
        <f>Table1[Profit]/Table1[Total_Sales]</f>
        <v>0.35580679259157133</v>
      </c>
      <c r="R869" s="14">
        <f>Table1[Total_Sales]+Table1[Shipping_Cost]</f>
        <v>229.76</v>
      </c>
    </row>
    <row r="870" spans="1:18" x14ac:dyDescent="0.35">
      <c r="A870" s="3" t="s">
        <v>1727</v>
      </c>
      <c r="B870" s="2">
        <v>45416</v>
      </c>
      <c r="C870" s="1" t="s">
        <v>1722</v>
      </c>
      <c r="D870" s="1" t="s">
        <v>49</v>
      </c>
      <c r="E870" s="1" t="s">
        <v>37</v>
      </c>
      <c r="F870" s="1" t="s">
        <v>26</v>
      </c>
      <c r="G870" s="1" t="s">
        <v>20</v>
      </c>
      <c r="H870" s="1" t="s">
        <v>175</v>
      </c>
      <c r="I870" s="1">
        <v>10</v>
      </c>
      <c r="J870" s="1">
        <v>39.28</v>
      </c>
      <c r="K870" s="1">
        <v>10</v>
      </c>
      <c r="L870" s="1">
        <v>353.52</v>
      </c>
      <c r="M870" s="1">
        <v>31.89</v>
      </c>
      <c r="N870" s="1">
        <v>105.59</v>
      </c>
      <c r="O870" s="6" t="s">
        <v>34</v>
      </c>
      <c r="P870" s="8">
        <f>Table1[Quantity]*Table1[Unit_Price]</f>
        <v>392.8</v>
      </c>
      <c r="Q870" s="1">
        <f>Table1[Profit]/Table1[Total_Sales]</f>
        <v>0.29868182846797919</v>
      </c>
      <c r="R870" s="14">
        <f>Table1[Total_Sales]+Table1[Shipping_Cost]</f>
        <v>385.40999999999997</v>
      </c>
    </row>
    <row r="871" spans="1:18" x14ac:dyDescent="0.35">
      <c r="A871" s="3" t="s">
        <v>1728</v>
      </c>
      <c r="B871" s="2">
        <v>45416</v>
      </c>
      <c r="C871" s="1" t="s">
        <v>1729</v>
      </c>
      <c r="D871" s="1" t="s">
        <v>30</v>
      </c>
      <c r="E871" s="1" t="s">
        <v>31</v>
      </c>
      <c r="F871" s="1" t="s">
        <v>19</v>
      </c>
      <c r="G871" s="1" t="s">
        <v>32</v>
      </c>
      <c r="H871" s="1" t="s">
        <v>73</v>
      </c>
      <c r="I871" s="1">
        <v>2</v>
      </c>
      <c r="J871" s="1">
        <v>6.14</v>
      </c>
      <c r="K871" s="1">
        <v>0</v>
      </c>
      <c r="L871" s="1">
        <v>12.28</v>
      </c>
      <c r="M871" s="1">
        <v>9</v>
      </c>
      <c r="N871" s="1">
        <v>-2.25</v>
      </c>
      <c r="O871" s="6" t="s">
        <v>56</v>
      </c>
      <c r="P871" s="8">
        <f>Table1[Quantity]*Table1[Unit_Price]</f>
        <v>12.28</v>
      </c>
      <c r="Q871" s="1">
        <f>Table1[Profit]/Table1[Total_Sales]</f>
        <v>-0.18322475570032573</v>
      </c>
      <c r="R871" s="14">
        <f>Table1[Total_Sales]+Table1[Shipping_Cost]</f>
        <v>21.28</v>
      </c>
    </row>
    <row r="872" spans="1:18" x14ac:dyDescent="0.35">
      <c r="A872" s="3" t="s">
        <v>1730</v>
      </c>
      <c r="B872" s="2">
        <v>45416</v>
      </c>
      <c r="C872" s="1" t="s">
        <v>1731</v>
      </c>
      <c r="D872" s="1" t="s">
        <v>30</v>
      </c>
      <c r="E872" s="1" t="s">
        <v>166</v>
      </c>
      <c r="F872" s="1" t="s">
        <v>60</v>
      </c>
      <c r="G872" s="1" t="s">
        <v>20</v>
      </c>
      <c r="H872" s="1" t="s">
        <v>27</v>
      </c>
      <c r="I872" s="1">
        <v>5</v>
      </c>
      <c r="J872" s="1">
        <v>77.16</v>
      </c>
      <c r="K872" s="1">
        <v>5</v>
      </c>
      <c r="L872" s="1">
        <v>366.51</v>
      </c>
      <c r="M872" s="1">
        <v>19.79</v>
      </c>
      <c r="N872" s="1">
        <v>134.53</v>
      </c>
      <c r="O872" s="6" t="s">
        <v>34</v>
      </c>
      <c r="P872" s="8">
        <f>Table1[Quantity]*Table1[Unit_Price]</f>
        <v>385.79999999999995</v>
      </c>
      <c r="Q872" s="1">
        <f>Table1[Profit]/Table1[Total_Sales]</f>
        <v>0.36705683337425993</v>
      </c>
      <c r="R872" s="14">
        <f>Table1[Total_Sales]+Table1[Shipping_Cost]</f>
        <v>386.3</v>
      </c>
    </row>
    <row r="873" spans="1:18" x14ac:dyDescent="0.35">
      <c r="A873" s="3" t="s">
        <v>1732</v>
      </c>
      <c r="B873" s="2">
        <v>45417</v>
      </c>
      <c r="C873" s="1" t="s">
        <v>1733</v>
      </c>
      <c r="D873" s="1" t="s">
        <v>17</v>
      </c>
      <c r="E873" s="1" t="s">
        <v>92</v>
      </c>
      <c r="F873" s="1" t="s">
        <v>60</v>
      </c>
      <c r="G873" s="1" t="s">
        <v>32</v>
      </c>
      <c r="H873" s="1" t="s">
        <v>73</v>
      </c>
      <c r="I873" s="1">
        <v>3</v>
      </c>
      <c r="J873" s="1">
        <v>5.66</v>
      </c>
      <c r="K873" s="1">
        <v>10</v>
      </c>
      <c r="L873" s="1">
        <v>15.28</v>
      </c>
      <c r="M873" s="1">
        <v>12.07</v>
      </c>
      <c r="N873" s="1">
        <v>-4.43</v>
      </c>
      <c r="O873" s="6" t="s">
        <v>39</v>
      </c>
      <c r="P873" s="8">
        <f>Table1[Quantity]*Table1[Unit_Price]</f>
        <v>16.98</v>
      </c>
      <c r="Q873" s="1">
        <f>Table1[Profit]/Table1[Total_Sales]</f>
        <v>-0.28992146596858637</v>
      </c>
      <c r="R873" s="14">
        <f>Table1[Total_Sales]+Table1[Shipping_Cost]</f>
        <v>27.35</v>
      </c>
    </row>
    <row r="874" spans="1:18" x14ac:dyDescent="0.35">
      <c r="A874" s="3" t="s">
        <v>1734</v>
      </c>
      <c r="B874" s="2">
        <v>45417</v>
      </c>
      <c r="C874" s="1" t="s">
        <v>601</v>
      </c>
      <c r="D874" s="1" t="s">
        <v>30</v>
      </c>
      <c r="E874" s="1" t="s">
        <v>129</v>
      </c>
      <c r="F874" s="1" t="s">
        <v>19</v>
      </c>
      <c r="G874" s="1" t="s">
        <v>42</v>
      </c>
      <c r="H874" s="1" t="s">
        <v>64</v>
      </c>
      <c r="I874" s="1">
        <v>4</v>
      </c>
      <c r="J874" s="1">
        <v>112.68</v>
      </c>
      <c r="K874" s="1">
        <v>0</v>
      </c>
      <c r="L874" s="1">
        <v>450.72</v>
      </c>
      <c r="M874" s="1">
        <v>12.94</v>
      </c>
      <c r="N874" s="1">
        <v>167.35</v>
      </c>
      <c r="O874" s="6" t="s">
        <v>56</v>
      </c>
      <c r="P874" s="8">
        <f>Table1[Quantity]*Table1[Unit_Price]</f>
        <v>450.72</v>
      </c>
      <c r="Q874" s="1">
        <f>Table1[Profit]/Table1[Total_Sales]</f>
        <v>0.37129481718139862</v>
      </c>
      <c r="R874" s="14">
        <f>Table1[Total_Sales]+Table1[Shipping_Cost]</f>
        <v>463.66</v>
      </c>
    </row>
    <row r="875" spans="1:18" x14ac:dyDescent="0.35">
      <c r="A875" s="3" t="s">
        <v>1735</v>
      </c>
      <c r="B875" s="2">
        <v>45417</v>
      </c>
      <c r="C875" s="1" t="s">
        <v>1736</v>
      </c>
      <c r="D875" s="1" t="s">
        <v>30</v>
      </c>
      <c r="E875" s="1" t="s">
        <v>76</v>
      </c>
      <c r="F875" s="1" t="s">
        <v>26</v>
      </c>
      <c r="G875" s="1" t="s">
        <v>20</v>
      </c>
      <c r="H875" s="1" t="s">
        <v>122</v>
      </c>
      <c r="I875" s="1">
        <v>2</v>
      </c>
      <c r="J875" s="1">
        <v>72.3</v>
      </c>
      <c r="K875" s="1">
        <v>10</v>
      </c>
      <c r="L875" s="1">
        <v>130.13999999999999</v>
      </c>
      <c r="M875" s="1">
        <v>11.95</v>
      </c>
      <c r="N875" s="1">
        <v>38.659999999999997</v>
      </c>
      <c r="O875" s="6" t="s">
        <v>34</v>
      </c>
      <c r="P875" s="8">
        <f>Table1[Quantity]*Table1[Unit_Price]</f>
        <v>144.6</v>
      </c>
      <c r="Q875" s="1">
        <f>Table1[Profit]/Table1[Total_Sales]</f>
        <v>0.29706469955432613</v>
      </c>
      <c r="R875" s="14">
        <f>Table1[Total_Sales]+Table1[Shipping_Cost]</f>
        <v>142.08999999999997</v>
      </c>
    </row>
    <row r="876" spans="1:18" x14ac:dyDescent="0.35">
      <c r="A876" s="3" t="s">
        <v>1737</v>
      </c>
      <c r="B876" s="2">
        <v>45418</v>
      </c>
      <c r="C876" s="1" t="s">
        <v>1738</v>
      </c>
      <c r="D876" s="1" t="s">
        <v>30</v>
      </c>
      <c r="E876" s="1" t="s">
        <v>59</v>
      </c>
      <c r="F876" s="1" t="s">
        <v>60</v>
      </c>
      <c r="G876" s="1" t="s">
        <v>20</v>
      </c>
      <c r="H876" s="1" t="s">
        <v>55</v>
      </c>
      <c r="I876" s="1">
        <v>2</v>
      </c>
      <c r="J876" s="1">
        <v>33.61</v>
      </c>
      <c r="K876" s="1">
        <v>10</v>
      </c>
      <c r="L876" s="1">
        <v>60.5</v>
      </c>
      <c r="M876" s="1">
        <v>11.88</v>
      </c>
      <c r="N876" s="1">
        <v>11.65</v>
      </c>
      <c r="O876" s="6" t="s">
        <v>34</v>
      </c>
      <c r="P876" s="8">
        <f>Table1[Quantity]*Table1[Unit_Price]</f>
        <v>67.22</v>
      </c>
      <c r="Q876" s="1">
        <f>Table1[Profit]/Table1[Total_Sales]</f>
        <v>0.19256198347107439</v>
      </c>
      <c r="R876" s="14">
        <f>Table1[Total_Sales]+Table1[Shipping_Cost]</f>
        <v>72.38</v>
      </c>
    </row>
    <row r="877" spans="1:18" x14ac:dyDescent="0.35">
      <c r="A877" s="3" t="s">
        <v>1739</v>
      </c>
      <c r="B877" s="2">
        <v>45419</v>
      </c>
      <c r="C877" s="1" t="s">
        <v>1594</v>
      </c>
      <c r="D877" s="1" t="s">
        <v>17</v>
      </c>
      <c r="E877" s="1" t="s">
        <v>138</v>
      </c>
      <c r="F877" s="1" t="s">
        <v>54</v>
      </c>
      <c r="G877" s="1" t="s">
        <v>32</v>
      </c>
      <c r="H877" s="1" t="s">
        <v>110</v>
      </c>
      <c r="I877" s="1">
        <v>3</v>
      </c>
      <c r="J877" s="1">
        <v>8.1300000000000008</v>
      </c>
      <c r="K877" s="1">
        <v>15</v>
      </c>
      <c r="L877" s="1">
        <v>20.73</v>
      </c>
      <c r="M877" s="1">
        <v>14.66</v>
      </c>
      <c r="N877" s="1">
        <v>-4.91</v>
      </c>
      <c r="O877" s="6" t="s">
        <v>39</v>
      </c>
      <c r="P877" s="8">
        <f>Table1[Quantity]*Table1[Unit_Price]</f>
        <v>24.39</v>
      </c>
      <c r="Q877" s="1">
        <f>Table1[Profit]/Table1[Total_Sales]</f>
        <v>-0.23685479980704294</v>
      </c>
      <c r="R877" s="14">
        <f>Table1[Total_Sales]+Table1[Shipping_Cost]</f>
        <v>35.39</v>
      </c>
    </row>
    <row r="878" spans="1:18" x14ac:dyDescent="0.35">
      <c r="A878" s="3" t="s">
        <v>1740</v>
      </c>
      <c r="B878" s="2">
        <v>45419</v>
      </c>
      <c r="C878" s="1" t="s">
        <v>1741</v>
      </c>
      <c r="D878" s="1" t="s">
        <v>17</v>
      </c>
      <c r="E878" s="1" t="s">
        <v>85</v>
      </c>
      <c r="F878" s="1" t="s">
        <v>60</v>
      </c>
      <c r="G878" s="1" t="s">
        <v>20</v>
      </c>
      <c r="H878" s="1" t="s">
        <v>175</v>
      </c>
      <c r="I878" s="1">
        <v>3</v>
      </c>
      <c r="J878" s="1">
        <v>37.590000000000003</v>
      </c>
      <c r="K878" s="1">
        <v>15</v>
      </c>
      <c r="L878" s="1">
        <v>95.85</v>
      </c>
      <c r="M878" s="1">
        <v>10.77</v>
      </c>
      <c r="N878" s="1">
        <v>23.06</v>
      </c>
      <c r="O878" s="6" t="s">
        <v>34</v>
      </c>
      <c r="P878" s="8">
        <f>Table1[Quantity]*Table1[Unit_Price]</f>
        <v>112.77000000000001</v>
      </c>
      <c r="Q878" s="1">
        <f>Table1[Profit]/Table1[Total_Sales]</f>
        <v>0.24058424621804902</v>
      </c>
      <c r="R878" s="14">
        <f>Table1[Total_Sales]+Table1[Shipping_Cost]</f>
        <v>106.61999999999999</v>
      </c>
    </row>
    <row r="879" spans="1:18" x14ac:dyDescent="0.35">
      <c r="A879" s="3" t="s">
        <v>1742</v>
      </c>
      <c r="B879" s="2">
        <v>45420</v>
      </c>
      <c r="C879" s="1" t="s">
        <v>1743</v>
      </c>
      <c r="D879" s="1" t="s">
        <v>30</v>
      </c>
      <c r="E879" s="1" t="s">
        <v>92</v>
      </c>
      <c r="F879" s="1" t="s">
        <v>60</v>
      </c>
      <c r="G879" s="1" t="s">
        <v>42</v>
      </c>
      <c r="H879" s="1" t="s">
        <v>64</v>
      </c>
      <c r="I879" s="1">
        <v>3</v>
      </c>
      <c r="J879" s="1">
        <v>52.88</v>
      </c>
      <c r="K879" s="1">
        <v>0</v>
      </c>
      <c r="L879" s="1">
        <v>158.63999999999999</v>
      </c>
      <c r="M879" s="1">
        <v>12.03</v>
      </c>
      <c r="N879" s="1">
        <v>51.43</v>
      </c>
      <c r="O879" s="6" t="s">
        <v>34</v>
      </c>
      <c r="P879" s="8">
        <f>Table1[Quantity]*Table1[Unit_Price]</f>
        <v>158.64000000000001</v>
      </c>
      <c r="Q879" s="1">
        <f>Table1[Profit]/Table1[Total_Sales]</f>
        <v>0.32419314170448815</v>
      </c>
      <c r="R879" s="14">
        <f>Table1[Total_Sales]+Table1[Shipping_Cost]</f>
        <v>170.67</v>
      </c>
    </row>
    <row r="880" spans="1:18" x14ac:dyDescent="0.35">
      <c r="A880" s="3" t="s">
        <v>1744</v>
      </c>
      <c r="B880" s="2">
        <v>45421</v>
      </c>
      <c r="C880" s="1" t="s">
        <v>1184</v>
      </c>
      <c r="D880" s="1" t="s">
        <v>30</v>
      </c>
      <c r="E880" s="1" t="s">
        <v>169</v>
      </c>
      <c r="F880" s="1" t="s">
        <v>68</v>
      </c>
      <c r="G880" s="1" t="s">
        <v>32</v>
      </c>
      <c r="H880" s="1" t="s">
        <v>348</v>
      </c>
      <c r="I880" s="1">
        <v>1</v>
      </c>
      <c r="J880" s="1">
        <v>9.5500000000000007</v>
      </c>
      <c r="K880" s="1">
        <v>5</v>
      </c>
      <c r="L880" s="1">
        <v>9.07</v>
      </c>
      <c r="M880" s="1">
        <v>11.92</v>
      </c>
      <c r="N880" s="1">
        <v>-7.15</v>
      </c>
      <c r="O880" s="6" t="s">
        <v>39</v>
      </c>
      <c r="P880" s="8">
        <f>Table1[Quantity]*Table1[Unit_Price]</f>
        <v>9.5500000000000007</v>
      </c>
      <c r="Q880" s="1">
        <f>Table1[Profit]/Table1[Total_Sales]</f>
        <v>-0.78831312017640576</v>
      </c>
      <c r="R880" s="14">
        <f>Table1[Total_Sales]+Table1[Shipping_Cost]</f>
        <v>20.990000000000002</v>
      </c>
    </row>
    <row r="881" spans="1:18" x14ac:dyDescent="0.35">
      <c r="A881" s="3" t="s">
        <v>1745</v>
      </c>
      <c r="B881" s="2">
        <v>45421</v>
      </c>
      <c r="C881" s="1" t="s">
        <v>1746</v>
      </c>
      <c r="D881" s="1" t="s">
        <v>17</v>
      </c>
      <c r="E881" s="1" t="s">
        <v>92</v>
      </c>
      <c r="F881" s="1" t="s">
        <v>60</v>
      </c>
      <c r="G881" s="1" t="s">
        <v>69</v>
      </c>
      <c r="H881" s="1" t="s">
        <v>86</v>
      </c>
      <c r="I881" s="1">
        <v>10</v>
      </c>
      <c r="J881" s="1">
        <v>99.39</v>
      </c>
      <c r="K881" s="1">
        <v>0</v>
      </c>
      <c r="L881" s="1">
        <v>993.9</v>
      </c>
      <c r="M881" s="1">
        <v>21.95</v>
      </c>
      <c r="N881" s="1">
        <v>475</v>
      </c>
      <c r="O881" s="6" t="s">
        <v>22</v>
      </c>
      <c r="P881" s="8">
        <f>Table1[Quantity]*Table1[Unit_Price]</f>
        <v>993.9</v>
      </c>
      <c r="Q881" s="1">
        <f>Table1[Profit]/Table1[Total_Sales]</f>
        <v>0.47791528322768889</v>
      </c>
      <c r="R881" s="14">
        <f>Table1[Total_Sales]+Table1[Shipping_Cost]</f>
        <v>1015.85</v>
      </c>
    </row>
    <row r="882" spans="1:18" x14ac:dyDescent="0.35">
      <c r="A882" s="3" t="s">
        <v>1747</v>
      </c>
      <c r="B882" s="2">
        <v>45423</v>
      </c>
      <c r="C882" s="1" t="s">
        <v>1748</v>
      </c>
      <c r="D882" s="1" t="s">
        <v>30</v>
      </c>
      <c r="E882" s="1" t="s">
        <v>59</v>
      </c>
      <c r="F882" s="1" t="s">
        <v>60</v>
      </c>
      <c r="G882" s="1" t="s">
        <v>20</v>
      </c>
      <c r="H882" s="1" t="s">
        <v>199</v>
      </c>
      <c r="I882" s="1">
        <v>1</v>
      </c>
      <c r="J882" s="1">
        <v>76.11</v>
      </c>
      <c r="K882" s="1">
        <v>0</v>
      </c>
      <c r="L882" s="1">
        <v>76.11</v>
      </c>
      <c r="M882" s="1">
        <v>10.16</v>
      </c>
      <c r="N882" s="1">
        <v>24.09</v>
      </c>
      <c r="O882" s="6" t="s">
        <v>39</v>
      </c>
      <c r="P882" s="8">
        <f>Table1[Quantity]*Table1[Unit_Price]</f>
        <v>76.11</v>
      </c>
      <c r="Q882" s="1">
        <f>Table1[Profit]/Table1[Total_Sales]</f>
        <v>0.3165155695703587</v>
      </c>
      <c r="R882" s="14">
        <f>Table1[Total_Sales]+Table1[Shipping_Cost]</f>
        <v>86.27</v>
      </c>
    </row>
    <row r="883" spans="1:18" x14ac:dyDescent="0.35">
      <c r="A883" s="3" t="s">
        <v>1749</v>
      </c>
      <c r="B883" s="2">
        <v>45423</v>
      </c>
      <c r="C883" s="1" t="s">
        <v>471</v>
      </c>
      <c r="D883" s="1" t="s">
        <v>30</v>
      </c>
      <c r="E883" s="1" t="s">
        <v>53</v>
      </c>
      <c r="F883" s="1" t="s">
        <v>54</v>
      </c>
      <c r="G883" s="1" t="s">
        <v>20</v>
      </c>
      <c r="H883" s="1" t="s">
        <v>27</v>
      </c>
      <c r="I883" s="1">
        <v>1</v>
      </c>
      <c r="J883" s="1">
        <v>57.26</v>
      </c>
      <c r="K883" s="1">
        <v>20</v>
      </c>
      <c r="L883" s="1">
        <v>45.81</v>
      </c>
      <c r="M883" s="1">
        <v>12.91</v>
      </c>
      <c r="N883" s="1">
        <v>1.41</v>
      </c>
      <c r="O883" s="6" t="s">
        <v>34</v>
      </c>
      <c r="P883" s="8">
        <f>Table1[Quantity]*Table1[Unit_Price]</f>
        <v>57.26</v>
      </c>
      <c r="Q883" s="1">
        <f>Table1[Profit]/Table1[Total_Sales]</f>
        <v>3.0779305828421737E-2</v>
      </c>
      <c r="R883" s="14">
        <f>Table1[Total_Sales]+Table1[Shipping_Cost]</f>
        <v>58.72</v>
      </c>
    </row>
    <row r="884" spans="1:18" x14ac:dyDescent="0.35">
      <c r="A884" s="3" t="s">
        <v>1750</v>
      </c>
      <c r="B884" s="2">
        <v>45423</v>
      </c>
      <c r="C884" s="1" t="s">
        <v>1751</v>
      </c>
      <c r="D884" s="1" t="s">
        <v>17</v>
      </c>
      <c r="E884" s="1" t="s">
        <v>59</v>
      </c>
      <c r="F884" s="1" t="s">
        <v>60</v>
      </c>
      <c r="G884" s="1" t="s">
        <v>69</v>
      </c>
      <c r="H884" s="1" t="s">
        <v>139</v>
      </c>
      <c r="I884" s="1">
        <v>2</v>
      </c>
      <c r="J884" s="1">
        <v>42.93</v>
      </c>
      <c r="K884" s="1">
        <v>5</v>
      </c>
      <c r="L884" s="1">
        <v>81.569999999999993</v>
      </c>
      <c r="M884" s="1">
        <v>13.52</v>
      </c>
      <c r="N884" s="1">
        <v>25.12</v>
      </c>
      <c r="O884" s="6" t="s">
        <v>22</v>
      </c>
      <c r="P884" s="8">
        <f>Table1[Quantity]*Table1[Unit_Price]</f>
        <v>85.86</v>
      </c>
      <c r="Q884" s="1">
        <f>Table1[Profit]/Table1[Total_Sales]</f>
        <v>0.30795635650361658</v>
      </c>
      <c r="R884" s="14">
        <f>Table1[Total_Sales]+Table1[Shipping_Cost]</f>
        <v>95.089999999999989</v>
      </c>
    </row>
    <row r="885" spans="1:18" x14ac:dyDescent="0.35">
      <c r="A885" s="3" t="s">
        <v>1752</v>
      </c>
      <c r="B885" s="2">
        <v>45423</v>
      </c>
      <c r="C885" s="1" t="s">
        <v>1753</v>
      </c>
      <c r="D885" s="1" t="s">
        <v>30</v>
      </c>
      <c r="E885" s="1" t="s">
        <v>37</v>
      </c>
      <c r="F885" s="1" t="s">
        <v>26</v>
      </c>
      <c r="G885" s="1" t="s">
        <v>20</v>
      </c>
      <c r="H885" s="1" t="s">
        <v>175</v>
      </c>
      <c r="I885" s="1">
        <v>4</v>
      </c>
      <c r="J885" s="1">
        <v>37.01</v>
      </c>
      <c r="K885" s="1">
        <v>0</v>
      </c>
      <c r="L885" s="1">
        <v>148.04</v>
      </c>
      <c r="M885" s="1">
        <v>12.78</v>
      </c>
      <c r="N885" s="1">
        <v>53.84</v>
      </c>
      <c r="O885" s="6" t="s">
        <v>34</v>
      </c>
      <c r="P885" s="8">
        <f>Table1[Quantity]*Table1[Unit_Price]</f>
        <v>148.04</v>
      </c>
      <c r="Q885" s="1">
        <f>Table1[Profit]/Table1[Total_Sales]</f>
        <v>0.36368549040799786</v>
      </c>
      <c r="R885" s="14">
        <f>Table1[Total_Sales]+Table1[Shipping_Cost]</f>
        <v>160.82</v>
      </c>
    </row>
    <row r="886" spans="1:18" x14ac:dyDescent="0.35">
      <c r="A886" s="3" t="s">
        <v>1754</v>
      </c>
      <c r="B886" s="2">
        <v>45424</v>
      </c>
      <c r="C886" s="1" t="s">
        <v>1755</v>
      </c>
      <c r="D886" s="1" t="s">
        <v>17</v>
      </c>
      <c r="E886" s="1" t="s">
        <v>18</v>
      </c>
      <c r="F886" s="1" t="s">
        <v>19</v>
      </c>
      <c r="G886" s="1" t="s">
        <v>69</v>
      </c>
      <c r="H886" s="1" t="s">
        <v>70</v>
      </c>
      <c r="I886" s="1">
        <v>5</v>
      </c>
      <c r="J886" s="1">
        <v>57.38</v>
      </c>
      <c r="K886" s="1">
        <v>0</v>
      </c>
      <c r="L886" s="1">
        <v>286.89999999999998</v>
      </c>
      <c r="M886" s="1">
        <v>10.15</v>
      </c>
      <c r="N886" s="1">
        <v>133.30000000000001</v>
      </c>
      <c r="O886" s="6" t="s">
        <v>22</v>
      </c>
      <c r="P886" s="8">
        <f>Table1[Quantity]*Table1[Unit_Price]</f>
        <v>286.90000000000003</v>
      </c>
      <c r="Q886" s="1">
        <f>Table1[Profit]/Table1[Total_Sales]</f>
        <v>0.46462181944928554</v>
      </c>
      <c r="R886" s="14">
        <f>Table1[Total_Sales]+Table1[Shipping_Cost]</f>
        <v>297.04999999999995</v>
      </c>
    </row>
    <row r="887" spans="1:18" x14ac:dyDescent="0.35">
      <c r="A887" s="3" t="s">
        <v>1756</v>
      </c>
      <c r="B887" s="2">
        <v>45426</v>
      </c>
      <c r="C887" s="1" t="s">
        <v>1201</v>
      </c>
      <c r="D887" s="1" t="s">
        <v>30</v>
      </c>
      <c r="E887" s="1" t="s">
        <v>25</v>
      </c>
      <c r="F887" s="1" t="s">
        <v>26</v>
      </c>
      <c r="G887" s="1" t="s">
        <v>69</v>
      </c>
      <c r="H887" s="1" t="s">
        <v>196</v>
      </c>
      <c r="I887" s="1">
        <v>1</v>
      </c>
      <c r="J887" s="1">
        <v>20.52</v>
      </c>
      <c r="K887" s="1">
        <v>5</v>
      </c>
      <c r="L887" s="1">
        <v>19.489999999999998</v>
      </c>
      <c r="M887" s="1">
        <v>7.58</v>
      </c>
      <c r="N887" s="1">
        <v>1.65</v>
      </c>
      <c r="O887" s="6" t="s">
        <v>39</v>
      </c>
      <c r="P887" s="8">
        <f>Table1[Quantity]*Table1[Unit_Price]</f>
        <v>20.52</v>
      </c>
      <c r="Q887" s="1">
        <f>Table1[Profit]/Table1[Total_Sales]</f>
        <v>8.4658799384299641E-2</v>
      </c>
      <c r="R887" s="14">
        <f>Table1[Total_Sales]+Table1[Shipping_Cost]</f>
        <v>27.07</v>
      </c>
    </row>
    <row r="888" spans="1:18" x14ac:dyDescent="0.35">
      <c r="A888" s="3" t="s">
        <v>1757</v>
      </c>
      <c r="B888" s="2">
        <v>45426</v>
      </c>
      <c r="C888" s="1" t="s">
        <v>269</v>
      </c>
      <c r="D888" s="1" t="s">
        <v>30</v>
      </c>
      <c r="E888" s="1" t="s">
        <v>109</v>
      </c>
      <c r="F888" s="1" t="s">
        <v>54</v>
      </c>
      <c r="G888" s="1" t="s">
        <v>32</v>
      </c>
      <c r="H888" s="1" t="s">
        <v>149</v>
      </c>
      <c r="I888" s="1">
        <v>5</v>
      </c>
      <c r="J888" s="1">
        <v>10.88</v>
      </c>
      <c r="K888" s="1">
        <v>5</v>
      </c>
      <c r="L888" s="1">
        <v>51.68</v>
      </c>
      <c r="M888" s="1">
        <v>16.95</v>
      </c>
      <c r="N888" s="1">
        <v>10.25</v>
      </c>
      <c r="O888" s="6" t="s">
        <v>34</v>
      </c>
      <c r="P888" s="8">
        <f>Table1[Quantity]*Table1[Unit_Price]</f>
        <v>54.400000000000006</v>
      </c>
      <c r="Q888" s="1">
        <f>Table1[Profit]/Table1[Total_Sales]</f>
        <v>0.19833591331269351</v>
      </c>
      <c r="R888" s="14">
        <f>Table1[Total_Sales]+Table1[Shipping_Cost]</f>
        <v>68.63</v>
      </c>
    </row>
    <row r="889" spans="1:18" x14ac:dyDescent="0.35">
      <c r="A889" s="3" t="s">
        <v>1758</v>
      </c>
      <c r="B889" s="2">
        <v>45427</v>
      </c>
      <c r="C889" s="1" t="s">
        <v>1759</v>
      </c>
      <c r="D889" s="1" t="s">
        <v>30</v>
      </c>
      <c r="E889" s="1" t="s">
        <v>76</v>
      </c>
      <c r="F889" s="1" t="s">
        <v>26</v>
      </c>
      <c r="G889" s="1" t="s">
        <v>69</v>
      </c>
      <c r="H889" s="1" t="s">
        <v>163</v>
      </c>
      <c r="I889" s="1">
        <v>3</v>
      </c>
      <c r="J889" s="1">
        <v>66.48</v>
      </c>
      <c r="K889" s="1">
        <v>0</v>
      </c>
      <c r="L889" s="1">
        <v>199.44</v>
      </c>
      <c r="M889" s="1">
        <v>9.0500000000000007</v>
      </c>
      <c r="N889" s="1">
        <v>90.67</v>
      </c>
      <c r="O889" s="6" t="s">
        <v>39</v>
      </c>
      <c r="P889" s="8">
        <f>Table1[Quantity]*Table1[Unit_Price]</f>
        <v>199.44</v>
      </c>
      <c r="Q889" s="1">
        <f>Table1[Profit]/Table1[Total_Sales]</f>
        <v>0.45462294424388289</v>
      </c>
      <c r="R889" s="14">
        <f>Table1[Total_Sales]+Table1[Shipping_Cost]</f>
        <v>208.49</v>
      </c>
    </row>
    <row r="890" spans="1:18" x14ac:dyDescent="0.35">
      <c r="A890" s="3" t="s">
        <v>1760</v>
      </c>
      <c r="B890" s="2">
        <v>45427</v>
      </c>
      <c r="C890" s="1" t="s">
        <v>1761</v>
      </c>
      <c r="D890" s="1" t="s">
        <v>17</v>
      </c>
      <c r="E890" s="1" t="s">
        <v>31</v>
      </c>
      <c r="F890" s="1" t="s">
        <v>19</v>
      </c>
      <c r="G890" s="1" t="s">
        <v>20</v>
      </c>
      <c r="H890" s="1" t="s">
        <v>175</v>
      </c>
      <c r="I890" s="1">
        <v>8</v>
      </c>
      <c r="J890" s="1">
        <v>32.31</v>
      </c>
      <c r="K890" s="1">
        <v>15</v>
      </c>
      <c r="L890" s="1">
        <v>219.71</v>
      </c>
      <c r="M890" s="1">
        <v>18.899999999999999</v>
      </c>
      <c r="N890" s="1">
        <v>58.65</v>
      </c>
      <c r="O890" s="6" t="s">
        <v>34</v>
      </c>
      <c r="P890" s="8">
        <f>Table1[Quantity]*Table1[Unit_Price]</f>
        <v>258.48</v>
      </c>
      <c r="Q890" s="1">
        <f>Table1[Profit]/Table1[Total_Sales]</f>
        <v>0.26694278822083656</v>
      </c>
      <c r="R890" s="14">
        <f>Table1[Total_Sales]+Table1[Shipping_Cost]</f>
        <v>238.61</v>
      </c>
    </row>
    <row r="891" spans="1:18" x14ac:dyDescent="0.35">
      <c r="A891" s="3" t="s">
        <v>1762</v>
      </c>
      <c r="B891" s="2">
        <v>45428</v>
      </c>
      <c r="C891" s="1" t="s">
        <v>1763</v>
      </c>
      <c r="D891" s="1" t="s">
        <v>17</v>
      </c>
      <c r="E891" s="1" t="s">
        <v>18</v>
      </c>
      <c r="F891" s="1" t="s">
        <v>19</v>
      </c>
      <c r="G891" s="1" t="s">
        <v>32</v>
      </c>
      <c r="H891" s="1" t="s">
        <v>33</v>
      </c>
      <c r="I891" s="1">
        <v>4</v>
      </c>
      <c r="J891" s="1">
        <v>12.42</v>
      </c>
      <c r="K891" s="1">
        <v>15</v>
      </c>
      <c r="L891" s="1">
        <v>42.23</v>
      </c>
      <c r="M891" s="1">
        <v>13.37</v>
      </c>
      <c r="N891" s="1">
        <v>6.5</v>
      </c>
      <c r="O891" s="6" t="s">
        <v>34</v>
      </c>
      <c r="P891" s="8">
        <f>Table1[Quantity]*Table1[Unit_Price]</f>
        <v>49.68</v>
      </c>
      <c r="Q891" s="1">
        <f>Table1[Profit]/Table1[Total_Sales]</f>
        <v>0.15391901491830454</v>
      </c>
      <c r="R891" s="14">
        <f>Table1[Total_Sales]+Table1[Shipping_Cost]</f>
        <v>55.599999999999994</v>
      </c>
    </row>
    <row r="892" spans="1:18" x14ac:dyDescent="0.35">
      <c r="A892" s="3" t="s">
        <v>1764</v>
      </c>
      <c r="B892" s="2">
        <v>45428</v>
      </c>
      <c r="C892" s="1" t="s">
        <v>603</v>
      </c>
      <c r="D892" s="1" t="s">
        <v>30</v>
      </c>
      <c r="E892" s="1" t="s">
        <v>37</v>
      </c>
      <c r="F892" s="1" t="s">
        <v>26</v>
      </c>
      <c r="G892" s="1" t="s">
        <v>20</v>
      </c>
      <c r="H892" s="1" t="s">
        <v>55</v>
      </c>
      <c r="I892" s="1">
        <v>2</v>
      </c>
      <c r="J892" s="1">
        <v>54.24</v>
      </c>
      <c r="K892" s="1">
        <v>10</v>
      </c>
      <c r="L892" s="1">
        <v>97.63</v>
      </c>
      <c r="M892" s="1">
        <v>9.9700000000000006</v>
      </c>
      <c r="N892" s="1">
        <v>28</v>
      </c>
      <c r="O892" s="6" t="s">
        <v>34</v>
      </c>
      <c r="P892" s="8">
        <f>Table1[Quantity]*Table1[Unit_Price]</f>
        <v>108.48</v>
      </c>
      <c r="Q892" s="1">
        <f>Table1[Profit]/Table1[Total_Sales]</f>
        <v>0.28679709105807644</v>
      </c>
      <c r="R892" s="14">
        <f>Table1[Total_Sales]+Table1[Shipping_Cost]</f>
        <v>107.6</v>
      </c>
    </row>
    <row r="893" spans="1:18" x14ac:dyDescent="0.35">
      <c r="A893" s="3" t="s">
        <v>1765</v>
      </c>
      <c r="B893" s="2">
        <v>45428</v>
      </c>
      <c r="C893" s="1" t="s">
        <v>1766</v>
      </c>
      <c r="D893" s="1" t="s">
        <v>30</v>
      </c>
      <c r="E893" s="1" t="s">
        <v>18</v>
      </c>
      <c r="F893" s="1" t="s">
        <v>19</v>
      </c>
      <c r="G893" s="1" t="s">
        <v>42</v>
      </c>
      <c r="H893" s="1" t="s">
        <v>255</v>
      </c>
      <c r="I893" s="1">
        <v>1</v>
      </c>
      <c r="J893" s="1">
        <v>49.78</v>
      </c>
      <c r="K893" s="1">
        <v>15</v>
      </c>
      <c r="L893" s="1">
        <v>42.31</v>
      </c>
      <c r="M893" s="1">
        <v>6.63</v>
      </c>
      <c r="N893" s="1">
        <v>5.81</v>
      </c>
      <c r="O893" s="6" t="s">
        <v>39</v>
      </c>
      <c r="P893" s="8">
        <f>Table1[Quantity]*Table1[Unit_Price]</f>
        <v>49.78</v>
      </c>
      <c r="Q893" s="1">
        <f>Table1[Profit]/Table1[Total_Sales]</f>
        <v>0.13731978255731503</v>
      </c>
      <c r="R893" s="14">
        <f>Table1[Total_Sales]+Table1[Shipping_Cost]</f>
        <v>48.940000000000005</v>
      </c>
    </row>
    <row r="894" spans="1:18" x14ac:dyDescent="0.35">
      <c r="A894" s="3" t="s">
        <v>1767</v>
      </c>
      <c r="B894" s="2">
        <v>45429</v>
      </c>
      <c r="C894" s="1" t="s">
        <v>1768</v>
      </c>
      <c r="D894" s="1" t="s">
        <v>30</v>
      </c>
      <c r="E894" s="1" t="s">
        <v>169</v>
      </c>
      <c r="F894" s="1" t="s">
        <v>68</v>
      </c>
      <c r="G894" s="1" t="s">
        <v>20</v>
      </c>
      <c r="H894" s="1" t="s">
        <v>106</v>
      </c>
      <c r="I894" s="1">
        <v>3</v>
      </c>
      <c r="J894" s="1">
        <v>26.2</v>
      </c>
      <c r="K894" s="1">
        <v>10</v>
      </c>
      <c r="L894" s="1">
        <v>70.739999999999995</v>
      </c>
      <c r="M894" s="1">
        <v>15.66</v>
      </c>
      <c r="N894" s="1">
        <v>11.85</v>
      </c>
      <c r="O894" s="6" t="s">
        <v>34</v>
      </c>
      <c r="P894" s="8">
        <f>Table1[Quantity]*Table1[Unit_Price]</f>
        <v>78.599999999999994</v>
      </c>
      <c r="Q894" s="1">
        <f>Table1[Profit]/Table1[Total_Sales]</f>
        <v>0.16751484308736217</v>
      </c>
      <c r="R894" s="14">
        <f>Table1[Total_Sales]+Table1[Shipping_Cost]</f>
        <v>86.399999999999991</v>
      </c>
    </row>
    <row r="895" spans="1:18" x14ac:dyDescent="0.35">
      <c r="A895" s="3" t="s">
        <v>1769</v>
      </c>
      <c r="B895" s="2">
        <v>45429</v>
      </c>
      <c r="C895" s="1" t="s">
        <v>1538</v>
      </c>
      <c r="D895" s="1" t="s">
        <v>17</v>
      </c>
      <c r="E895" s="1" t="s">
        <v>31</v>
      </c>
      <c r="F895" s="1" t="s">
        <v>19</v>
      </c>
      <c r="G895" s="1" t="s">
        <v>69</v>
      </c>
      <c r="H895" s="1" t="s">
        <v>86</v>
      </c>
      <c r="I895" s="1">
        <v>8</v>
      </c>
      <c r="J895" s="1">
        <v>50.94</v>
      </c>
      <c r="K895" s="1">
        <v>15</v>
      </c>
      <c r="L895" s="1">
        <v>346.39</v>
      </c>
      <c r="M895" s="1">
        <v>11.7</v>
      </c>
      <c r="N895" s="1">
        <v>130.93</v>
      </c>
      <c r="O895" s="6" t="s">
        <v>34</v>
      </c>
      <c r="P895" s="8">
        <f>Table1[Quantity]*Table1[Unit_Price]</f>
        <v>407.52</v>
      </c>
      <c r="Q895" s="1">
        <f>Table1[Profit]/Table1[Total_Sales]</f>
        <v>0.37798435289702365</v>
      </c>
      <c r="R895" s="14">
        <f>Table1[Total_Sales]+Table1[Shipping_Cost]</f>
        <v>358.09</v>
      </c>
    </row>
    <row r="896" spans="1:18" x14ac:dyDescent="0.35">
      <c r="A896" s="3" t="s">
        <v>1770</v>
      </c>
      <c r="B896" s="2">
        <v>45430</v>
      </c>
      <c r="C896" s="1" t="s">
        <v>1771</v>
      </c>
      <c r="D896" s="1" t="s">
        <v>30</v>
      </c>
      <c r="E896" s="1" t="s">
        <v>37</v>
      </c>
      <c r="F896" s="1" t="s">
        <v>26</v>
      </c>
      <c r="G896" s="1" t="s">
        <v>42</v>
      </c>
      <c r="H896" s="1" t="s">
        <v>255</v>
      </c>
      <c r="I896" s="1">
        <v>6</v>
      </c>
      <c r="J896" s="1">
        <v>26.58</v>
      </c>
      <c r="K896" s="1">
        <v>20</v>
      </c>
      <c r="L896" s="1">
        <v>127.58</v>
      </c>
      <c r="M896" s="1">
        <v>17.7</v>
      </c>
      <c r="N896" s="1">
        <v>14.19</v>
      </c>
      <c r="O896" s="6" t="s">
        <v>39</v>
      </c>
      <c r="P896" s="8">
        <f>Table1[Quantity]*Table1[Unit_Price]</f>
        <v>159.47999999999999</v>
      </c>
      <c r="Q896" s="1">
        <f>Table1[Profit]/Table1[Total_Sales]</f>
        <v>0.1112243298322621</v>
      </c>
      <c r="R896" s="14">
        <f>Table1[Total_Sales]+Table1[Shipping_Cost]</f>
        <v>145.28</v>
      </c>
    </row>
    <row r="897" spans="1:18" x14ac:dyDescent="0.35">
      <c r="A897" s="3" t="s">
        <v>1772</v>
      </c>
      <c r="B897" s="2">
        <v>45430</v>
      </c>
      <c r="C897" s="1" t="s">
        <v>929</v>
      </c>
      <c r="D897" s="1" t="s">
        <v>30</v>
      </c>
      <c r="E897" s="1" t="s">
        <v>76</v>
      </c>
      <c r="F897" s="1" t="s">
        <v>26</v>
      </c>
      <c r="G897" s="1" t="s">
        <v>42</v>
      </c>
      <c r="H897" s="1" t="s">
        <v>294</v>
      </c>
      <c r="I897" s="1">
        <v>1</v>
      </c>
      <c r="J897" s="1">
        <v>296.60000000000002</v>
      </c>
      <c r="K897" s="1">
        <v>5</v>
      </c>
      <c r="L897" s="1">
        <v>281.77</v>
      </c>
      <c r="M897" s="1">
        <v>9.0299999999999994</v>
      </c>
      <c r="N897" s="1">
        <v>94.78</v>
      </c>
      <c r="O897" s="6" t="s">
        <v>22</v>
      </c>
      <c r="P897" s="8">
        <f>Table1[Quantity]*Table1[Unit_Price]</f>
        <v>296.60000000000002</v>
      </c>
      <c r="Q897" s="1">
        <f>Table1[Profit]/Table1[Total_Sales]</f>
        <v>0.33637363807360615</v>
      </c>
      <c r="R897" s="14">
        <f>Table1[Total_Sales]+Table1[Shipping_Cost]</f>
        <v>290.79999999999995</v>
      </c>
    </row>
    <row r="898" spans="1:18" x14ac:dyDescent="0.35">
      <c r="A898" s="3" t="s">
        <v>1773</v>
      </c>
      <c r="B898" s="2">
        <v>45430</v>
      </c>
      <c r="C898" s="1" t="s">
        <v>1774</v>
      </c>
      <c r="D898" s="1" t="s">
        <v>49</v>
      </c>
      <c r="E898" s="1" t="s">
        <v>166</v>
      </c>
      <c r="F898" s="1" t="s">
        <v>60</v>
      </c>
      <c r="G898" s="1" t="s">
        <v>42</v>
      </c>
      <c r="H898" s="1" t="s">
        <v>294</v>
      </c>
      <c r="I898" s="1">
        <v>6</v>
      </c>
      <c r="J898" s="1">
        <v>151.62</v>
      </c>
      <c r="K898" s="1">
        <v>0</v>
      </c>
      <c r="L898" s="1">
        <v>909.72</v>
      </c>
      <c r="M898" s="1">
        <v>15.6</v>
      </c>
      <c r="N898" s="1">
        <v>348.29</v>
      </c>
      <c r="O898" s="6" t="s">
        <v>22</v>
      </c>
      <c r="P898" s="8">
        <f>Table1[Quantity]*Table1[Unit_Price]</f>
        <v>909.72</v>
      </c>
      <c r="Q898" s="1">
        <f>Table1[Profit]/Table1[Total_Sales]</f>
        <v>0.38285406498702901</v>
      </c>
      <c r="R898" s="14">
        <f>Table1[Total_Sales]+Table1[Shipping_Cost]</f>
        <v>925.32</v>
      </c>
    </row>
    <row r="899" spans="1:18" x14ac:dyDescent="0.35">
      <c r="A899" s="3" t="s">
        <v>1775</v>
      </c>
      <c r="B899" s="2">
        <v>45430</v>
      </c>
      <c r="C899" s="1" t="s">
        <v>1776</v>
      </c>
      <c r="D899" s="1" t="s">
        <v>49</v>
      </c>
      <c r="E899" s="1" t="s">
        <v>18</v>
      </c>
      <c r="F899" s="1" t="s">
        <v>19</v>
      </c>
      <c r="G899" s="1" t="s">
        <v>69</v>
      </c>
      <c r="H899" s="1" t="s">
        <v>163</v>
      </c>
      <c r="I899" s="1">
        <v>3</v>
      </c>
      <c r="J899" s="1">
        <v>34.369999999999997</v>
      </c>
      <c r="K899" s="1">
        <v>10</v>
      </c>
      <c r="L899" s="1">
        <v>92.8</v>
      </c>
      <c r="M899" s="1">
        <v>11.23</v>
      </c>
      <c r="N899" s="1">
        <v>30.02</v>
      </c>
      <c r="O899" s="6" t="s">
        <v>39</v>
      </c>
      <c r="P899" s="8">
        <f>Table1[Quantity]*Table1[Unit_Price]</f>
        <v>103.10999999999999</v>
      </c>
      <c r="Q899" s="1">
        <f>Table1[Profit]/Table1[Total_Sales]</f>
        <v>0.32349137931034483</v>
      </c>
      <c r="R899" s="14">
        <f>Table1[Total_Sales]+Table1[Shipping_Cost]</f>
        <v>104.03</v>
      </c>
    </row>
    <row r="900" spans="1:18" x14ac:dyDescent="0.35">
      <c r="A900" s="3" t="s">
        <v>1777</v>
      </c>
      <c r="B900" s="2">
        <v>45431</v>
      </c>
      <c r="C900" s="1" t="s">
        <v>1778</v>
      </c>
      <c r="D900" s="1" t="s">
        <v>17</v>
      </c>
      <c r="E900" s="1" t="s">
        <v>85</v>
      </c>
      <c r="F900" s="1" t="s">
        <v>60</v>
      </c>
      <c r="G900" s="1" t="s">
        <v>32</v>
      </c>
      <c r="H900" s="1" t="s">
        <v>115</v>
      </c>
      <c r="I900" s="1">
        <v>2</v>
      </c>
      <c r="J900" s="1">
        <v>10.26</v>
      </c>
      <c r="K900" s="1">
        <v>0</v>
      </c>
      <c r="L900" s="1">
        <v>20.52</v>
      </c>
      <c r="M900" s="1">
        <v>12.54</v>
      </c>
      <c r="N900" s="1">
        <v>-1.25</v>
      </c>
      <c r="O900" s="6" t="s">
        <v>34</v>
      </c>
      <c r="P900" s="8">
        <f>Table1[Quantity]*Table1[Unit_Price]</f>
        <v>20.52</v>
      </c>
      <c r="Q900" s="1">
        <f>Table1[Profit]/Table1[Total_Sales]</f>
        <v>-6.0916179337231972E-2</v>
      </c>
      <c r="R900" s="14">
        <f>Table1[Total_Sales]+Table1[Shipping_Cost]</f>
        <v>33.06</v>
      </c>
    </row>
    <row r="901" spans="1:18" x14ac:dyDescent="0.35">
      <c r="A901" s="3" t="s">
        <v>1779</v>
      </c>
      <c r="B901" s="2">
        <v>45432</v>
      </c>
      <c r="C901" s="1" t="s">
        <v>1780</v>
      </c>
      <c r="D901" s="1" t="s">
        <v>17</v>
      </c>
      <c r="E901" s="1" t="s">
        <v>129</v>
      </c>
      <c r="F901" s="1" t="s">
        <v>19</v>
      </c>
      <c r="G901" s="1" t="s">
        <v>20</v>
      </c>
      <c r="H901" s="1" t="s">
        <v>27</v>
      </c>
      <c r="I901" s="1">
        <v>5</v>
      </c>
      <c r="J901" s="1">
        <v>128.41</v>
      </c>
      <c r="K901" s="1">
        <v>30</v>
      </c>
      <c r="L901" s="1">
        <v>449.43</v>
      </c>
      <c r="M901" s="1">
        <v>13.49</v>
      </c>
      <c r="N901" s="1">
        <v>82.81</v>
      </c>
      <c r="O901" s="6" t="s">
        <v>34</v>
      </c>
      <c r="P901" s="8">
        <f>Table1[Quantity]*Table1[Unit_Price]</f>
        <v>642.04999999999995</v>
      </c>
      <c r="Q901" s="1">
        <f>Table1[Profit]/Table1[Total_Sales]</f>
        <v>0.18425561266493115</v>
      </c>
      <c r="R901" s="14">
        <f>Table1[Total_Sales]+Table1[Shipping_Cost]</f>
        <v>462.92</v>
      </c>
    </row>
    <row r="902" spans="1:18" x14ac:dyDescent="0.35">
      <c r="A902" s="3" t="s">
        <v>1781</v>
      </c>
      <c r="B902" s="2">
        <v>45433</v>
      </c>
      <c r="C902" s="1" t="s">
        <v>591</v>
      </c>
      <c r="D902" s="1" t="s">
        <v>30</v>
      </c>
      <c r="E902" s="1" t="s">
        <v>109</v>
      </c>
      <c r="F902" s="1" t="s">
        <v>54</v>
      </c>
      <c r="G902" s="1" t="s">
        <v>20</v>
      </c>
      <c r="H902" s="1" t="s">
        <v>264</v>
      </c>
      <c r="I902" s="1">
        <v>3</v>
      </c>
      <c r="J902" s="1">
        <v>21.23</v>
      </c>
      <c r="K902" s="1">
        <v>5</v>
      </c>
      <c r="L902" s="1">
        <v>60.51</v>
      </c>
      <c r="M902" s="1">
        <v>18.059999999999999</v>
      </c>
      <c r="N902" s="1">
        <v>7.42</v>
      </c>
      <c r="O902" s="6" t="s">
        <v>34</v>
      </c>
      <c r="P902" s="8">
        <f>Table1[Quantity]*Table1[Unit_Price]</f>
        <v>63.69</v>
      </c>
      <c r="Q902" s="1">
        <f>Table1[Profit]/Table1[Total_Sales]</f>
        <v>0.12262435960998182</v>
      </c>
      <c r="R902" s="14">
        <f>Table1[Total_Sales]+Table1[Shipping_Cost]</f>
        <v>78.569999999999993</v>
      </c>
    </row>
    <row r="903" spans="1:18" x14ac:dyDescent="0.35">
      <c r="A903" s="3" t="s">
        <v>1782</v>
      </c>
      <c r="B903" s="2">
        <v>45433</v>
      </c>
      <c r="C903" s="1" t="s">
        <v>1783</v>
      </c>
      <c r="D903" s="1" t="s">
        <v>17</v>
      </c>
      <c r="E903" s="1" t="s">
        <v>166</v>
      </c>
      <c r="F903" s="1" t="s">
        <v>60</v>
      </c>
      <c r="G903" s="1" t="s">
        <v>32</v>
      </c>
      <c r="H903" s="1" t="s">
        <v>33</v>
      </c>
      <c r="I903" s="1">
        <v>3</v>
      </c>
      <c r="J903" s="1">
        <v>5.26</v>
      </c>
      <c r="K903" s="1">
        <v>5</v>
      </c>
      <c r="L903" s="1">
        <v>14.99</v>
      </c>
      <c r="M903" s="1">
        <v>12.25</v>
      </c>
      <c r="N903" s="1">
        <v>-4.3600000000000003</v>
      </c>
      <c r="O903" s="6" t="s">
        <v>34</v>
      </c>
      <c r="P903" s="8">
        <f>Table1[Quantity]*Table1[Unit_Price]</f>
        <v>15.78</v>
      </c>
      <c r="Q903" s="1">
        <f>Table1[Profit]/Table1[Total_Sales]</f>
        <v>-0.29086057371581053</v>
      </c>
      <c r="R903" s="14">
        <f>Table1[Total_Sales]+Table1[Shipping_Cost]</f>
        <v>27.240000000000002</v>
      </c>
    </row>
    <row r="904" spans="1:18" x14ac:dyDescent="0.35">
      <c r="A904" s="3" t="s">
        <v>1784</v>
      </c>
      <c r="B904" s="2">
        <v>45434</v>
      </c>
      <c r="C904" s="1" t="s">
        <v>1785</v>
      </c>
      <c r="D904" s="1" t="s">
        <v>30</v>
      </c>
      <c r="E904" s="1" t="s">
        <v>85</v>
      </c>
      <c r="F904" s="1" t="s">
        <v>60</v>
      </c>
      <c r="G904" s="1" t="s">
        <v>32</v>
      </c>
      <c r="H904" s="1" t="s">
        <v>348</v>
      </c>
      <c r="I904" s="1">
        <v>4</v>
      </c>
      <c r="J904" s="1">
        <v>9.24</v>
      </c>
      <c r="K904" s="1">
        <v>5</v>
      </c>
      <c r="L904" s="1">
        <v>35.11</v>
      </c>
      <c r="M904" s="1">
        <v>18.34</v>
      </c>
      <c r="N904" s="1">
        <v>0.14000000000000001</v>
      </c>
      <c r="O904" s="6" t="s">
        <v>34</v>
      </c>
      <c r="P904" s="8">
        <f>Table1[Quantity]*Table1[Unit_Price]</f>
        <v>36.96</v>
      </c>
      <c r="Q904" s="1">
        <f>Table1[Profit]/Table1[Total_Sales]</f>
        <v>3.9874679578467678E-3</v>
      </c>
      <c r="R904" s="14">
        <f>Table1[Total_Sales]+Table1[Shipping_Cost]</f>
        <v>53.45</v>
      </c>
    </row>
    <row r="905" spans="1:18" x14ac:dyDescent="0.35">
      <c r="A905" s="3" t="s">
        <v>1786</v>
      </c>
      <c r="B905" s="2">
        <v>45435</v>
      </c>
      <c r="C905" s="1" t="s">
        <v>1787</v>
      </c>
      <c r="D905" s="1" t="s">
        <v>49</v>
      </c>
      <c r="E905" s="1" t="s">
        <v>25</v>
      </c>
      <c r="F905" s="1" t="s">
        <v>26</v>
      </c>
      <c r="G905" s="1" t="s">
        <v>20</v>
      </c>
      <c r="H905" s="1" t="s">
        <v>38</v>
      </c>
      <c r="I905" s="1">
        <v>2</v>
      </c>
      <c r="J905" s="1">
        <v>88.23</v>
      </c>
      <c r="K905" s="1">
        <v>0</v>
      </c>
      <c r="L905" s="1">
        <v>176.46</v>
      </c>
      <c r="M905" s="1">
        <v>9.65</v>
      </c>
      <c r="N905" s="1">
        <v>69.760000000000005</v>
      </c>
      <c r="O905" s="6" t="s">
        <v>56</v>
      </c>
      <c r="P905" s="8">
        <f>Table1[Quantity]*Table1[Unit_Price]</f>
        <v>176.46</v>
      </c>
      <c r="Q905" s="1">
        <f>Table1[Profit]/Table1[Total_Sales]</f>
        <v>0.39533038648985608</v>
      </c>
      <c r="R905" s="14">
        <f>Table1[Total_Sales]+Table1[Shipping_Cost]</f>
        <v>186.11</v>
      </c>
    </row>
    <row r="906" spans="1:18" x14ac:dyDescent="0.35">
      <c r="A906" s="3" t="s">
        <v>1788</v>
      </c>
      <c r="B906" s="2">
        <v>45436</v>
      </c>
      <c r="C906" s="1" t="s">
        <v>1789</v>
      </c>
      <c r="D906" s="1" t="s">
        <v>30</v>
      </c>
      <c r="E906" s="1" t="s">
        <v>76</v>
      </c>
      <c r="F906" s="1" t="s">
        <v>26</v>
      </c>
      <c r="G906" s="1" t="s">
        <v>20</v>
      </c>
      <c r="H906" s="1" t="s">
        <v>199</v>
      </c>
      <c r="I906" s="1">
        <v>2</v>
      </c>
      <c r="J906" s="1">
        <v>111.78</v>
      </c>
      <c r="K906" s="1">
        <v>0</v>
      </c>
      <c r="L906" s="1">
        <v>223.56</v>
      </c>
      <c r="M906" s="1">
        <v>9</v>
      </c>
      <c r="N906" s="1">
        <v>91.6</v>
      </c>
      <c r="O906" s="6" t="s">
        <v>22</v>
      </c>
      <c r="P906" s="8">
        <f>Table1[Quantity]*Table1[Unit_Price]</f>
        <v>223.56</v>
      </c>
      <c r="Q906" s="1">
        <f>Table1[Profit]/Table1[Total_Sales]</f>
        <v>0.409733404902487</v>
      </c>
      <c r="R906" s="14">
        <f>Table1[Total_Sales]+Table1[Shipping_Cost]</f>
        <v>232.56</v>
      </c>
    </row>
    <row r="907" spans="1:18" x14ac:dyDescent="0.35">
      <c r="A907" s="3" t="s">
        <v>1790</v>
      </c>
      <c r="B907" s="2">
        <v>45436</v>
      </c>
      <c r="C907" s="1" t="s">
        <v>1791</v>
      </c>
      <c r="D907" s="1" t="s">
        <v>30</v>
      </c>
      <c r="E907" s="1" t="s">
        <v>31</v>
      </c>
      <c r="F907" s="1" t="s">
        <v>19</v>
      </c>
      <c r="G907" s="1" t="s">
        <v>42</v>
      </c>
      <c r="H907" s="1" t="s">
        <v>89</v>
      </c>
      <c r="I907" s="1">
        <v>13</v>
      </c>
      <c r="J907" s="1">
        <v>201.56</v>
      </c>
      <c r="K907" s="1">
        <v>0</v>
      </c>
      <c r="L907" s="1">
        <v>2620.2800000000002</v>
      </c>
      <c r="M907" s="1">
        <v>30.62</v>
      </c>
      <c r="N907" s="1">
        <v>1017.49</v>
      </c>
      <c r="O907" s="6" t="s">
        <v>34</v>
      </c>
      <c r="P907" s="8">
        <f>Table1[Quantity]*Table1[Unit_Price]</f>
        <v>2620.2800000000002</v>
      </c>
      <c r="Q907" s="1">
        <f>Table1[Profit]/Table1[Total_Sales]</f>
        <v>0.3883134626833773</v>
      </c>
      <c r="R907" s="14">
        <f>Table1[Total_Sales]+Table1[Shipping_Cost]</f>
        <v>2650.9</v>
      </c>
    </row>
    <row r="908" spans="1:18" x14ac:dyDescent="0.35">
      <c r="A908" s="3" t="s">
        <v>1792</v>
      </c>
      <c r="B908" s="2">
        <v>45436</v>
      </c>
      <c r="C908" s="1" t="s">
        <v>1793</v>
      </c>
      <c r="D908" s="1" t="s">
        <v>30</v>
      </c>
      <c r="E908" s="1" t="s">
        <v>18</v>
      </c>
      <c r="F908" s="1" t="s">
        <v>19</v>
      </c>
      <c r="G908" s="1" t="s">
        <v>69</v>
      </c>
      <c r="H908" s="1" t="s">
        <v>243</v>
      </c>
      <c r="I908" s="1">
        <v>1</v>
      </c>
      <c r="J908" s="1">
        <v>48.43</v>
      </c>
      <c r="K908" s="1">
        <v>20</v>
      </c>
      <c r="L908" s="1">
        <v>38.74</v>
      </c>
      <c r="M908" s="1">
        <v>6.96</v>
      </c>
      <c r="N908" s="1">
        <v>7.57</v>
      </c>
      <c r="O908" s="6" t="s">
        <v>34</v>
      </c>
      <c r="P908" s="8">
        <f>Table1[Quantity]*Table1[Unit_Price]</f>
        <v>48.43</v>
      </c>
      <c r="Q908" s="1">
        <f>Table1[Profit]/Table1[Total_Sales]</f>
        <v>0.19540526587506454</v>
      </c>
      <c r="R908" s="14">
        <f>Table1[Total_Sales]+Table1[Shipping_Cost]</f>
        <v>45.7</v>
      </c>
    </row>
    <row r="909" spans="1:18" x14ac:dyDescent="0.35">
      <c r="A909" s="3" t="s">
        <v>1794</v>
      </c>
      <c r="B909" s="2">
        <v>45436</v>
      </c>
      <c r="C909" s="1" t="s">
        <v>1795</v>
      </c>
      <c r="D909" s="1" t="s">
        <v>30</v>
      </c>
      <c r="E909" s="1" t="s">
        <v>37</v>
      </c>
      <c r="F909" s="1" t="s">
        <v>26</v>
      </c>
      <c r="G909" s="1" t="s">
        <v>32</v>
      </c>
      <c r="H909" s="1" t="s">
        <v>33</v>
      </c>
      <c r="I909" s="1">
        <v>3</v>
      </c>
      <c r="J909" s="1">
        <v>9.99</v>
      </c>
      <c r="K909" s="1">
        <v>10</v>
      </c>
      <c r="L909" s="1">
        <v>26.97</v>
      </c>
      <c r="M909" s="1">
        <v>8.52</v>
      </c>
      <c r="N909" s="1">
        <v>4.96</v>
      </c>
      <c r="O909" s="6" t="s">
        <v>39</v>
      </c>
      <c r="P909" s="8">
        <f>Table1[Quantity]*Table1[Unit_Price]</f>
        <v>29.97</v>
      </c>
      <c r="Q909" s="1">
        <f>Table1[Profit]/Table1[Total_Sales]</f>
        <v>0.18390804597701149</v>
      </c>
      <c r="R909" s="14">
        <f>Table1[Total_Sales]+Table1[Shipping_Cost]</f>
        <v>35.489999999999995</v>
      </c>
    </row>
    <row r="910" spans="1:18" x14ac:dyDescent="0.35">
      <c r="A910" s="3" t="s">
        <v>1796</v>
      </c>
      <c r="B910" s="2">
        <v>45437</v>
      </c>
      <c r="C910" s="1" t="s">
        <v>1797</v>
      </c>
      <c r="D910" s="1" t="s">
        <v>17</v>
      </c>
      <c r="E910" s="1" t="s">
        <v>166</v>
      </c>
      <c r="F910" s="1" t="s">
        <v>60</v>
      </c>
      <c r="G910" s="1" t="s">
        <v>69</v>
      </c>
      <c r="H910" s="1" t="s">
        <v>243</v>
      </c>
      <c r="I910" s="1">
        <v>1</v>
      </c>
      <c r="J910" s="1">
        <v>51.37</v>
      </c>
      <c r="K910" s="1">
        <v>0</v>
      </c>
      <c r="L910" s="1">
        <v>51.37</v>
      </c>
      <c r="M910" s="1">
        <v>11.26</v>
      </c>
      <c r="N910" s="1">
        <v>14.42</v>
      </c>
      <c r="O910" s="6" t="s">
        <v>39</v>
      </c>
      <c r="P910" s="8">
        <f>Table1[Quantity]*Table1[Unit_Price]</f>
        <v>51.37</v>
      </c>
      <c r="Q910" s="1">
        <f>Table1[Profit]/Table1[Total_Sales]</f>
        <v>0.28070858477710725</v>
      </c>
      <c r="R910" s="14">
        <f>Table1[Total_Sales]+Table1[Shipping_Cost]</f>
        <v>62.629999999999995</v>
      </c>
    </row>
    <row r="911" spans="1:18" x14ac:dyDescent="0.35">
      <c r="A911" s="3" t="s">
        <v>1798</v>
      </c>
      <c r="B911" s="2">
        <v>45437</v>
      </c>
      <c r="C911" s="1" t="s">
        <v>1707</v>
      </c>
      <c r="D911" s="1" t="s">
        <v>30</v>
      </c>
      <c r="E911" s="1" t="s">
        <v>166</v>
      </c>
      <c r="F911" s="1" t="s">
        <v>60</v>
      </c>
      <c r="G911" s="1" t="s">
        <v>32</v>
      </c>
      <c r="H911" s="1" t="s">
        <v>149</v>
      </c>
      <c r="I911" s="1">
        <v>2</v>
      </c>
      <c r="J911" s="1">
        <v>14.19</v>
      </c>
      <c r="K911" s="1">
        <v>10</v>
      </c>
      <c r="L911" s="1">
        <v>25.54</v>
      </c>
      <c r="M911" s="1">
        <v>10.01</v>
      </c>
      <c r="N911" s="1">
        <v>2.76</v>
      </c>
      <c r="O911" s="6" t="s">
        <v>34</v>
      </c>
      <c r="P911" s="8">
        <f>Table1[Quantity]*Table1[Unit_Price]</f>
        <v>28.38</v>
      </c>
      <c r="Q911" s="1">
        <f>Table1[Profit]/Table1[Total_Sales]</f>
        <v>0.10806577916992952</v>
      </c>
      <c r="R911" s="14">
        <f>Table1[Total_Sales]+Table1[Shipping_Cost]</f>
        <v>35.549999999999997</v>
      </c>
    </row>
    <row r="912" spans="1:18" x14ac:dyDescent="0.35">
      <c r="A912" s="3" t="s">
        <v>1799</v>
      </c>
      <c r="B912" s="2">
        <v>45437</v>
      </c>
      <c r="C912" s="1" t="s">
        <v>1800</v>
      </c>
      <c r="D912" s="1" t="s">
        <v>17</v>
      </c>
      <c r="E912" s="1" t="s">
        <v>166</v>
      </c>
      <c r="F912" s="1" t="s">
        <v>60</v>
      </c>
      <c r="G912" s="1" t="s">
        <v>69</v>
      </c>
      <c r="H912" s="1" t="s">
        <v>86</v>
      </c>
      <c r="I912" s="1">
        <v>4</v>
      </c>
      <c r="J912" s="1">
        <v>59.09</v>
      </c>
      <c r="K912" s="1">
        <v>5</v>
      </c>
      <c r="L912" s="1">
        <v>224.54</v>
      </c>
      <c r="M912" s="1">
        <v>11.63</v>
      </c>
      <c r="N912" s="1">
        <v>94.73</v>
      </c>
      <c r="O912" s="6" t="s">
        <v>22</v>
      </c>
      <c r="P912" s="8">
        <f>Table1[Quantity]*Table1[Unit_Price]</f>
        <v>236.36</v>
      </c>
      <c r="Q912" s="1">
        <f>Table1[Profit]/Table1[Total_Sales]</f>
        <v>0.42188474213948518</v>
      </c>
      <c r="R912" s="14">
        <f>Table1[Total_Sales]+Table1[Shipping_Cost]</f>
        <v>236.17</v>
      </c>
    </row>
    <row r="913" spans="1:18" x14ac:dyDescent="0.35">
      <c r="A913" s="3" t="s">
        <v>1801</v>
      </c>
      <c r="B913" s="2">
        <v>45438</v>
      </c>
      <c r="C913" s="1" t="s">
        <v>427</v>
      </c>
      <c r="D913" s="1" t="s">
        <v>30</v>
      </c>
      <c r="E913" s="1" t="s">
        <v>59</v>
      </c>
      <c r="F913" s="1" t="s">
        <v>60</v>
      </c>
      <c r="G913" s="1" t="s">
        <v>42</v>
      </c>
      <c r="H913" s="1" t="s">
        <v>371</v>
      </c>
      <c r="I913" s="1">
        <v>1</v>
      </c>
      <c r="J913" s="1">
        <v>114</v>
      </c>
      <c r="K913" s="1">
        <v>0</v>
      </c>
      <c r="L913" s="1">
        <v>114</v>
      </c>
      <c r="M913" s="1">
        <v>9.5299999999999994</v>
      </c>
      <c r="N913" s="1">
        <v>36.07</v>
      </c>
      <c r="O913" s="6" t="s">
        <v>56</v>
      </c>
      <c r="P913" s="8">
        <f>Table1[Quantity]*Table1[Unit_Price]</f>
        <v>114</v>
      </c>
      <c r="Q913" s="1">
        <f>Table1[Profit]/Table1[Total_Sales]</f>
        <v>0.31640350877192985</v>
      </c>
      <c r="R913" s="14">
        <f>Table1[Total_Sales]+Table1[Shipping_Cost]</f>
        <v>123.53</v>
      </c>
    </row>
    <row r="914" spans="1:18" x14ac:dyDescent="0.35">
      <c r="A914" s="3" t="s">
        <v>1802</v>
      </c>
      <c r="B914" s="2">
        <v>45438</v>
      </c>
      <c r="C914" s="1" t="s">
        <v>1803</v>
      </c>
      <c r="D914" s="1" t="s">
        <v>17</v>
      </c>
      <c r="E914" s="1" t="s">
        <v>37</v>
      </c>
      <c r="F914" s="1" t="s">
        <v>26</v>
      </c>
      <c r="G914" s="1" t="s">
        <v>20</v>
      </c>
      <c r="H914" s="1" t="s">
        <v>175</v>
      </c>
      <c r="I914" s="1">
        <v>1</v>
      </c>
      <c r="J914" s="1">
        <v>38.44</v>
      </c>
      <c r="K914" s="1">
        <v>0</v>
      </c>
      <c r="L914" s="1">
        <v>38.44</v>
      </c>
      <c r="M914" s="1">
        <v>8.19</v>
      </c>
      <c r="N914" s="1">
        <v>9.11</v>
      </c>
      <c r="O914" s="6" t="s">
        <v>39</v>
      </c>
      <c r="P914" s="8">
        <f>Table1[Quantity]*Table1[Unit_Price]</f>
        <v>38.44</v>
      </c>
      <c r="Q914" s="1">
        <f>Table1[Profit]/Table1[Total_Sales]</f>
        <v>0.23699271592091573</v>
      </c>
      <c r="R914" s="14">
        <f>Table1[Total_Sales]+Table1[Shipping_Cost]</f>
        <v>46.629999999999995</v>
      </c>
    </row>
    <row r="915" spans="1:18" x14ac:dyDescent="0.35">
      <c r="A915" s="3" t="s">
        <v>1804</v>
      </c>
      <c r="B915" s="2">
        <v>45438</v>
      </c>
      <c r="C915" s="1" t="s">
        <v>1805</v>
      </c>
      <c r="D915" s="1" t="s">
        <v>17</v>
      </c>
      <c r="E915" s="1" t="s">
        <v>109</v>
      </c>
      <c r="F915" s="1" t="s">
        <v>54</v>
      </c>
      <c r="G915" s="1" t="s">
        <v>20</v>
      </c>
      <c r="H915" s="1" t="s">
        <v>21</v>
      </c>
      <c r="I915" s="1">
        <v>8</v>
      </c>
      <c r="J915" s="1">
        <v>171.31</v>
      </c>
      <c r="K915" s="1">
        <v>10</v>
      </c>
      <c r="L915" s="1">
        <v>1233.43</v>
      </c>
      <c r="M915" s="1">
        <v>22.94</v>
      </c>
      <c r="N915" s="1">
        <v>456.73</v>
      </c>
      <c r="O915" s="6" t="s">
        <v>22</v>
      </c>
      <c r="P915" s="8">
        <f>Table1[Quantity]*Table1[Unit_Price]</f>
        <v>1370.48</v>
      </c>
      <c r="Q915" s="1">
        <f>Table1[Profit]/Table1[Total_Sales]</f>
        <v>0.37029259868821091</v>
      </c>
      <c r="R915" s="14">
        <f>Table1[Total_Sales]+Table1[Shipping_Cost]</f>
        <v>1256.3700000000001</v>
      </c>
    </row>
    <row r="916" spans="1:18" x14ac:dyDescent="0.35">
      <c r="A916" s="3" t="s">
        <v>1806</v>
      </c>
      <c r="B916" s="2">
        <v>45439</v>
      </c>
      <c r="C916" s="1" t="s">
        <v>1807</v>
      </c>
      <c r="D916" s="1" t="s">
        <v>30</v>
      </c>
      <c r="E916" s="1" t="s">
        <v>248</v>
      </c>
      <c r="F916" s="1" t="s">
        <v>26</v>
      </c>
      <c r="G916" s="1" t="s">
        <v>20</v>
      </c>
      <c r="H916" s="1" t="s">
        <v>27</v>
      </c>
      <c r="I916" s="1">
        <v>6</v>
      </c>
      <c r="J916" s="1">
        <v>175.05</v>
      </c>
      <c r="K916" s="1">
        <v>10</v>
      </c>
      <c r="L916" s="1">
        <v>945.27</v>
      </c>
      <c r="M916" s="1">
        <v>21.41</v>
      </c>
      <c r="N916" s="1">
        <v>346.19</v>
      </c>
      <c r="O916" s="6" t="s">
        <v>22</v>
      </c>
      <c r="P916" s="8">
        <f>Table1[Quantity]*Table1[Unit_Price]</f>
        <v>1050.3000000000002</v>
      </c>
      <c r="Q916" s="1">
        <f>Table1[Profit]/Table1[Total_Sales]</f>
        <v>0.36623398605689378</v>
      </c>
      <c r="R916" s="14">
        <f>Table1[Total_Sales]+Table1[Shipping_Cost]</f>
        <v>966.68</v>
      </c>
    </row>
    <row r="917" spans="1:18" x14ac:dyDescent="0.35">
      <c r="A917" s="3" t="s">
        <v>1808</v>
      </c>
      <c r="B917" s="2">
        <v>45439</v>
      </c>
      <c r="C917" s="1" t="s">
        <v>1809</v>
      </c>
      <c r="D917" s="1" t="s">
        <v>49</v>
      </c>
      <c r="E917" s="1" t="s">
        <v>67</v>
      </c>
      <c r="F917" s="1" t="s">
        <v>68</v>
      </c>
      <c r="G917" s="1" t="s">
        <v>32</v>
      </c>
      <c r="H917" s="1" t="s">
        <v>33</v>
      </c>
      <c r="I917" s="1">
        <v>5</v>
      </c>
      <c r="J917" s="1">
        <v>11.19</v>
      </c>
      <c r="K917" s="1">
        <v>15</v>
      </c>
      <c r="L917" s="1">
        <v>47.56</v>
      </c>
      <c r="M917" s="1">
        <v>22.11</v>
      </c>
      <c r="N917" s="1">
        <v>0.27</v>
      </c>
      <c r="O917" s="6" t="s">
        <v>39</v>
      </c>
      <c r="P917" s="8">
        <f>Table1[Quantity]*Table1[Unit_Price]</f>
        <v>55.949999999999996</v>
      </c>
      <c r="Q917" s="1">
        <f>Table1[Profit]/Table1[Total_Sales]</f>
        <v>5.6770395290159795E-3</v>
      </c>
      <c r="R917" s="14">
        <f>Table1[Total_Sales]+Table1[Shipping_Cost]</f>
        <v>69.67</v>
      </c>
    </row>
    <row r="918" spans="1:18" x14ac:dyDescent="0.35">
      <c r="A918" s="3" t="s">
        <v>1810</v>
      </c>
      <c r="B918" s="2">
        <v>45439</v>
      </c>
      <c r="C918" s="1" t="s">
        <v>1811</v>
      </c>
      <c r="D918" s="1" t="s">
        <v>30</v>
      </c>
      <c r="E918" s="1" t="s">
        <v>138</v>
      </c>
      <c r="F918" s="1" t="s">
        <v>54</v>
      </c>
      <c r="G918" s="1" t="s">
        <v>20</v>
      </c>
      <c r="H918" s="1" t="s">
        <v>264</v>
      </c>
      <c r="I918" s="1">
        <v>2</v>
      </c>
      <c r="J918" s="1">
        <v>31.92</v>
      </c>
      <c r="K918" s="1">
        <v>0</v>
      </c>
      <c r="L918" s="1">
        <v>63.84</v>
      </c>
      <c r="M918" s="1">
        <v>13.33</v>
      </c>
      <c r="N918" s="1">
        <v>15.4</v>
      </c>
      <c r="O918" s="6" t="s">
        <v>56</v>
      </c>
      <c r="P918" s="8">
        <f>Table1[Quantity]*Table1[Unit_Price]</f>
        <v>63.84</v>
      </c>
      <c r="Q918" s="1">
        <f>Table1[Profit]/Table1[Total_Sales]</f>
        <v>0.2412280701754386</v>
      </c>
      <c r="R918" s="14">
        <f>Table1[Total_Sales]+Table1[Shipping_Cost]</f>
        <v>77.17</v>
      </c>
    </row>
    <row r="919" spans="1:18" x14ac:dyDescent="0.35">
      <c r="A919" s="3" t="s">
        <v>1812</v>
      </c>
      <c r="B919" s="2">
        <v>45439</v>
      </c>
      <c r="C919" s="1" t="s">
        <v>1813</v>
      </c>
      <c r="D919" s="1" t="s">
        <v>17</v>
      </c>
      <c r="E919" s="1" t="s">
        <v>248</v>
      </c>
      <c r="F919" s="1" t="s">
        <v>26</v>
      </c>
      <c r="G919" s="1" t="s">
        <v>42</v>
      </c>
      <c r="H919" s="1" t="s">
        <v>234</v>
      </c>
      <c r="I919" s="1">
        <v>3</v>
      </c>
      <c r="J919" s="1">
        <v>35.49</v>
      </c>
      <c r="K919" s="1">
        <v>0</v>
      </c>
      <c r="L919" s="1">
        <v>106.47</v>
      </c>
      <c r="M919" s="1">
        <v>13.63</v>
      </c>
      <c r="N919" s="1">
        <v>28.96</v>
      </c>
      <c r="O919" s="6" t="s">
        <v>56</v>
      </c>
      <c r="P919" s="8">
        <f>Table1[Quantity]*Table1[Unit_Price]</f>
        <v>106.47</v>
      </c>
      <c r="Q919" s="1">
        <f>Table1[Profit]/Table1[Total_Sales]</f>
        <v>0.27200150277073354</v>
      </c>
      <c r="R919" s="14">
        <f>Table1[Total_Sales]+Table1[Shipping_Cost]</f>
        <v>120.1</v>
      </c>
    </row>
    <row r="920" spans="1:18" x14ac:dyDescent="0.35">
      <c r="A920" s="3" t="s">
        <v>1814</v>
      </c>
      <c r="B920" s="2">
        <v>45439</v>
      </c>
      <c r="C920" s="1" t="s">
        <v>1815</v>
      </c>
      <c r="D920" s="1" t="s">
        <v>17</v>
      </c>
      <c r="E920" s="1" t="s">
        <v>59</v>
      </c>
      <c r="F920" s="1" t="s">
        <v>60</v>
      </c>
      <c r="G920" s="1" t="s">
        <v>20</v>
      </c>
      <c r="H920" s="1" t="s">
        <v>199</v>
      </c>
      <c r="I920" s="1">
        <v>2</v>
      </c>
      <c r="J920" s="1">
        <v>71.92</v>
      </c>
      <c r="K920" s="1">
        <v>5</v>
      </c>
      <c r="L920" s="1">
        <v>136.65</v>
      </c>
      <c r="M920" s="1">
        <v>13.71</v>
      </c>
      <c r="N920" s="1">
        <v>43.83</v>
      </c>
      <c r="O920" s="6" t="s">
        <v>39</v>
      </c>
      <c r="P920" s="8">
        <f>Table1[Quantity]*Table1[Unit_Price]</f>
        <v>143.84</v>
      </c>
      <c r="Q920" s="1">
        <f>Table1[Profit]/Table1[Total_Sales]</f>
        <v>0.32074643249176726</v>
      </c>
      <c r="R920" s="14">
        <f>Table1[Total_Sales]+Table1[Shipping_Cost]</f>
        <v>150.36000000000001</v>
      </c>
    </row>
    <row r="921" spans="1:18" x14ac:dyDescent="0.35">
      <c r="A921" s="3" t="s">
        <v>1816</v>
      </c>
      <c r="B921" s="2">
        <v>45439</v>
      </c>
      <c r="C921" s="1" t="s">
        <v>302</v>
      </c>
      <c r="D921" s="1" t="s">
        <v>49</v>
      </c>
      <c r="E921" s="1" t="s">
        <v>85</v>
      </c>
      <c r="F921" s="1" t="s">
        <v>60</v>
      </c>
      <c r="G921" s="1" t="s">
        <v>32</v>
      </c>
      <c r="H921" s="1" t="s">
        <v>82</v>
      </c>
      <c r="I921" s="1">
        <v>9</v>
      </c>
      <c r="J921" s="1">
        <v>20.69</v>
      </c>
      <c r="K921" s="1">
        <v>0</v>
      </c>
      <c r="L921" s="1">
        <v>186.21</v>
      </c>
      <c r="M921" s="1">
        <v>22.07</v>
      </c>
      <c r="N921" s="1">
        <v>80.349999999999994</v>
      </c>
      <c r="O921" s="6" t="s">
        <v>34</v>
      </c>
      <c r="P921" s="8">
        <f>Table1[Quantity]*Table1[Unit_Price]</f>
        <v>186.21</v>
      </c>
      <c r="Q921" s="1">
        <f>Table1[Profit]/Table1[Total_Sales]</f>
        <v>0.43150206755813325</v>
      </c>
      <c r="R921" s="14">
        <f>Table1[Total_Sales]+Table1[Shipping_Cost]</f>
        <v>208.28</v>
      </c>
    </row>
    <row r="922" spans="1:18" x14ac:dyDescent="0.35">
      <c r="A922" s="3" t="s">
        <v>1817</v>
      </c>
      <c r="B922" s="2">
        <v>45439</v>
      </c>
      <c r="C922" s="1" t="s">
        <v>1818</v>
      </c>
      <c r="D922" s="1" t="s">
        <v>30</v>
      </c>
      <c r="E922" s="1" t="s">
        <v>25</v>
      </c>
      <c r="F922" s="1" t="s">
        <v>26</v>
      </c>
      <c r="G922" s="1" t="s">
        <v>20</v>
      </c>
      <c r="H922" s="1" t="s">
        <v>122</v>
      </c>
      <c r="I922" s="1">
        <v>15</v>
      </c>
      <c r="J922" s="1">
        <v>142.85</v>
      </c>
      <c r="K922" s="1">
        <v>10</v>
      </c>
      <c r="L922" s="1">
        <v>1928.48</v>
      </c>
      <c r="M922" s="1">
        <v>22.72</v>
      </c>
      <c r="N922" s="1">
        <v>727.25</v>
      </c>
      <c r="O922" s="6" t="s">
        <v>22</v>
      </c>
      <c r="P922" s="8">
        <f>Table1[Quantity]*Table1[Unit_Price]</f>
        <v>2142.75</v>
      </c>
      <c r="Q922" s="1">
        <f>Table1[Profit]/Table1[Total_Sales]</f>
        <v>0.3771104704223015</v>
      </c>
      <c r="R922" s="14">
        <f>Table1[Total_Sales]+Table1[Shipping_Cost]</f>
        <v>1951.2</v>
      </c>
    </row>
    <row r="923" spans="1:18" x14ac:dyDescent="0.35">
      <c r="A923" s="3" t="s">
        <v>1819</v>
      </c>
      <c r="B923" s="2">
        <v>45440</v>
      </c>
      <c r="C923" s="1" t="s">
        <v>1820</v>
      </c>
      <c r="D923" s="1" t="s">
        <v>17</v>
      </c>
      <c r="E923" s="1" t="s">
        <v>135</v>
      </c>
      <c r="F923" s="1" t="s">
        <v>26</v>
      </c>
      <c r="G923" s="1" t="s">
        <v>69</v>
      </c>
      <c r="H923" s="1" t="s">
        <v>70</v>
      </c>
      <c r="I923" s="1">
        <v>3</v>
      </c>
      <c r="J923" s="1">
        <v>50.33</v>
      </c>
      <c r="K923" s="1">
        <v>10</v>
      </c>
      <c r="L923" s="1">
        <v>135.88999999999999</v>
      </c>
      <c r="M923" s="1">
        <v>11.44</v>
      </c>
      <c r="N923" s="1">
        <v>48.95</v>
      </c>
      <c r="O923" s="6" t="s">
        <v>39</v>
      </c>
      <c r="P923" s="8">
        <f>Table1[Quantity]*Table1[Unit_Price]</f>
        <v>150.99</v>
      </c>
      <c r="Q923" s="1">
        <f>Table1[Profit]/Table1[Total_Sales]</f>
        <v>0.36021782323938484</v>
      </c>
      <c r="R923" s="14">
        <f>Table1[Total_Sales]+Table1[Shipping_Cost]</f>
        <v>147.32999999999998</v>
      </c>
    </row>
    <row r="924" spans="1:18" x14ac:dyDescent="0.35">
      <c r="A924" s="3" t="s">
        <v>1821</v>
      </c>
      <c r="B924" s="2">
        <v>45440</v>
      </c>
      <c r="C924" s="1" t="s">
        <v>1822</v>
      </c>
      <c r="D924" s="1" t="s">
        <v>30</v>
      </c>
      <c r="E924" s="1" t="s">
        <v>31</v>
      </c>
      <c r="F924" s="1" t="s">
        <v>19</v>
      </c>
      <c r="G924" s="1" t="s">
        <v>32</v>
      </c>
      <c r="H924" s="1" t="s">
        <v>50</v>
      </c>
      <c r="I924" s="1">
        <v>1</v>
      </c>
      <c r="J924" s="1">
        <v>23.24</v>
      </c>
      <c r="K924" s="1">
        <v>10</v>
      </c>
      <c r="L924" s="1">
        <v>20.92</v>
      </c>
      <c r="M924" s="1">
        <v>7.37</v>
      </c>
      <c r="N924" s="1">
        <v>3.09</v>
      </c>
      <c r="O924" s="6" t="s">
        <v>39</v>
      </c>
      <c r="P924" s="8">
        <f>Table1[Quantity]*Table1[Unit_Price]</f>
        <v>23.24</v>
      </c>
      <c r="Q924" s="1">
        <f>Table1[Profit]/Table1[Total_Sales]</f>
        <v>0.14770554493307839</v>
      </c>
      <c r="R924" s="14">
        <f>Table1[Total_Sales]+Table1[Shipping_Cost]</f>
        <v>28.290000000000003</v>
      </c>
    </row>
    <row r="925" spans="1:18" x14ac:dyDescent="0.35">
      <c r="A925" s="3" t="s">
        <v>1823</v>
      </c>
      <c r="B925" s="2">
        <v>45440</v>
      </c>
      <c r="C925" s="1" t="s">
        <v>764</v>
      </c>
      <c r="D925" s="1" t="s">
        <v>30</v>
      </c>
      <c r="E925" s="1" t="s">
        <v>121</v>
      </c>
      <c r="F925" s="1" t="s">
        <v>68</v>
      </c>
      <c r="G925" s="1" t="s">
        <v>69</v>
      </c>
      <c r="H925" s="1" t="s">
        <v>305</v>
      </c>
      <c r="I925" s="1">
        <v>6</v>
      </c>
      <c r="J925" s="1">
        <v>79.95</v>
      </c>
      <c r="K925" s="1">
        <v>0</v>
      </c>
      <c r="L925" s="1">
        <v>479.7</v>
      </c>
      <c r="M925" s="1">
        <v>23.09</v>
      </c>
      <c r="N925" s="1">
        <v>216.76</v>
      </c>
      <c r="O925" s="6" t="s">
        <v>34</v>
      </c>
      <c r="P925" s="8">
        <f>Table1[Quantity]*Table1[Unit_Price]</f>
        <v>479.70000000000005</v>
      </c>
      <c r="Q925" s="1">
        <f>Table1[Profit]/Table1[Total_Sales]</f>
        <v>0.45186574942672503</v>
      </c>
      <c r="R925" s="14">
        <f>Table1[Total_Sales]+Table1[Shipping_Cost]</f>
        <v>502.78999999999996</v>
      </c>
    </row>
    <row r="926" spans="1:18" x14ac:dyDescent="0.35">
      <c r="A926" s="3" t="s">
        <v>1824</v>
      </c>
      <c r="B926" s="2">
        <v>45441</v>
      </c>
      <c r="C926" s="1" t="s">
        <v>1825</v>
      </c>
      <c r="D926" s="1" t="s">
        <v>30</v>
      </c>
      <c r="E926" s="1" t="s">
        <v>63</v>
      </c>
      <c r="F926" s="1" t="s">
        <v>54</v>
      </c>
      <c r="G926" s="1" t="s">
        <v>32</v>
      </c>
      <c r="H926" s="1" t="s">
        <v>115</v>
      </c>
      <c r="I926" s="1">
        <v>1</v>
      </c>
      <c r="J926" s="1">
        <v>14.73</v>
      </c>
      <c r="K926" s="1">
        <v>0</v>
      </c>
      <c r="L926" s="1">
        <v>14.73</v>
      </c>
      <c r="M926" s="1">
        <v>12.36</v>
      </c>
      <c r="N926" s="1">
        <v>-4.26</v>
      </c>
      <c r="O926" s="6" t="s">
        <v>34</v>
      </c>
      <c r="P926" s="8">
        <f>Table1[Quantity]*Table1[Unit_Price]</f>
        <v>14.73</v>
      </c>
      <c r="Q926" s="1">
        <f>Table1[Profit]/Table1[Total_Sales]</f>
        <v>-0.28920570264765783</v>
      </c>
      <c r="R926" s="14">
        <f>Table1[Total_Sales]+Table1[Shipping_Cost]</f>
        <v>27.09</v>
      </c>
    </row>
    <row r="927" spans="1:18" x14ac:dyDescent="0.35">
      <c r="A927" s="3" t="s">
        <v>1826</v>
      </c>
      <c r="B927" s="2">
        <v>45441</v>
      </c>
      <c r="C927" s="1" t="s">
        <v>1827</v>
      </c>
      <c r="D927" s="1" t="s">
        <v>17</v>
      </c>
      <c r="E927" s="1" t="s">
        <v>67</v>
      </c>
      <c r="F927" s="1" t="s">
        <v>68</v>
      </c>
      <c r="G927" s="1" t="s">
        <v>32</v>
      </c>
      <c r="H927" s="1" t="s">
        <v>101</v>
      </c>
      <c r="I927" s="1">
        <v>4</v>
      </c>
      <c r="J927" s="1">
        <v>15.35</v>
      </c>
      <c r="K927" s="1">
        <v>10</v>
      </c>
      <c r="L927" s="1">
        <v>55.26</v>
      </c>
      <c r="M927" s="1">
        <v>13.12</v>
      </c>
      <c r="N927" s="1">
        <v>14.51</v>
      </c>
      <c r="O927" s="6" t="s">
        <v>22</v>
      </c>
      <c r="P927" s="8">
        <f>Table1[Quantity]*Table1[Unit_Price]</f>
        <v>61.4</v>
      </c>
      <c r="Q927" s="1">
        <f>Table1[Profit]/Table1[Total_Sales]</f>
        <v>0.26257690915671372</v>
      </c>
      <c r="R927" s="14">
        <f>Table1[Total_Sales]+Table1[Shipping_Cost]</f>
        <v>68.38</v>
      </c>
    </row>
    <row r="928" spans="1:18" x14ac:dyDescent="0.35">
      <c r="A928" s="3" t="s">
        <v>1828</v>
      </c>
      <c r="B928" s="2">
        <v>45442</v>
      </c>
      <c r="C928" s="1" t="s">
        <v>1829</v>
      </c>
      <c r="D928" s="1" t="s">
        <v>30</v>
      </c>
      <c r="E928" s="1" t="s">
        <v>129</v>
      </c>
      <c r="F928" s="1" t="s">
        <v>19</v>
      </c>
      <c r="G928" s="1" t="s">
        <v>20</v>
      </c>
      <c r="H928" s="1" t="s">
        <v>21</v>
      </c>
      <c r="I928" s="1">
        <v>1</v>
      </c>
      <c r="J928" s="1">
        <v>171.98</v>
      </c>
      <c r="K928" s="1">
        <v>10</v>
      </c>
      <c r="L928" s="1">
        <v>154.78</v>
      </c>
      <c r="M928" s="1">
        <v>7.29</v>
      </c>
      <c r="N928" s="1">
        <v>52.9</v>
      </c>
      <c r="O928" s="6" t="s">
        <v>34</v>
      </c>
      <c r="P928" s="8">
        <f>Table1[Quantity]*Table1[Unit_Price]</f>
        <v>171.98</v>
      </c>
      <c r="Q928" s="1">
        <f>Table1[Profit]/Table1[Total_Sales]</f>
        <v>0.34177542318128956</v>
      </c>
      <c r="R928" s="14">
        <f>Table1[Total_Sales]+Table1[Shipping_Cost]</f>
        <v>162.07</v>
      </c>
    </row>
    <row r="929" spans="1:18" x14ac:dyDescent="0.35">
      <c r="A929" s="3" t="s">
        <v>1830</v>
      </c>
      <c r="B929" s="2">
        <v>45443</v>
      </c>
      <c r="C929" s="1" t="s">
        <v>538</v>
      </c>
      <c r="D929" s="1" t="s">
        <v>30</v>
      </c>
      <c r="E929" s="1" t="s">
        <v>138</v>
      </c>
      <c r="F929" s="1" t="s">
        <v>54</v>
      </c>
      <c r="G929" s="1" t="s">
        <v>42</v>
      </c>
      <c r="H929" s="1" t="s">
        <v>234</v>
      </c>
      <c r="I929" s="1">
        <v>1</v>
      </c>
      <c r="J929" s="1">
        <v>67.180000000000007</v>
      </c>
      <c r="K929" s="1">
        <v>0</v>
      </c>
      <c r="L929" s="1">
        <v>67.180000000000007</v>
      </c>
      <c r="M929" s="1">
        <v>12.09</v>
      </c>
      <c r="N929" s="1">
        <v>14.78</v>
      </c>
      <c r="O929" s="6" t="s">
        <v>39</v>
      </c>
      <c r="P929" s="8">
        <f>Table1[Quantity]*Table1[Unit_Price]</f>
        <v>67.180000000000007</v>
      </c>
      <c r="Q929" s="1">
        <f>Table1[Profit]/Table1[Total_Sales]</f>
        <v>0.22000595415302171</v>
      </c>
      <c r="R929" s="14">
        <f>Table1[Total_Sales]+Table1[Shipping_Cost]</f>
        <v>79.27000000000001</v>
      </c>
    </row>
    <row r="930" spans="1:18" x14ac:dyDescent="0.35">
      <c r="A930" s="3" t="s">
        <v>1831</v>
      </c>
      <c r="B930" s="2">
        <v>45443</v>
      </c>
      <c r="C930" s="1" t="s">
        <v>1832</v>
      </c>
      <c r="D930" s="1" t="s">
        <v>30</v>
      </c>
      <c r="E930" s="1" t="s">
        <v>18</v>
      </c>
      <c r="F930" s="1" t="s">
        <v>19</v>
      </c>
      <c r="G930" s="1" t="s">
        <v>20</v>
      </c>
      <c r="H930" s="1" t="s">
        <v>264</v>
      </c>
      <c r="I930" s="1">
        <v>5</v>
      </c>
      <c r="J930" s="1">
        <v>27.93</v>
      </c>
      <c r="K930" s="1">
        <v>15</v>
      </c>
      <c r="L930" s="1">
        <v>118.7</v>
      </c>
      <c r="M930" s="1">
        <v>14.98</v>
      </c>
      <c r="N930" s="1">
        <v>26.91</v>
      </c>
      <c r="O930" s="6" t="s">
        <v>39</v>
      </c>
      <c r="P930" s="8">
        <f>Table1[Quantity]*Table1[Unit_Price]</f>
        <v>139.65</v>
      </c>
      <c r="Q930" s="1">
        <f>Table1[Profit]/Table1[Total_Sales]</f>
        <v>0.22670598146588036</v>
      </c>
      <c r="R930" s="14">
        <f>Table1[Total_Sales]+Table1[Shipping_Cost]</f>
        <v>133.68</v>
      </c>
    </row>
    <row r="931" spans="1:18" x14ac:dyDescent="0.35">
      <c r="A931" s="3" t="s">
        <v>1833</v>
      </c>
      <c r="B931" s="2">
        <v>45444</v>
      </c>
      <c r="C931" s="1" t="s">
        <v>980</v>
      </c>
      <c r="D931" s="1" t="s">
        <v>30</v>
      </c>
      <c r="E931" s="1" t="s">
        <v>92</v>
      </c>
      <c r="F931" s="1" t="s">
        <v>60</v>
      </c>
      <c r="G931" s="1" t="s">
        <v>32</v>
      </c>
      <c r="H931" s="1" t="s">
        <v>101</v>
      </c>
      <c r="I931" s="1">
        <v>2</v>
      </c>
      <c r="J931" s="1">
        <v>8.6199999999999992</v>
      </c>
      <c r="K931" s="1">
        <v>15</v>
      </c>
      <c r="L931" s="1">
        <v>14.65</v>
      </c>
      <c r="M931" s="1">
        <v>10.07</v>
      </c>
      <c r="N931" s="1">
        <v>-3.18</v>
      </c>
      <c r="O931" s="6" t="s">
        <v>34</v>
      </c>
      <c r="P931" s="8">
        <f>Table1[Quantity]*Table1[Unit_Price]</f>
        <v>17.239999999999998</v>
      </c>
      <c r="Q931" s="1">
        <f>Table1[Profit]/Table1[Total_Sales]</f>
        <v>-0.21706484641638227</v>
      </c>
      <c r="R931" s="14">
        <f>Table1[Total_Sales]+Table1[Shipping_Cost]</f>
        <v>24.72</v>
      </c>
    </row>
    <row r="932" spans="1:18" x14ac:dyDescent="0.35">
      <c r="A932" s="3" t="s">
        <v>1834</v>
      </c>
      <c r="B932" s="2">
        <v>45445</v>
      </c>
      <c r="C932" s="1" t="s">
        <v>1835</v>
      </c>
      <c r="D932" s="1" t="s">
        <v>49</v>
      </c>
      <c r="E932" s="1" t="s">
        <v>135</v>
      </c>
      <c r="F932" s="1" t="s">
        <v>26</v>
      </c>
      <c r="G932" s="1" t="s">
        <v>42</v>
      </c>
      <c r="H932" s="1" t="s">
        <v>118</v>
      </c>
      <c r="I932" s="1">
        <v>7</v>
      </c>
      <c r="J932" s="1">
        <v>77.63</v>
      </c>
      <c r="K932" s="1">
        <v>15</v>
      </c>
      <c r="L932" s="1">
        <v>461.9</v>
      </c>
      <c r="M932" s="1">
        <v>11.64</v>
      </c>
      <c r="N932" s="1">
        <v>124.21</v>
      </c>
      <c r="O932" s="6" t="s">
        <v>34</v>
      </c>
      <c r="P932" s="8">
        <f>Table1[Quantity]*Table1[Unit_Price]</f>
        <v>543.41</v>
      </c>
      <c r="Q932" s="1">
        <f>Table1[Profit]/Table1[Total_Sales]</f>
        <v>0.26891101970123404</v>
      </c>
      <c r="R932" s="14">
        <f>Table1[Total_Sales]+Table1[Shipping_Cost]</f>
        <v>473.53999999999996</v>
      </c>
    </row>
    <row r="933" spans="1:18" x14ac:dyDescent="0.35">
      <c r="A933" s="3" t="s">
        <v>1836</v>
      </c>
      <c r="B933" s="2">
        <v>45446</v>
      </c>
      <c r="C933" s="1" t="s">
        <v>1837</v>
      </c>
      <c r="D933" s="1" t="s">
        <v>30</v>
      </c>
      <c r="E933" s="1" t="s">
        <v>166</v>
      </c>
      <c r="F933" s="1" t="s">
        <v>60</v>
      </c>
      <c r="G933" s="1" t="s">
        <v>32</v>
      </c>
      <c r="H933" s="1" t="s">
        <v>101</v>
      </c>
      <c r="I933" s="1">
        <v>2</v>
      </c>
      <c r="J933" s="1">
        <v>18.62</v>
      </c>
      <c r="K933" s="1">
        <v>10</v>
      </c>
      <c r="L933" s="1">
        <v>33.520000000000003</v>
      </c>
      <c r="M933" s="1">
        <v>12.51</v>
      </c>
      <c r="N933" s="1">
        <v>4.25</v>
      </c>
      <c r="O933" s="6" t="s">
        <v>56</v>
      </c>
      <c r="P933" s="8">
        <f>Table1[Quantity]*Table1[Unit_Price]</f>
        <v>37.24</v>
      </c>
      <c r="Q933" s="1">
        <f>Table1[Profit]/Table1[Total_Sales]</f>
        <v>0.12678997613365153</v>
      </c>
      <c r="R933" s="14">
        <f>Table1[Total_Sales]+Table1[Shipping_Cost]</f>
        <v>46.03</v>
      </c>
    </row>
    <row r="934" spans="1:18" x14ac:dyDescent="0.35">
      <c r="A934" s="3" t="s">
        <v>1838</v>
      </c>
      <c r="B934" s="2">
        <v>45446</v>
      </c>
      <c r="C934" s="1" t="s">
        <v>1839</v>
      </c>
      <c r="D934" s="1" t="s">
        <v>49</v>
      </c>
      <c r="E934" s="1" t="s">
        <v>85</v>
      </c>
      <c r="F934" s="1" t="s">
        <v>60</v>
      </c>
      <c r="G934" s="1" t="s">
        <v>42</v>
      </c>
      <c r="H934" s="1" t="s">
        <v>43</v>
      </c>
      <c r="I934" s="1">
        <v>2</v>
      </c>
      <c r="J934" s="1">
        <v>205.48</v>
      </c>
      <c r="K934" s="1">
        <v>5</v>
      </c>
      <c r="L934" s="1">
        <v>390.41</v>
      </c>
      <c r="M934" s="1">
        <v>12.79</v>
      </c>
      <c r="N934" s="1">
        <v>131.04</v>
      </c>
      <c r="O934" s="6" t="s">
        <v>34</v>
      </c>
      <c r="P934" s="8">
        <f>Table1[Quantity]*Table1[Unit_Price]</f>
        <v>410.96</v>
      </c>
      <c r="Q934" s="1">
        <f>Table1[Profit]/Table1[Total_Sales]</f>
        <v>0.33564714018595831</v>
      </c>
      <c r="R934" s="14">
        <f>Table1[Total_Sales]+Table1[Shipping_Cost]</f>
        <v>403.20000000000005</v>
      </c>
    </row>
    <row r="935" spans="1:18" x14ac:dyDescent="0.35">
      <c r="A935" s="3" t="s">
        <v>1840</v>
      </c>
      <c r="B935" s="2">
        <v>45447</v>
      </c>
      <c r="C935" s="1" t="s">
        <v>425</v>
      </c>
      <c r="D935" s="1" t="s">
        <v>30</v>
      </c>
      <c r="E935" s="1" t="s">
        <v>18</v>
      </c>
      <c r="F935" s="1" t="s">
        <v>19</v>
      </c>
      <c r="G935" s="1" t="s">
        <v>42</v>
      </c>
      <c r="H935" s="1" t="s">
        <v>43</v>
      </c>
      <c r="I935" s="1">
        <v>2</v>
      </c>
      <c r="J935" s="1">
        <v>212.46</v>
      </c>
      <c r="K935" s="1">
        <v>5</v>
      </c>
      <c r="L935" s="1">
        <v>403.67</v>
      </c>
      <c r="M935" s="1">
        <v>8.24</v>
      </c>
      <c r="N935" s="1">
        <v>140.47999999999999</v>
      </c>
      <c r="O935" s="6" t="s">
        <v>22</v>
      </c>
      <c r="P935" s="8">
        <f>Table1[Quantity]*Table1[Unit_Price]</f>
        <v>424.92</v>
      </c>
      <c r="Q935" s="1">
        <f>Table1[Profit]/Table1[Total_Sales]</f>
        <v>0.34800703544974854</v>
      </c>
      <c r="R935" s="14">
        <f>Table1[Total_Sales]+Table1[Shipping_Cost]</f>
        <v>411.91</v>
      </c>
    </row>
    <row r="936" spans="1:18" x14ac:dyDescent="0.35">
      <c r="A936" s="3" t="s">
        <v>1841</v>
      </c>
      <c r="B936" s="2">
        <v>45447</v>
      </c>
      <c r="C936" s="1" t="s">
        <v>1842</v>
      </c>
      <c r="D936" s="1" t="s">
        <v>30</v>
      </c>
      <c r="E936" s="1" t="s">
        <v>31</v>
      </c>
      <c r="F936" s="1" t="s">
        <v>19</v>
      </c>
      <c r="G936" s="1" t="s">
        <v>42</v>
      </c>
      <c r="H936" s="1" t="s">
        <v>294</v>
      </c>
      <c r="I936" s="1">
        <v>2</v>
      </c>
      <c r="J936" s="1">
        <v>232.65</v>
      </c>
      <c r="K936" s="1">
        <v>0</v>
      </c>
      <c r="L936" s="1">
        <v>465.3</v>
      </c>
      <c r="M936" s="1">
        <v>6.74</v>
      </c>
      <c r="N936" s="1">
        <v>179.38</v>
      </c>
      <c r="O936" s="6" t="s">
        <v>34</v>
      </c>
      <c r="P936" s="8">
        <f>Table1[Quantity]*Table1[Unit_Price]</f>
        <v>465.3</v>
      </c>
      <c r="Q936" s="1">
        <f>Table1[Profit]/Table1[Total_Sales]</f>
        <v>0.38551472168493445</v>
      </c>
      <c r="R936" s="14">
        <f>Table1[Total_Sales]+Table1[Shipping_Cost]</f>
        <v>472.04</v>
      </c>
    </row>
    <row r="937" spans="1:18" x14ac:dyDescent="0.35">
      <c r="A937" s="3" t="s">
        <v>1843</v>
      </c>
      <c r="B937" s="2">
        <v>45448</v>
      </c>
      <c r="C937" s="1" t="s">
        <v>1844</v>
      </c>
      <c r="D937" s="1" t="s">
        <v>49</v>
      </c>
      <c r="E937" s="1" t="s">
        <v>92</v>
      </c>
      <c r="F937" s="1" t="s">
        <v>60</v>
      </c>
      <c r="G937" s="1" t="s">
        <v>69</v>
      </c>
      <c r="H937" s="1" t="s">
        <v>160</v>
      </c>
      <c r="I937" s="1">
        <v>1</v>
      </c>
      <c r="J937" s="1">
        <v>33.979999999999997</v>
      </c>
      <c r="K937" s="1">
        <v>5</v>
      </c>
      <c r="L937" s="1">
        <v>32.28</v>
      </c>
      <c r="M937" s="1">
        <v>9.6300000000000008</v>
      </c>
      <c r="N937" s="1">
        <v>5.66</v>
      </c>
      <c r="O937" s="6" t="s">
        <v>22</v>
      </c>
      <c r="P937" s="8">
        <f>Table1[Quantity]*Table1[Unit_Price]</f>
        <v>33.979999999999997</v>
      </c>
      <c r="Q937" s="1">
        <f>Table1[Profit]/Table1[Total_Sales]</f>
        <v>0.17534076827757125</v>
      </c>
      <c r="R937" s="14">
        <f>Table1[Total_Sales]+Table1[Shipping_Cost]</f>
        <v>41.910000000000004</v>
      </c>
    </row>
    <row r="938" spans="1:18" x14ac:dyDescent="0.35">
      <c r="A938" s="3" t="s">
        <v>1845</v>
      </c>
      <c r="B938" s="2">
        <v>45450</v>
      </c>
      <c r="C938" s="1" t="s">
        <v>1846</v>
      </c>
      <c r="D938" s="1" t="s">
        <v>49</v>
      </c>
      <c r="E938" s="1" t="s">
        <v>121</v>
      </c>
      <c r="F938" s="1" t="s">
        <v>68</v>
      </c>
      <c r="G938" s="1" t="s">
        <v>69</v>
      </c>
      <c r="H938" s="1" t="s">
        <v>305</v>
      </c>
      <c r="I938" s="1">
        <v>1</v>
      </c>
      <c r="J938" s="1">
        <v>47.83</v>
      </c>
      <c r="K938" s="1">
        <v>20</v>
      </c>
      <c r="L938" s="1">
        <v>38.26</v>
      </c>
      <c r="M938" s="1">
        <v>10.96</v>
      </c>
      <c r="N938" s="1">
        <v>3.38</v>
      </c>
      <c r="O938" s="6" t="s">
        <v>34</v>
      </c>
      <c r="P938" s="8">
        <f>Table1[Quantity]*Table1[Unit_Price]</f>
        <v>47.83</v>
      </c>
      <c r="Q938" s="1">
        <f>Table1[Profit]/Table1[Total_Sales]</f>
        <v>8.8342916884474654E-2</v>
      </c>
      <c r="R938" s="14">
        <f>Table1[Total_Sales]+Table1[Shipping_Cost]</f>
        <v>49.22</v>
      </c>
    </row>
    <row r="939" spans="1:18" x14ac:dyDescent="0.35">
      <c r="A939" s="3" t="s">
        <v>1847</v>
      </c>
      <c r="B939" s="2">
        <v>45451</v>
      </c>
      <c r="C939" s="1" t="s">
        <v>1848</v>
      </c>
      <c r="D939" s="1" t="s">
        <v>17</v>
      </c>
      <c r="E939" s="1" t="s">
        <v>37</v>
      </c>
      <c r="F939" s="1" t="s">
        <v>26</v>
      </c>
      <c r="G939" s="1" t="s">
        <v>32</v>
      </c>
      <c r="H939" s="1" t="s">
        <v>348</v>
      </c>
      <c r="I939" s="1">
        <v>1</v>
      </c>
      <c r="J939" s="1">
        <v>10.5</v>
      </c>
      <c r="K939" s="1">
        <v>0</v>
      </c>
      <c r="L939" s="1">
        <v>10.5</v>
      </c>
      <c r="M939" s="1">
        <v>8.64</v>
      </c>
      <c r="N939" s="1">
        <v>-2.87</v>
      </c>
      <c r="O939" s="6" t="s">
        <v>34</v>
      </c>
      <c r="P939" s="8">
        <f>Table1[Quantity]*Table1[Unit_Price]</f>
        <v>10.5</v>
      </c>
      <c r="Q939" s="1">
        <f>Table1[Profit]/Table1[Total_Sales]</f>
        <v>-0.27333333333333332</v>
      </c>
      <c r="R939" s="14">
        <f>Table1[Total_Sales]+Table1[Shipping_Cost]</f>
        <v>19.14</v>
      </c>
    </row>
    <row r="940" spans="1:18" x14ac:dyDescent="0.35">
      <c r="A940" s="3" t="s">
        <v>1849</v>
      </c>
      <c r="B940" s="2">
        <v>45452</v>
      </c>
      <c r="C940" s="1" t="s">
        <v>1850</v>
      </c>
      <c r="D940" s="1" t="s">
        <v>49</v>
      </c>
      <c r="E940" s="1" t="s">
        <v>121</v>
      </c>
      <c r="F940" s="1" t="s">
        <v>68</v>
      </c>
      <c r="G940" s="1" t="s">
        <v>42</v>
      </c>
      <c r="H940" s="1" t="s">
        <v>234</v>
      </c>
      <c r="I940" s="1">
        <v>3</v>
      </c>
      <c r="J940" s="1">
        <v>26.36</v>
      </c>
      <c r="K940" s="1">
        <v>15</v>
      </c>
      <c r="L940" s="1">
        <v>67.22</v>
      </c>
      <c r="M940" s="1">
        <v>14.59</v>
      </c>
      <c r="N940" s="1">
        <v>5.18</v>
      </c>
      <c r="O940" s="6" t="s">
        <v>39</v>
      </c>
      <c r="P940" s="8">
        <f>Table1[Quantity]*Table1[Unit_Price]</f>
        <v>79.08</v>
      </c>
      <c r="Q940" s="1">
        <f>Table1[Profit]/Table1[Total_Sales]</f>
        <v>7.7060398690865811E-2</v>
      </c>
      <c r="R940" s="14">
        <f>Table1[Total_Sales]+Table1[Shipping_Cost]</f>
        <v>81.81</v>
      </c>
    </row>
    <row r="941" spans="1:18" x14ac:dyDescent="0.35">
      <c r="A941" s="3" t="s">
        <v>1851</v>
      </c>
      <c r="B941" s="2">
        <v>45452</v>
      </c>
      <c r="C941" s="1" t="s">
        <v>1852</v>
      </c>
      <c r="D941" s="1" t="s">
        <v>30</v>
      </c>
      <c r="E941" s="1" t="s">
        <v>129</v>
      </c>
      <c r="F941" s="1" t="s">
        <v>19</v>
      </c>
      <c r="G941" s="1" t="s">
        <v>69</v>
      </c>
      <c r="H941" s="1" t="s">
        <v>163</v>
      </c>
      <c r="I941" s="1">
        <v>3</v>
      </c>
      <c r="J941" s="1">
        <v>63.86</v>
      </c>
      <c r="K941" s="1">
        <v>5</v>
      </c>
      <c r="L941" s="1">
        <v>182</v>
      </c>
      <c r="M941" s="1">
        <v>10.77</v>
      </c>
      <c r="N941" s="1">
        <v>75.44</v>
      </c>
      <c r="O941" s="6" t="s">
        <v>39</v>
      </c>
      <c r="P941" s="8">
        <f>Table1[Quantity]*Table1[Unit_Price]</f>
        <v>191.57999999999998</v>
      </c>
      <c r="Q941" s="1">
        <f>Table1[Profit]/Table1[Total_Sales]</f>
        <v>0.41450549450549451</v>
      </c>
      <c r="R941" s="14">
        <f>Table1[Total_Sales]+Table1[Shipping_Cost]</f>
        <v>192.77</v>
      </c>
    </row>
    <row r="942" spans="1:18" x14ac:dyDescent="0.35">
      <c r="A942" s="3" t="s">
        <v>1853</v>
      </c>
      <c r="B942" s="2">
        <v>45452</v>
      </c>
      <c r="C942" s="1" t="s">
        <v>162</v>
      </c>
      <c r="D942" s="1" t="s">
        <v>30</v>
      </c>
      <c r="E942" s="1" t="s">
        <v>18</v>
      </c>
      <c r="F942" s="1" t="s">
        <v>19</v>
      </c>
      <c r="G942" s="1" t="s">
        <v>69</v>
      </c>
      <c r="H942" s="1" t="s">
        <v>139</v>
      </c>
      <c r="I942" s="1">
        <v>3</v>
      </c>
      <c r="J942" s="1">
        <v>29.47</v>
      </c>
      <c r="K942" s="1">
        <v>10</v>
      </c>
      <c r="L942" s="1">
        <v>79.569999999999993</v>
      </c>
      <c r="M942" s="1">
        <v>12.1</v>
      </c>
      <c r="N942" s="1">
        <v>23.26</v>
      </c>
      <c r="O942" s="6" t="s">
        <v>34</v>
      </c>
      <c r="P942" s="8">
        <f>Table1[Quantity]*Table1[Unit_Price]</f>
        <v>88.41</v>
      </c>
      <c r="Q942" s="1">
        <f>Table1[Profit]/Table1[Total_Sales]</f>
        <v>0.29232122659293708</v>
      </c>
      <c r="R942" s="14">
        <f>Table1[Total_Sales]+Table1[Shipping_Cost]</f>
        <v>91.669999999999987</v>
      </c>
    </row>
    <row r="943" spans="1:18" x14ac:dyDescent="0.35">
      <c r="A943" s="3" t="s">
        <v>1854</v>
      </c>
      <c r="B943" s="2">
        <v>45453</v>
      </c>
      <c r="C943" s="1" t="s">
        <v>1855</v>
      </c>
      <c r="D943" s="1" t="s">
        <v>30</v>
      </c>
      <c r="E943" s="1" t="s">
        <v>18</v>
      </c>
      <c r="F943" s="1" t="s">
        <v>19</v>
      </c>
      <c r="G943" s="1" t="s">
        <v>69</v>
      </c>
      <c r="H943" s="1" t="s">
        <v>163</v>
      </c>
      <c r="I943" s="1">
        <v>1</v>
      </c>
      <c r="J943" s="1">
        <v>26.54</v>
      </c>
      <c r="K943" s="1">
        <v>5</v>
      </c>
      <c r="L943" s="1">
        <v>25.21</v>
      </c>
      <c r="M943" s="1">
        <v>6.91</v>
      </c>
      <c r="N943" s="1">
        <v>5.03</v>
      </c>
      <c r="O943" s="6" t="s">
        <v>22</v>
      </c>
      <c r="P943" s="8">
        <f>Table1[Quantity]*Table1[Unit_Price]</f>
        <v>26.54</v>
      </c>
      <c r="Q943" s="1">
        <f>Table1[Profit]/Table1[Total_Sales]</f>
        <v>0.19952399841332805</v>
      </c>
      <c r="R943" s="14">
        <f>Table1[Total_Sales]+Table1[Shipping_Cost]</f>
        <v>32.120000000000005</v>
      </c>
    </row>
    <row r="944" spans="1:18" x14ac:dyDescent="0.35">
      <c r="A944" s="3" t="s">
        <v>1856</v>
      </c>
      <c r="B944" s="2">
        <v>45455</v>
      </c>
      <c r="C944" s="1" t="s">
        <v>1857</v>
      </c>
      <c r="D944" s="1" t="s">
        <v>30</v>
      </c>
      <c r="E944" s="1" t="s">
        <v>92</v>
      </c>
      <c r="F944" s="1" t="s">
        <v>60</v>
      </c>
      <c r="G944" s="1" t="s">
        <v>69</v>
      </c>
      <c r="H944" s="1" t="s">
        <v>98</v>
      </c>
      <c r="I944" s="1">
        <v>5</v>
      </c>
      <c r="J944" s="1">
        <v>49.62</v>
      </c>
      <c r="K944" s="1">
        <v>10</v>
      </c>
      <c r="L944" s="1">
        <v>223.29</v>
      </c>
      <c r="M944" s="1">
        <v>20.46</v>
      </c>
      <c r="N944" s="1">
        <v>78.78</v>
      </c>
      <c r="O944" s="6" t="s">
        <v>22</v>
      </c>
      <c r="P944" s="8">
        <f>Table1[Quantity]*Table1[Unit_Price]</f>
        <v>248.1</v>
      </c>
      <c r="Q944" s="1">
        <f>Table1[Profit]/Table1[Total_Sales]</f>
        <v>0.35281472524519686</v>
      </c>
      <c r="R944" s="14">
        <f>Table1[Total_Sales]+Table1[Shipping_Cost]</f>
        <v>243.75</v>
      </c>
    </row>
    <row r="945" spans="1:18" x14ac:dyDescent="0.35">
      <c r="A945" s="3" t="s">
        <v>1858</v>
      </c>
      <c r="B945" s="2">
        <v>45455</v>
      </c>
      <c r="C945" s="1" t="s">
        <v>1311</v>
      </c>
      <c r="D945" s="1" t="s">
        <v>30</v>
      </c>
      <c r="E945" s="1" t="s">
        <v>67</v>
      </c>
      <c r="F945" s="1" t="s">
        <v>68</v>
      </c>
      <c r="G945" s="1" t="s">
        <v>20</v>
      </c>
      <c r="H945" s="1" t="s">
        <v>175</v>
      </c>
      <c r="I945" s="1">
        <v>3</v>
      </c>
      <c r="J945" s="1">
        <v>44.11</v>
      </c>
      <c r="K945" s="1">
        <v>0</v>
      </c>
      <c r="L945" s="1">
        <v>132.33000000000001</v>
      </c>
      <c r="M945" s="1">
        <v>13.19</v>
      </c>
      <c r="N945" s="1">
        <v>46.36</v>
      </c>
      <c r="O945" s="6" t="s">
        <v>34</v>
      </c>
      <c r="P945" s="8">
        <f>Table1[Quantity]*Table1[Unit_Price]</f>
        <v>132.32999999999998</v>
      </c>
      <c r="Q945" s="1">
        <f>Table1[Profit]/Table1[Total_Sales]</f>
        <v>0.35033628051084409</v>
      </c>
      <c r="R945" s="14">
        <f>Table1[Total_Sales]+Table1[Shipping_Cost]</f>
        <v>145.52000000000001</v>
      </c>
    </row>
    <row r="946" spans="1:18" x14ac:dyDescent="0.35">
      <c r="A946" s="3" t="s">
        <v>1859</v>
      </c>
      <c r="B946" s="2">
        <v>45455</v>
      </c>
      <c r="C946" s="1" t="s">
        <v>1860</v>
      </c>
      <c r="D946" s="1" t="s">
        <v>17</v>
      </c>
      <c r="E946" s="1" t="s">
        <v>59</v>
      </c>
      <c r="F946" s="1" t="s">
        <v>60</v>
      </c>
      <c r="G946" s="1" t="s">
        <v>20</v>
      </c>
      <c r="H946" s="1" t="s">
        <v>264</v>
      </c>
      <c r="I946" s="1">
        <v>4</v>
      </c>
      <c r="J946" s="1">
        <v>65.92</v>
      </c>
      <c r="K946" s="1">
        <v>15</v>
      </c>
      <c r="L946" s="1">
        <v>224.13</v>
      </c>
      <c r="M946" s="1">
        <v>12.79</v>
      </c>
      <c r="N946" s="1">
        <v>66.319999999999993</v>
      </c>
      <c r="O946" s="6" t="s">
        <v>39</v>
      </c>
      <c r="P946" s="8">
        <f>Table1[Quantity]*Table1[Unit_Price]</f>
        <v>263.68</v>
      </c>
      <c r="Q946" s="1">
        <f>Table1[Profit]/Table1[Total_Sales]</f>
        <v>0.29589970106634539</v>
      </c>
      <c r="R946" s="14">
        <f>Table1[Total_Sales]+Table1[Shipping_Cost]</f>
        <v>236.92</v>
      </c>
    </row>
    <row r="947" spans="1:18" x14ac:dyDescent="0.35">
      <c r="A947" s="3" t="s">
        <v>1861</v>
      </c>
      <c r="B947" s="2">
        <v>45457</v>
      </c>
      <c r="C947" s="1" t="s">
        <v>942</v>
      </c>
      <c r="D947" s="1" t="s">
        <v>17</v>
      </c>
      <c r="E947" s="1" t="s">
        <v>138</v>
      </c>
      <c r="F947" s="1" t="s">
        <v>54</v>
      </c>
      <c r="G947" s="1" t="s">
        <v>20</v>
      </c>
      <c r="H947" s="1" t="s">
        <v>199</v>
      </c>
      <c r="I947" s="1">
        <v>2</v>
      </c>
      <c r="J947" s="1">
        <v>187.45</v>
      </c>
      <c r="K947" s="1">
        <v>15</v>
      </c>
      <c r="L947" s="1">
        <v>318.66000000000003</v>
      </c>
      <c r="M947" s="1">
        <v>15.26</v>
      </c>
      <c r="N947" s="1">
        <v>97.21</v>
      </c>
      <c r="O947" s="6" t="s">
        <v>22</v>
      </c>
      <c r="P947" s="8">
        <f>Table1[Quantity]*Table1[Unit_Price]</f>
        <v>374.9</v>
      </c>
      <c r="Q947" s="1">
        <f>Table1[Profit]/Table1[Total_Sales]</f>
        <v>0.3050586832360509</v>
      </c>
      <c r="R947" s="14">
        <f>Table1[Total_Sales]+Table1[Shipping_Cost]</f>
        <v>333.92</v>
      </c>
    </row>
    <row r="948" spans="1:18" x14ac:dyDescent="0.35">
      <c r="A948" s="3" t="s">
        <v>1862</v>
      </c>
      <c r="B948" s="2">
        <v>45458</v>
      </c>
      <c r="C948" s="1" t="s">
        <v>1863</v>
      </c>
      <c r="D948" s="1" t="s">
        <v>49</v>
      </c>
      <c r="E948" s="1" t="s">
        <v>18</v>
      </c>
      <c r="F948" s="1" t="s">
        <v>19</v>
      </c>
      <c r="G948" s="1" t="s">
        <v>69</v>
      </c>
      <c r="H948" s="1" t="s">
        <v>163</v>
      </c>
      <c r="I948" s="1">
        <v>1</v>
      </c>
      <c r="J948" s="1">
        <v>41.69</v>
      </c>
      <c r="K948" s="1">
        <v>5</v>
      </c>
      <c r="L948" s="1">
        <v>39.61</v>
      </c>
      <c r="M948" s="1">
        <v>5.53</v>
      </c>
      <c r="N948" s="1">
        <v>13.23</v>
      </c>
      <c r="O948" s="6" t="s">
        <v>39</v>
      </c>
      <c r="P948" s="8">
        <f>Table1[Quantity]*Table1[Unit_Price]</f>
        <v>41.69</v>
      </c>
      <c r="Q948" s="1">
        <f>Table1[Profit]/Table1[Total_Sales]</f>
        <v>0.33400656399899015</v>
      </c>
      <c r="R948" s="14">
        <f>Table1[Total_Sales]+Table1[Shipping_Cost]</f>
        <v>45.14</v>
      </c>
    </row>
    <row r="949" spans="1:18" x14ac:dyDescent="0.35">
      <c r="A949" s="3" t="s">
        <v>1864</v>
      </c>
      <c r="B949" s="2">
        <v>45458</v>
      </c>
      <c r="C949" s="1" t="s">
        <v>1865</v>
      </c>
      <c r="D949" s="1" t="s">
        <v>49</v>
      </c>
      <c r="E949" s="1" t="s">
        <v>129</v>
      </c>
      <c r="F949" s="1" t="s">
        <v>19</v>
      </c>
      <c r="G949" s="1" t="s">
        <v>32</v>
      </c>
      <c r="H949" s="1" t="s">
        <v>73</v>
      </c>
      <c r="I949" s="1">
        <v>2</v>
      </c>
      <c r="J949" s="1">
        <v>3.65</v>
      </c>
      <c r="K949" s="1">
        <v>5</v>
      </c>
      <c r="L949" s="1">
        <v>6.93</v>
      </c>
      <c r="M949" s="1">
        <v>9.09</v>
      </c>
      <c r="N949" s="1">
        <v>-5.45</v>
      </c>
      <c r="O949" s="6" t="s">
        <v>39</v>
      </c>
      <c r="P949" s="8">
        <f>Table1[Quantity]*Table1[Unit_Price]</f>
        <v>7.3</v>
      </c>
      <c r="Q949" s="1">
        <f>Table1[Profit]/Table1[Total_Sales]</f>
        <v>-0.78643578643578649</v>
      </c>
      <c r="R949" s="14">
        <f>Table1[Total_Sales]+Table1[Shipping_Cost]</f>
        <v>16.02</v>
      </c>
    </row>
    <row r="950" spans="1:18" x14ac:dyDescent="0.35">
      <c r="A950" s="3" t="s">
        <v>1866</v>
      </c>
      <c r="B950" s="2">
        <v>45458</v>
      </c>
      <c r="C950" s="1" t="s">
        <v>825</v>
      </c>
      <c r="D950" s="1" t="s">
        <v>17</v>
      </c>
      <c r="E950" s="1" t="s">
        <v>31</v>
      </c>
      <c r="F950" s="1" t="s">
        <v>19</v>
      </c>
      <c r="G950" s="1" t="s">
        <v>20</v>
      </c>
      <c r="H950" s="1" t="s">
        <v>199</v>
      </c>
      <c r="I950" s="1">
        <v>5</v>
      </c>
      <c r="J950" s="1">
        <v>190.99</v>
      </c>
      <c r="K950" s="1">
        <v>5</v>
      </c>
      <c r="L950" s="1">
        <v>907.2</v>
      </c>
      <c r="M950" s="1">
        <v>14.34</v>
      </c>
      <c r="N950" s="1">
        <v>367.64</v>
      </c>
      <c r="O950" s="6" t="s">
        <v>56</v>
      </c>
      <c r="P950" s="8">
        <f>Table1[Quantity]*Table1[Unit_Price]</f>
        <v>954.95</v>
      </c>
      <c r="Q950" s="1">
        <f>Table1[Profit]/Table1[Total_Sales]</f>
        <v>0.40524691358024689</v>
      </c>
      <c r="R950" s="14">
        <f>Table1[Total_Sales]+Table1[Shipping_Cost]</f>
        <v>921.54000000000008</v>
      </c>
    </row>
    <row r="951" spans="1:18" x14ac:dyDescent="0.35">
      <c r="A951" s="3" t="s">
        <v>1867</v>
      </c>
      <c r="B951" s="2">
        <v>45459</v>
      </c>
      <c r="C951" s="1" t="s">
        <v>1868</v>
      </c>
      <c r="D951" s="1" t="s">
        <v>30</v>
      </c>
      <c r="E951" s="1" t="s">
        <v>37</v>
      </c>
      <c r="F951" s="1" t="s">
        <v>26</v>
      </c>
      <c r="G951" s="1" t="s">
        <v>42</v>
      </c>
      <c r="H951" s="1" t="s">
        <v>118</v>
      </c>
      <c r="I951" s="1">
        <v>2</v>
      </c>
      <c r="J951" s="1">
        <v>50.55</v>
      </c>
      <c r="K951" s="1">
        <v>0</v>
      </c>
      <c r="L951" s="1">
        <v>101.1</v>
      </c>
      <c r="M951" s="1">
        <v>11.26</v>
      </c>
      <c r="N951" s="1">
        <v>29.18</v>
      </c>
      <c r="O951" s="6" t="s">
        <v>39</v>
      </c>
      <c r="P951" s="8">
        <f>Table1[Quantity]*Table1[Unit_Price]</f>
        <v>101.1</v>
      </c>
      <c r="Q951" s="1">
        <f>Table1[Profit]/Table1[Total_Sales]</f>
        <v>0.28862512363996046</v>
      </c>
      <c r="R951" s="14">
        <f>Table1[Total_Sales]+Table1[Shipping_Cost]</f>
        <v>112.36</v>
      </c>
    </row>
    <row r="952" spans="1:18" x14ac:dyDescent="0.35">
      <c r="A952" s="3" t="s">
        <v>1869</v>
      </c>
      <c r="B952" s="2">
        <v>45461</v>
      </c>
      <c r="C952" s="1" t="s">
        <v>1870</v>
      </c>
      <c r="D952" s="1" t="s">
        <v>17</v>
      </c>
      <c r="E952" s="1" t="s">
        <v>129</v>
      </c>
      <c r="F952" s="1" t="s">
        <v>19</v>
      </c>
      <c r="G952" s="1" t="s">
        <v>69</v>
      </c>
      <c r="H952" s="1" t="s">
        <v>305</v>
      </c>
      <c r="I952" s="1">
        <v>5</v>
      </c>
      <c r="J952" s="1">
        <v>61.44</v>
      </c>
      <c r="K952" s="1">
        <v>5</v>
      </c>
      <c r="L952" s="1">
        <v>291.83999999999997</v>
      </c>
      <c r="M952" s="1">
        <v>10.220000000000001</v>
      </c>
      <c r="N952" s="1">
        <v>128.02000000000001</v>
      </c>
      <c r="O952" s="6" t="s">
        <v>34</v>
      </c>
      <c r="P952" s="8">
        <f>Table1[Quantity]*Table1[Unit_Price]</f>
        <v>307.2</v>
      </c>
      <c r="Q952" s="1">
        <f>Table1[Profit]/Table1[Total_Sales]</f>
        <v>0.43866502192982465</v>
      </c>
      <c r="R952" s="14">
        <f>Table1[Total_Sales]+Table1[Shipping_Cost]</f>
        <v>302.06</v>
      </c>
    </row>
    <row r="953" spans="1:18" x14ac:dyDescent="0.35">
      <c r="A953" s="3" t="s">
        <v>1871</v>
      </c>
      <c r="B953" s="2">
        <v>45461</v>
      </c>
      <c r="C953" s="1" t="s">
        <v>1872</v>
      </c>
      <c r="D953" s="1" t="s">
        <v>17</v>
      </c>
      <c r="E953" s="1" t="s">
        <v>121</v>
      </c>
      <c r="F953" s="1" t="s">
        <v>68</v>
      </c>
      <c r="G953" s="1" t="s">
        <v>42</v>
      </c>
      <c r="H953" s="1" t="s">
        <v>46</v>
      </c>
      <c r="I953" s="1">
        <v>6</v>
      </c>
      <c r="J953" s="1">
        <v>84.46</v>
      </c>
      <c r="K953" s="1">
        <v>10</v>
      </c>
      <c r="L953" s="1">
        <v>456.08</v>
      </c>
      <c r="M953" s="1">
        <v>22.68</v>
      </c>
      <c r="N953" s="1">
        <v>129.34</v>
      </c>
      <c r="O953" s="6" t="s">
        <v>34</v>
      </c>
      <c r="P953" s="8">
        <f>Table1[Quantity]*Table1[Unit_Price]</f>
        <v>506.76</v>
      </c>
      <c r="Q953" s="1">
        <f>Table1[Profit]/Table1[Total_Sales]</f>
        <v>0.28359059814067711</v>
      </c>
      <c r="R953" s="14">
        <f>Table1[Total_Sales]+Table1[Shipping_Cost]</f>
        <v>478.76</v>
      </c>
    </row>
    <row r="954" spans="1:18" x14ac:dyDescent="0.35">
      <c r="A954" s="3" t="s">
        <v>1873</v>
      </c>
      <c r="B954" s="2">
        <v>45461</v>
      </c>
      <c r="C954" s="1" t="s">
        <v>1874</v>
      </c>
      <c r="D954" s="1" t="s">
        <v>17</v>
      </c>
      <c r="E954" s="1" t="s">
        <v>129</v>
      </c>
      <c r="F954" s="1" t="s">
        <v>19</v>
      </c>
      <c r="G954" s="1" t="s">
        <v>20</v>
      </c>
      <c r="H954" s="1" t="s">
        <v>55</v>
      </c>
      <c r="I954" s="1">
        <v>4</v>
      </c>
      <c r="J954" s="1">
        <v>53.44</v>
      </c>
      <c r="K954" s="1">
        <v>10</v>
      </c>
      <c r="L954" s="1">
        <v>192.38</v>
      </c>
      <c r="M954" s="1">
        <v>10.74</v>
      </c>
      <c r="N954" s="1">
        <v>64.069999999999993</v>
      </c>
      <c r="O954" s="6" t="s">
        <v>34</v>
      </c>
      <c r="P954" s="8">
        <f>Table1[Quantity]*Table1[Unit_Price]</f>
        <v>213.76</v>
      </c>
      <c r="Q954" s="1">
        <f>Table1[Profit]/Table1[Total_Sales]</f>
        <v>0.33303877741969018</v>
      </c>
      <c r="R954" s="14">
        <f>Table1[Total_Sales]+Table1[Shipping_Cost]</f>
        <v>203.12</v>
      </c>
    </row>
    <row r="955" spans="1:18" x14ac:dyDescent="0.35">
      <c r="A955" s="3" t="s">
        <v>1875</v>
      </c>
      <c r="B955" s="2">
        <v>45462</v>
      </c>
      <c r="C955" s="1" t="s">
        <v>1876</v>
      </c>
      <c r="D955" s="1" t="s">
        <v>30</v>
      </c>
      <c r="E955" s="1" t="s">
        <v>31</v>
      </c>
      <c r="F955" s="1" t="s">
        <v>19</v>
      </c>
      <c r="G955" s="1" t="s">
        <v>69</v>
      </c>
      <c r="H955" s="1" t="s">
        <v>305</v>
      </c>
      <c r="I955" s="1">
        <v>2</v>
      </c>
      <c r="J955" s="1">
        <v>39.409999999999997</v>
      </c>
      <c r="K955" s="1">
        <v>5</v>
      </c>
      <c r="L955" s="1">
        <v>74.88</v>
      </c>
      <c r="M955" s="1">
        <v>8.06</v>
      </c>
      <c r="N955" s="1">
        <v>27.41</v>
      </c>
      <c r="O955" s="6" t="s">
        <v>39</v>
      </c>
      <c r="P955" s="8">
        <f>Table1[Quantity]*Table1[Unit_Price]</f>
        <v>78.819999999999993</v>
      </c>
      <c r="Q955" s="1">
        <f>Table1[Profit]/Table1[Total_Sales]</f>
        <v>0.36605235042735046</v>
      </c>
      <c r="R955" s="14">
        <f>Table1[Total_Sales]+Table1[Shipping_Cost]</f>
        <v>82.94</v>
      </c>
    </row>
    <row r="956" spans="1:18" x14ac:dyDescent="0.35">
      <c r="A956" s="3" t="s">
        <v>1877</v>
      </c>
      <c r="B956" s="2">
        <v>45462</v>
      </c>
      <c r="C956" s="1" t="s">
        <v>1878</v>
      </c>
      <c r="D956" s="1" t="s">
        <v>30</v>
      </c>
      <c r="E956" s="1" t="s">
        <v>121</v>
      </c>
      <c r="F956" s="1" t="s">
        <v>68</v>
      </c>
      <c r="G956" s="1" t="s">
        <v>20</v>
      </c>
      <c r="H956" s="1" t="s">
        <v>21</v>
      </c>
      <c r="I956" s="1">
        <v>1</v>
      </c>
      <c r="J956" s="1">
        <v>214.3</v>
      </c>
      <c r="K956" s="1">
        <v>5</v>
      </c>
      <c r="L956" s="1">
        <v>203.59</v>
      </c>
      <c r="M956" s="1">
        <v>11.22</v>
      </c>
      <c r="N956" s="1">
        <v>74.5</v>
      </c>
      <c r="O956" s="6" t="s">
        <v>34</v>
      </c>
      <c r="P956" s="8">
        <f>Table1[Quantity]*Table1[Unit_Price]</f>
        <v>214.3</v>
      </c>
      <c r="Q956" s="1">
        <f>Table1[Profit]/Table1[Total_Sales]</f>
        <v>0.36593152905348986</v>
      </c>
      <c r="R956" s="14">
        <f>Table1[Total_Sales]+Table1[Shipping_Cost]</f>
        <v>214.81</v>
      </c>
    </row>
    <row r="957" spans="1:18" x14ac:dyDescent="0.35">
      <c r="A957" s="3" t="s">
        <v>1879</v>
      </c>
      <c r="B957" s="2">
        <v>45463</v>
      </c>
      <c r="C957" s="1" t="s">
        <v>1880</v>
      </c>
      <c r="D957" s="1" t="s">
        <v>30</v>
      </c>
      <c r="E957" s="1" t="s">
        <v>129</v>
      </c>
      <c r="F957" s="1" t="s">
        <v>19</v>
      </c>
      <c r="G957" s="1" t="s">
        <v>20</v>
      </c>
      <c r="H957" s="1" t="s">
        <v>122</v>
      </c>
      <c r="I957" s="1">
        <v>6</v>
      </c>
      <c r="J957" s="1">
        <v>88.33</v>
      </c>
      <c r="K957" s="1">
        <v>5</v>
      </c>
      <c r="L957" s="1">
        <v>503.48</v>
      </c>
      <c r="M957" s="1">
        <v>13.32</v>
      </c>
      <c r="N957" s="1">
        <v>198.67</v>
      </c>
      <c r="O957" s="6" t="s">
        <v>39</v>
      </c>
      <c r="P957" s="8">
        <f>Table1[Quantity]*Table1[Unit_Price]</f>
        <v>529.98</v>
      </c>
      <c r="Q957" s="1">
        <f>Table1[Profit]/Table1[Total_Sales]</f>
        <v>0.39459362834670686</v>
      </c>
      <c r="R957" s="14">
        <f>Table1[Total_Sales]+Table1[Shipping_Cost]</f>
        <v>516.80000000000007</v>
      </c>
    </row>
    <row r="958" spans="1:18" x14ac:dyDescent="0.35">
      <c r="A958" s="3" t="s">
        <v>1881</v>
      </c>
      <c r="B958" s="2">
        <v>45463</v>
      </c>
      <c r="C958" s="1" t="s">
        <v>1882</v>
      </c>
      <c r="D958" s="1" t="s">
        <v>17</v>
      </c>
      <c r="E958" s="1" t="s">
        <v>129</v>
      </c>
      <c r="F958" s="1" t="s">
        <v>19</v>
      </c>
      <c r="G958" s="1" t="s">
        <v>69</v>
      </c>
      <c r="H958" s="1" t="s">
        <v>139</v>
      </c>
      <c r="I958" s="1">
        <v>2</v>
      </c>
      <c r="J958" s="1">
        <v>73.45</v>
      </c>
      <c r="K958" s="1">
        <v>5</v>
      </c>
      <c r="L958" s="1">
        <v>139.56</v>
      </c>
      <c r="M958" s="1">
        <v>6.29</v>
      </c>
      <c r="N958" s="1">
        <v>59.82</v>
      </c>
      <c r="O958" s="6" t="s">
        <v>22</v>
      </c>
      <c r="P958" s="8">
        <f>Table1[Quantity]*Table1[Unit_Price]</f>
        <v>146.9</v>
      </c>
      <c r="Q958" s="1">
        <f>Table1[Profit]/Table1[Total_Sales]</f>
        <v>0.42863284608770419</v>
      </c>
      <c r="R958" s="14">
        <f>Table1[Total_Sales]+Table1[Shipping_Cost]</f>
        <v>145.85</v>
      </c>
    </row>
    <row r="959" spans="1:18" x14ac:dyDescent="0.35">
      <c r="A959" s="3" t="s">
        <v>1883</v>
      </c>
      <c r="B959" s="2">
        <v>45464</v>
      </c>
      <c r="C959" s="1" t="s">
        <v>1884</v>
      </c>
      <c r="D959" s="1" t="s">
        <v>49</v>
      </c>
      <c r="E959" s="1" t="s">
        <v>166</v>
      </c>
      <c r="F959" s="1" t="s">
        <v>60</v>
      </c>
      <c r="G959" s="1" t="s">
        <v>69</v>
      </c>
      <c r="H959" s="1" t="s">
        <v>79</v>
      </c>
      <c r="I959" s="1">
        <v>1</v>
      </c>
      <c r="J959" s="1">
        <v>47.32</v>
      </c>
      <c r="K959" s="1">
        <v>10</v>
      </c>
      <c r="L959" s="1">
        <v>42.59</v>
      </c>
      <c r="M959" s="1">
        <v>10.74</v>
      </c>
      <c r="N959" s="1">
        <v>8.19</v>
      </c>
      <c r="O959" s="6" t="s">
        <v>22</v>
      </c>
      <c r="P959" s="8">
        <f>Table1[Quantity]*Table1[Unit_Price]</f>
        <v>47.32</v>
      </c>
      <c r="Q959" s="1">
        <f>Table1[Profit]/Table1[Total_Sales]</f>
        <v>0.1922986616576661</v>
      </c>
      <c r="R959" s="14">
        <f>Table1[Total_Sales]+Table1[Shipping_Cost]</f>
        <v>53.330000000000005</v>
      </c>
    </row>
    <row r="960" spans="1:18" x14ac:dyDescent="0.35">
      <c r="A960" s="3" t="s">
        <v>1885</v>
      </c>
      <c r="B960" s="2">
        <v>45464</v>
      </c>
      <c r="C960" s="1" t="s">
        <v>1886</v>
      </c>
      <c r="D960" s="1" t="s">
        <v>49</v>
      </c>
      <c r="E960" s="1" t="s">
        <v>53</v>
      </c>
      <c r="F960" s="1" t="s">
        <v>54</v>
      </c>
      <c r="G960" s="1" t="s">
        <v>69</v>
      </c>
      <c r="H960" s="1" t="s">
        <v>163</v>
      </c>
      <c r="I960" s="1">
        <v>2</v>
      </c>
      <c r="J960" s="1">
        <v>34.14</v>
      </c>
      <c r="K960" s="1">
        <v>5</v>
      </c>
      <c r="L960" s="1">
        <v>64.87</v>
      </c>
      <c r="M960" s="1">
        <v>13.94</v>
      </c>
      <c r="N960" s="1">
        <v>16.79</v>
      </c>
      <c r="O960" s="6" t="s">
        <v>39</v>
      </c>
      <c r="P960" s="8">
        <f>Table1[Quantity]*Table1[Unit_Price]</f>
        <v>68.28</v>
      </c>
      <c r="Q960" s="1">
        <f>Table1[Profit]/Table1[Total_Sales]</f>
        <v>0.25882534299367965</v>
      </c>
      <c r="R960" s="14">
        <f>Table1[Total_Sales]+Table1[Shipping_Cost]</f>
        <v>78.81</v>
      </c>
    </row>
    <row r="961" spans="1:18" x14ac:dyDescent="0.35">
      <c r="A961" s="3" t="s">
        <v>1887</v>
      </c>
      <c r="B961" s="2">
        <v>45465</v>
      </c>
      <c r="C961" s="1" t="s">
        <v>1888</v>
      </c>
      <c r="D961" s="1" t="s">
        <v>17</v>
      </c>
      <c r="E961" s="1" t="s">
        <v>25</v>
      </c>
      <c r="F961" s="1" t="s">
        <v>26</v>
      </c>
      <c r="G961" s="1" t="s">
        <v>42</v>
      </c>
      <c r="H961" s="1" t="s">
        <v>46</v>
      </c>
      <c r="I961" s="1">
        <v>1</v>
      </c>
      <c r="J961" s="1">
        <v>141.5</v>
      </c>
      <c r="K961" s="1">
        <v>0</v>
      </c>
      <c r="L961" s="1">
        <v>141.5</v>
      </c>
      <c r="M961" s="1">
        <v>7.9</v>
      </c>
      <c r="N961" s="1">
        <v>48.7</v>
      </c>
      <c r="O961" s="6" t="s">
        <v>34</v>
      </c>
      <c r="P961" s="8">
        <f>Table1[Quantity]*Table1[Unit_Price]</f>
        <v>141.5</v>
      </c>
      <c r="Q961" s="1">
        <f>Table1[Profit]/Table1[Total_Sales]</f>
        <v>0.34416961130742052</v>
      </c>
      <c r="R961" s="14">
        <f>Table1[Total_Sales]+Table1[Shipping_Cost]</f>
        <v>149.4</v>
      </c>
    </row>
    <row r="962" spans="1:18" x14ac:dyDescent="0.35">
      <c r="A962" s="3" t="s">
        <v>1889</v>
      </c>
      <c r="B962" s="2">
        <v>45466</v>
      </c>
      <c r="C962" s="1" t="s">
        <v>1445</v>
      </c>
      <c r="D962" s="1" t="s">
        <v>30</v>
      </c>
      <c r="E962" s="1" t="s">
        <v>166</v>
      </c>
      <c r="F962" s="1" t="s">
        <v>60</v>
      </c>
      <c r="G962" s="1" t="s">
        <v>42</v>
      </c>
      <c r="H962" s="1" t="s">
        <v>255</v>
      </c>
      <c r="I962" s="1">
        <v>9</v>
      </c>
      <c r="J962" s="1">
        <v>55.5</v>
      </c>
      <c r="K962" s="1">
        <v>5</v>
      </c>
      <c r="L962" s="1">
        <v>474.52</v>
      </c>
      <c r="M962" s="1">
        <v>19.93</v>
      </c>
      <c r="N962" s="1">
        <v>154.88999999999999</v>
      </c>
      <c r="O962" s="6" t="s">
        <v>22</v>
      </c>
      <c r="P962" s="8">
        <f>Table1[Quantity]*Table1[Unit_Price]</f>
        <v>499.5</v>
      </c>
      <c r="Q962" s="1">
        <f>Table1[Profit]/Table1[Total_Sales]</f>
        <v>0.32641406052431932</v>
      </c>
      <c r="R962" s="14">
        <f>Table1[Total_Sales]+Table1[Shipping_Cost]</f>
        <v>494.45</v>
      </c>
    </row>
    <row r="963" spans="1:18" x14ac:dyDescent="0.35">
      <c r="A963" s="3" t="s">
        <v>1890</v>
      </c>
      <c r="B963" s="2">
        <v>45466</v>
      </c>
      <c r="C963" s="1" t="s">
        <v>1891</v>
      </c>
      <c r="D963" s="1" t="s">
        <v>30</v>
      </c>
      <c r="E963" s="1" t="s">
        <v>25</v>
      </c>
      <c r="F963" s="1" t="s">
        <v>26</v>
      </c>
      <c r="G963" s="1" t="s">
        <v>32</v>
      </c>
      <c r="H963" s="1" t="s">
        <v>348</v>
      </c>
      <c r="I963" s="1">
        <v>3</v>
      </c>
      <c r="J963" s="1">
        <v>8.11</v>
      </c>
      <c r="K963" s="1">
        <v>15</v>
      </c>
      <c r="L963" s="1">
        <v>20.68</v>
      </c>
      <c r="M963" s="1">
        <v>14.26</v>
      </c>
      <c r="N963" s="1">
        <v>-4.53</v>
      </c>
      <c r="O963" s="6" t="s">
        <v>39</v>
      </c>
      <c r="P963" s="8">
        <f>Table1[Quantity]*Table1[Unit_Price]</f>
        <v>24.33</v>
      </c>
      <c r="Q963" s="1">
        <f>Table1[Profit]/Table1[Total_Sales]</f>
        <v>-0.21905222437137331</v>
      </c>
      <c r="R963" s="14">
        <f>Table1[Total_Sales]+Table1[Shipping_Cost]</f>
        <v>34.94</v>
      </c>
    </row>
    <row r="964" spans="1:18" x14ac:dyDescent="0.35">
      <c r="A964" s="3" t="s">
        <v>1892</v>
      </c>
      <c r="B964" s="2">
        <v>45467</v>
      </c>
      <c r="C964" s="1" t="s">
        <v>1470</v>
      </c>
      <c r="D964" s="1" t="s">
        <v>30</v>
      </c>
      <c r="E964" s="1" t="s">
        <v>121</v>
      </c>
      <c r="F964" s="1" t="s">
        <v>68</v>
      </c>
      <c r="G964" s="1" t="s">
        <v>42</v>
      </c>
      <c r="H964" s="1" t="s">
        <v>43</v>
      </c>
      <c r="I964" s="1">
        <v>7</v>
      </c>
      <c r="J964" s="1">
        <v>303.29000000000002</v>
      </c>
      <c r="K964" s="1">
        <v>15</v>
      </c>
      <c r="L964" s="1">
        <v>1804.58</v>
      </c>
      <c r="M964" s="1">
        <v>18.54</v>
      </c>
      <c r="N964" s="1">
        <v>512.22</v>
      </c>
      <c r="O964" s="6" t="s">
        <v>39</v>
      </c>
      <c r="P964" s="8">
        <f>Table1[Quantity]*Table1[Unit_Price]</f>
        <v>2123.0300000000002</v>
      </c>
      <c r="Q964" s="1">
        <f>Table1[Profit]/Table1[Total_Sales]</f>
        <v>0.28384444025756689</v>
      </c>
      <c r="R964" s="14">
        <f>Table1[Total_Sales]+Table1[Shipping_Cost]</f>
        <v>1823.12</v>
      </c>
    </row>
    <row r="965" spans="1:18" x14ac:dyDescent="0.35">
      <c r="A965" s="3" t="s">
        <v>1893</v>
      </c>
      <c r="B965" s="2">
        <v>45467</v>
      </c>
      <c r="C965" s="1" t="s">
        <v>1894</v>
      </c>
      <c r="D965" s="1" t="s">
        <v>17</v>
      </c>
      <c r="E965" s="1" t="s">
        <v>63</v>
      </c>
      <c r="F965" s="1" t="s">
        <v>54</v>
      </c>
      <c r="G965" s="1" t="s">
        <v>20</v>
      </c>
      <c r="H965" s="1" t="s">
        <v>38</v>
      </c>
      <c r="I965" s="1">
        <v>1</v>
      </c>
      <c r="J965" s="1">
        <v>68.39</v>
      </c>
      <c r="K965" s="1">
        <v>20</v>
      </c>
      <c r="L965" s="1">
        <v>54.71</v>
      </c>
      <c r="M965" s="1">
        <v>12.38</v>
      </c>
      <c r="N965" s="1">
        <v>4.72</v>
      </c>
      <c r="O965" s="6" t="s">
        <v>56</v>
      </c>
      <c r="P965" s="8">
        <f>Table1[Quantity]*Table1[Unit_Price]</f>
        <v>68.39</v>
      </c>
      <c r="Q965" s="1">
        <f>Table1[Profit]/Table1[Total_Sales]</f>
        <v>8.6273076220069453E-2</v>
      </c>
      <c r="R965" s="14">
        <f>Table1[Total_Sales]+Table1[Shipping_Cost]</f>
        <v>67.09</v>
      </c>
    </row>
    <row r="966" spans="1:18" x14ac:dyDescent="0.35">
      <c r="A966" s="3" t="s">
        <v>1895</v>
      </c>
      <c r="B966" s="2">
        <v>45467</v>
      </c>
      <c r="C966" s="1" t="s">
        <v>952</v>
      </c>
      <c r="D966" s="1" t="s">
        <v>30</v>
      </c>
      <c r="E966" s="1" t="s">
        <v>59</v>
      </c>
      <c r="F966" s="1" t="s">
        <v>60</v>
      </c>
      <c r="G966" s="1" t="s">
        <v>32</v>
      </c>
      <c r="H966" s="1" t="s">
        <v>33</v>
      </c>
      <c r="I966" s="1">
        <v>2</v>
      </c>
      <c r="J966" s="1">
        <v>9.7200000000000006</v>
      </c>
      <c r="K966" s="1">
        <v>10</v>
      </c>
      <c r="L966" s="1">
        <v>17.5</v>
      </c>
      <c r="M966" s="1">
        <v>12.92</v>
      </c>
      <c r="N966" s="1">
        <v>-4.17</v>
      </c>
      <c r="O966" s="6" t="s">
        <v>39</v>
      </c>
      <c r="P966" s="8">
        <f>Table1[Quantity]*Table1[Unit_Price]</f>
        <v>19.440000000000001</v>
      </c>
      <c r="Q966" s="1">
        <f>Table1[Profit]/Table1[Total_Sales]</f>
        <v>-0.2382857142857143</v>
      </c>
      <c r="R966" s="14">
        <f>Table1[Total_Sales]+Table1[Shipping_Cost]</f>
        <v>30.42</v>
      </c>
    </row>
    <row r="967" spans="1:18" x14ac:dyDescent="0.35">
      <c r="A967" s="3" t="s">
        <v>1896</v>
      </c>
      <c r="B967" s="2">
        <v>45468</v>
      </c>
      <c r="C967" s="1" t="s">
        <v>708</v>
      </c>
      <c r="D967" s="1" t="s">
        <v>49</v>
      </c>
      <c r="E967" s="1" t="s">
        <v>248</v>
      </c>
      <c r="F967" s="1" t="s">
        <v>26</v>
      </c>
      <c r="G967" s="1" t="s">
        <v>32</v>
      </c>
      <c r="H967" s="1" t="s">
        <v>110</v>
      </c>
      <c r="I967" s="1">
        <v>2</v>
      </c>
      <c r="J967" s="1">
        <v>14.53</v>
      </c>
      <c r="K967" s="1">
        <v>5</v>
      </c>
      <c r="L967" s="1">
        <v>27.61</v>
      </c>
      <c r="M967" s="1">
        <v>11.77</v>
      </c>
      <c r="N967" s="1">
        <v>2.76</v>
      </c>
      <c r="O967" s="6" t="s">
        <v>22</v>
      </c>
      <c r="P967" s="8">
        <f>Table1[Quantity]*Table1[Unit_Price]</f>
        <v>29.06</v>
      </c>
      <c r="Q967" s="1">
        <f>Table1[Profit]/Table1[Total_Sales]</f>
        <v>9.9963781238681632E-2</v>
      </c>
      <c r="R967" s="14">
        <f>Table1[Total_Sales]+Table1[Shipping_Cost]</f>
        <v>39.379999999999995</v>
      </c>
    </row>
    <row r="968" spans="1:18" x14ac:dyDescent="0.35">
      <c r="A968" s="3" t="s">
        <v>1897</v>
      </c>
      <c r="B968" s="2">
        <v>45469</v>
      </c>
      <c r="C968" s="1" t="s">
        <v>1126</v>
      </c>
      <c r="D968" s="1" t="s">
        <v>17</v>
      </c>
      <c r="E968" s="1" t="s">
        <v>169</v>
      </c>
      <c r="F968" s="1" t="s">
        <v>68</v>
      </c>
      <c r="G968" s="1" t="s">
        <v>42</v>
      </c>
      <c r="H968" s="1" t="s">
        <v>64</v>
      </c>
      <c r="I968" s="1">
        <v>1</v>
      </c>
      <c r="J968" s="1">
        <v>78.08</v>
      </c>
      <c r="K968" s="1">
        <v>10</v>
      </c>
      <c r="L968" s="1">
        <v>70.27</v>
      </c>
      <c r="M968" s="1">
        <v>11.96</v>
      </c>
      <c r="N968" s="1">
        <v>11.46</v>
      </c>
      <c r="O968" s="6" t="s">
        <v>34</v>
      </c>
      <c r="P968" s="8">
        <f>Table1[Quantity]*Table1[Unit_Price]</f>
        <v>78.08</v>
      </c>
      <c r="Q968" s="1">
        <f>Table1[Profit]/Table1[Total_Sales]</f>
        <v>0.16308524263554863</v>
      </c>
      <c r="R968" s="14">
        <f>Table1[Total_Sales]+Table1[Shipping_Cost]</f>
        <v>82.22999999999999</v>
      </c>
    </row>
    <row r="969" spans="1:18" x14ac:dyDescent="0.35">
      <c r="A969" s="3" t="s">
        <v>1898</v>
      </c>
      <c r="B969" s="2">
        <v>45469</v>
      </c>
      <c r="C969" s="1" t="s">
        <v>1899</v>
      </c>
      <c r="D969" s="1" t="s">
        <v>49</v>
      </c>
      <c r="E969" s="1" t="s">
        <v>31</v>
      </c>
      <c r="F969" s="1" t="s">
        <v>19</v>
      </c>
      <c r="G969" s="1" t="s">
        <v>32</v>
      </c>
      <c r="H969" s="1" t="s">
        <v>132</v>
      </c>
      <c r="I969" s="1">
        <v>5</v>
      </c>
      <c r="J969" s="1">
        <v>9.5399999999999991</v>
      </c>
      <c r="K969" s="1">
        <v>0</v>
      </c>
      <c r="L969" s="1">
        <v>47.7</v>
      </c>
      <c r="M969" s="1">
        <v>11.65</v>
      </c>
      <c r="N969" s="1">
        <v>14.59</v>
      </c>
      <c r="O969" s="6" t="s">
        <v>34</v>
      </c>
      <c r="P969" s="8">
        <f>Table1[Quantity]*Table1[Unit_Price]</f>
        <v>47.699999999999996</v>
      </c>
      <c r="Q969" s="1">
        <f>Table1[Profit]/Table1[Total_Sales]</f>
        <v>0.30587002096436056</v>
      </c>
      <c r="R969" s="14">
        <f>Table1[Total_Sales]+Table1[Shipping_Cost]</f>
        <v>59.35</v>
      </c>
    </row>
    <row r="970" spans="1:18" x14ac:dyDescent="0.35">
      <c r="A970" s="3" t="s">
        <v>1900</v>
      </c>
      <c r="B970" s="2">
        <v>45471</v>
      </c>
      <c r="C970" s="1" t="s">
        <v>1901</v>
      </c>
      <c r="D970" s="1" t="s">
        <v>30</v>
      </c>
      <c r="E970" s="1" t="s">
        <v>248</v>
      </c>
      <c r="F970" s="1" t="s">
        <v>26</v>
      </c>
      <c r="G970" s="1" t="s">
        <v>42</v>
      </c>
      <c r="H970" s="1" t="s">
        <v>294</v>
      </c>
      <c r="I970" s="1">
        <v>3</v>
      </c>
      <c r="J970" s="1">
        <v>122.5</v>
      </c>
      <c r="K970" s="1">
        <v>0</v>
      </c>
      <c r="L970" s="1">
        <v>367.5</v>
      </c>
      <c r="M970" s="1">
        <v>9.35</v>
      </c>
      <c r="N970" s="1">
        <v>137.65</v>
      </c>
      <c r="O970" s="6" t="s">
        <v>34</v>
      </c>
      <c r="P970" s="8">
        <f>Table1[Quantity]*Table1[Unit_Price]</f>
        <v>367.5</v>
      </c>
      <c r="Q970" s="1">
        <f>Table1[Profit]/Table1[Total_Sales]</f>
        <v>0.37455782312925173</v>
      </c>
      <c r="R970" s="14">
        <f>Table1[Total_Sales]+Table1[Shipping_Cost]</f>
        <v>376.85</v>
      </c>
    </row>
    <row r="971" spans="1:18" x14ac:dyDescent="0.35">
      <c r="A971" s="3" t="s">
        <v>1902</v>
      </c>
      <c r="B971" s="2">
        <v>45471</v>
      </c>
      <c r="C971" s="1" t="s">
        <v>1903</v>
      </c>
      <c r="D971" s="1" t="s">
        <v>30</v>
      </c>
      <c r="E971" s="1" t="s">
        <v>85</v>
      </c>
      <c r="F971" s="1" t="s">
        <v>60</v>
      </c>
      <c r="G971" s="1" t="s">
        <v>42</v>
      </c>
      <c r="H971" s="1" t="s">
        <v>234</v>
      </c>
      <c r="I971" s="1">
        <v>2</v>
      </c>
      <c r="J971" s="1">
        <v>33.340000000000003</v>
      </c>
      <c r="K971" s="1">
        <v>0</v>
      </c>
      <c r="L971" s="1">
        <v>66.680000000000007</v>
      </c>
      <c r="M971" s="1">
        <v>11.35</v>
      </c>
      <c r="N971" s="1">
        <v>15.32</v>
      </c>
      <c r="O971" s="6" t="s">
        <v>34</v>
      </c>
      <c r="P971" s="8">
        <f>Table1[Quantity]*Table1[Unit_Price]</f>
        <v>66.680000000000007</v>
      </c>
      <c r="Q971" s="1">
        <f>Table1[Profit]/Table1[Total_Sales]</f>
        <v>0.22975404919016196</v>
      </c>
      <c r="R971" s="14">
        <f>Table1[Total_Sales]+Table1[Shipping_Cost]</f>
        <v>78.03</v>
      </c>
    </row>
    <row r="972" spans="1:18" x14ac:dyDescent="0.35">
      <c r="A972" s="3" t="s">
        <v>1904</v>
      </c>
      <c r="B972" s="2">
        <v>45472</v>
      </c>
      <c r="C972" s="1" t="s">
        <v>1905</v>
      </c>
      <c r="D972" s="1" t="s">
        <v>30</v>
      </c>
      <c r="E972" s="1" t="s">
        <v>31</v>
      </c>
      <c r="F972" s="1" t="s">
        <v>19</v>
      </c>
      <c r="G972" s="1" t="s">
        <v>32</v>
      </c>
      <c r="H972" s="1" t="s">
        <v>33</v>
      </c>
      <c r="I972" s="1">
        <v>8</v>
      </c>
      <c r="J972" s="1">
        <v>14.05</v>
      </c>
      <c r="K972" s="1">
        <v>0</v>
      </c>
      <c r="L972" s="1">
        <v>112.4</v>
      </c>
      <c r="M972" s="1">
        <v>18.760000000000002</v>
      </c>
      <c r="N972" s="1">
        <v>43.06</v>
      </c>
      <c r="O972" s="6" t="s">
        <v>39</v>
      </c>
      <c r="P972" s="8">
        <f>Table1[Quantity]*Table1[Unit_Price]</f>
        <v>112.4</v>
      </c>
      <c r="Q972" s="1">
        <f>Table1[Profit]/Table1[Total_Sales]</f>
        <v>0.38309608540925266</v>
      </c>
      <c r="R972" s="14">
        <f>Table1[Total_Sales]+Table1[Shipping_Cost]</f>
        <v>131.16</v>
      </c>
    </row>
    <row r="973" spans="1:18" x14ac:dyDescent="0.35">
      <c r="A973" s="3" t="s">
        <v>1906</v>
      </c>
      <c r="B973" s="2">
        <v>45473</v>
      </c>
      <c r="C973" s="1" t="s">
        <v>1907</v>
      </c>
      <c r="D973" s="1" t="s">
        <v>17</v>
      </c>
      <c r="E973" s="1" t="s">
        <v>25</v>
      </c>
      <c r="F973" s="1" t="s">
        <v>26</v>
      </c>
      <c r="G973" s="1" t="s">
        <v>69</v>
      </c>
      <c r="H973" s="1" t="s">
        <v>305</v>
      </c>
      <c r="I973" s="1">
        <v>3</v>
      </c>
      <c r="J973" s="1">
        <v>22.89</v>
      </c>
      <c r="K973" s="1">
        <v>20</v>
      </c>
      <c r="L973" s="1">
        <v>54.94</v>
      </c>
      <c r="M973" s="1">
        <v>11.77</v>
      </c>
      <c r="N973" s="1">
        <v>8.83</v>
      </c>
      <c r="O973" s="6" t="s">
        <v>34</v>
      </c>
      <c r="P973" s="8">
        <f>Table1[Quantity]*Table1[Unit_Price]</f>
        <v>68.67</v>
      </c>
      <c r="Q973" s="1">
        <f>Table1[Profit]/Table1[Total_Sales]</f>
        <v>0.16072078631234074</v>
      </c>
      <c r="R973" s="14">
        <f>Table1[Total_Sales]+Table1[Shipping_Cost]</f>
        <v>66.709999999999994</v>
      </c>
    </row>
    <row r="974" spans="1:18" x14ac:dyDescent="0.35">
      <c r="A974" s="3" t="s">
        <v>1908</v>
      </c>
      <c r="B974" s="2">
        <v>45473</v>
      </c>
      <c r="C974" s="1" t="s">
        <v>1909</v>
      </c>
      <c r="D974" s="1" t="s">
        <v>30</v>
      </c>
      <c r="E974" s="1" t="s">
        <v>31</v>
      </c>
      <c r="F974" s="1" t="s">
        <v>19</v>
      </c>
      <c r="G974" s="1" t="s">
        <v>69</v>
      </c>
      <c r="H974" s="1" t="s">
        <v>98</v>
      </c>
      <c r="I974" s="1">
        <v>1</v>
      </c>
      <c r="J974" s="1">
        <v>52.83</v>
      </c>
      <c r="K974" s="1">
        <v>10</v>
      </c>
      <c r="L974" s="1">
        <v>47.55</v>
      </c>
      <c r="M974" s="1">
        <v>6.13</v>
      </c>
      <c r="N974" s="1">
        <v>15</v>
      </c>
      <c r="O974" s="6" t="s">
        <v>34</v>
      </c>
      <c r="P974" s="8">
        <f>Table1[Quantity]*Table1[Unit_Price]</f>
        <v>52.83</v>
      </c>
      <c r="Q974" s="1">
        <f>Table1[Profit]/Table1[Total_Sales]</f>
        <v>0.31545741324921139</v>
      </c>
      <c r="R974" s="14">
        <f>Table1[Total_Sales]+Table1[Shipping_Cost]</f>
        <v>53.68</v>
      </c>
    </row>
    <row r="975" spans="1:18" x14ac:dyDescent="0.35">
      <c r="A975" s="3" t="s">
        <v>1910</v>
      </c>
      <c r="B975" s="2">
        <v>45474</v>
      </c>
      <c r="C975" s="1" t="s">
        <v>1911</v>
      </c>
      <c r="D975" s="1" t="s">
        <v>17</v>
      </c>
      <c r="E975" s="1" t="s">
        <v>248</v>
      </c>
      <c r="F975" s="1" t="s">
        <v>26</v>
      </c>
      <c r="G975" s="1" t="s">
        <v>20</v>
      </c>
      <c r="H975" s="1" t="s">
        <v>264</v>
      </c>
      <c r="I975" s="1">
        <v>2</v>
      </c>
      <c r="J975" s="1">
        <v>28.41</v>
      </c>
      <c r="K975" s="1">
        <v>10</v>
      </c>
      <c r="L975" s="1">
        <v>51.14</v>
      </c>
      <c r="M975" s="1">
        <v>9.34</v>
      </c>
      <c r="N975" s="1">
        <v>10.55</v>
      </c>
      <c r="O975" s="6" t="s">
        <v>34</v>
      </c>
      <c r="P975" s="8">
        <f>Table1[Quantity]*Table1[Unit_Price]</f>
        <v>56.82</v>
      </c>
      <c r="Q975" s="1">
        <f>Table1[Profit]/Table1[Total_Sales]</f>
        <v>0.20629644114196324</v>
      </c>
      <c r="R975" s="14">
        <f>Table1[Total_Sales]+Table1[Shipping_Cost]</f>
        <v>60.480000000000004</v>
      </c>
    </row>
    <row r="976" spans="1:18" x14ac:dyDescent="0.35">
      <c r="A976" s="3" t="s">
        <v>1912</v>
      </c>
      <c r="B976" s="2">
        <v>45474</v>
      </c>
      <c r="C976" s="1" t="s">
        <v>1913</v>
      </c>
      <c r="D976" s="1" t="s">
        <v>30</v>
      </c>
      <c r="E976" s="1" t="s">
        <v>37</v>
      </c>
      <c r="F976" s="1" t="s">
        <v>26</v>
      </c>
      <c r="G976" s="1" t="s">
        <v>69</v>
      </c>
      <c r="H976" s="1" t="s">
        <v>196</v>
      </c>
      <c r="I976" s="1">
        <v>1</v>
      </c>
      <c r="J976" s="1">
        <v>23.88</v>
      </c>
      <c r="K976" s="1">
        <v>5</v>
      </c>
      <c r="L976" s="1">
        <v>22.69</v>
      </c>
      <c r="M976" s="1">
        <v>9.01</v>
      </c>
      <c r="N976" s="1">
        <v>1.74</v>
      </c>
      <c r="O976" s="6" t="s">
        <v>34</v>
      </c>
      <c r="P976" s="8">
        <f>Table1[Quantity]*Table1[Unit_Price]</f>
        <v>23.88</v>
      </c>
      <c r="Q976" s="1">
        <f>Table1[Profit]/Table1[Total_Sales]</f>
        <v>7.6685764654032609E-2</v>
      </c>
      <c r="R976" s="14">
        <f>Table1[Total_Sales]+Table1[Shipping_Cost]</f>
        <v>31.700000000000003</v>
      </c>
    </row>
    <row r="977" spans="1:18" x14ac:dyDescent="0.35">
      <c r="A977" s="3" t="s">
        <v>1914</v>
      </c>
      <c r="B977" s="2">
        <v>45475</v>
      </c>
      <c r="C977" s="1" t="s">
        <v>1915</v>
      </c>
      <c r="D977" s="1" t="s">
        <v>30</v>
      </c>
      <c r="E977" s="1" t="s">
        <v>92</v>
      </c>
      <c r="F977" s="1" t="s">
        <v>60</v>
      </c>
      <c r="G977" s="1" t="s">
        <v>69</v>
      </c>
      <c r="H977" s="1" t="s">
        <v>196</v>
      </c>
      <c r="I977" s="1">
        <v>6</v>
      </c>
      <c r="J977" s="1">
        <v>25.8</v>
      </c>
      <c r="K977" s="1">
        <v>20</v>
      </c>
      <c r="L977" s="1">
        <v>123.84</v>
      </c>
      <c r="M977" s="1">
        <v>23.22</v>
      </c>
      <c r="N977" s="1">
        <v>23.22</v>
      </c>
      <c r="O977" s="6" t="s">
        <v>56</v>
      </c>
      <c r="P977" s="8">
        <f>Table1[Quantity]*Table1[Unit_Price]</f>
        <v>154.80000000000001</v>
      </c>
      <c r="Q977" s="1">
        <f>Table1[Profit]/Table1[Total_Sales]</f>
        <v>0.18749999999999997</v>
      </c>
      <c r="R977" s="14">
        <f>Table1[Total_Sales]+Table1[Shipping_Cost]</f>
        <v>147.06</v>
      </c>
    </row>
    <row r="978" spans="1:18" x14ac:dyDescent="0.35">
      <c r="A978" s="3" t="s">
        <v>1916</v>
      </c>
      <c r="B978" s="2">
        <v>45475</v>
      </c>
      <c r="C978" s="1" t="s">
        <v>473</v>
      </c>
      <c r="D978" s="1" t="s">
        <v>30</v>
      </c>
      <c r="E978" s="1" t="s">
        <v>31</v>
      </c>
      <c r="F978" s="1" t="s">
        <v>19</v>
      </c>
      <c r="G978" s="1" t="s">
        <v>42</v>
      </c>
      <c r="H978" s="1" t="s">
        <v>43</v>
      </c>
      <c r="I978" s="1">
        <v>7</v>
      </c>
      <c r="J978" s="1">
        <v>157.04</v>
      </c>
      <c r="K978" s="1">
        <v>0</v>
      </c>
      <c r="L978" s="1">
        <v>1099.28</v>
      </c>
      <c r="M978" s="1">
        <v>10.119999999999999</v>
      </c>
      <c r="N978" s="1">
        <v>429.59</v>
      </c>
      <c r="O978" s="6" t="s">
        <v>34</v>
      </c>
      <c r="P978" s="8">
        <f>Table1[Quantity]*Table1[Unit_Price]</f>
        <v>1099.28</v>
      </c>
      <c r="Q978" s="1">
        <f>Table1[Profit]/Table1[Total_Sales]</f>
        <v>0.39079215486500252</v>
      </c>
      <c r="R978" s="14">
        <f>Table1[Total_Sales]+Table1[Shipping_Cost]</f>
        <v>1109.3999999999999</v>
      </c>
    </row>
    <row r="979" spans="1:18" x14ac:dyDescent="0.35">
      <c r="A979" s="3" t="s">
        <v>1917</v>
      </c>
      <c r="B979" s="2">
        <v>45476</v>
      </c>
      <c r="C979" s="1" t="s">
        <v>1918</v>
      </c>
      <c r="D979" s="1" t="s">
        <v>30</v>
      </c>
      <c r="E979" s="1" t="s">
        <v>25</v>
      </c>
      <c r="F979" s="1" t="s">
        <v>26</v>
      </c>
      <c r="G979" s="1" t="s">
        <v>32</v>
      </c>
      <c r="H979" s="1" t="s">
        <v>101</v>
      </c>
      <c r="I979" s="1">
        <v>2</v>
      </c>
      <c r="J979" s="1">
        <v>21.15</v>
      </c>
      <c r="K979" s="1">
        <v>0</v>
      </c>
      <c r="L979" s="1">
        <v>42.3</v>
      </c>
      <c r="M979" s="1">
        <v>9.48</v>
      </c>
      <c r="N979" s="1">
        <v>13.78</v>
      </c>
      <c r="O979" s="6" t="s">
        <v>39</v>
      </c>
      <c r="P979" s="8">
        <f>Table1[Quantity]*Table1[Unit_Price]</f>
        <v>42.3</v>
      </c>
      <c r="Q979" s="1">
        <f>Table1[Profit]/Table1[Total_Sales]</f>
        <v>0.32576832151300239</v>
      </c>
      <c r="R979" s="14">
        <f>Table1[Total_Sales]+Table1[Shipping_Cost]</f>
        <v>51.78</v>
      </c>
    </row>
    <row r="980" spans="1:18" x14ac:dyDescent="0.35">
      <c r="A980" s="3" t="s">
        <v>1919</v>
      </c>
      <c r="B980" s="2">
        <v>45476</v>
      </c>
      <c r="C980" s="1" t="s">
        <v>1920</v>
      </c>
      <c r="D980" s="1" t="s">
        <v>17</v>
      </c>
      <c r="E980" s="1" t="s">
        <v>92</v>
      </c>
      <c r="F980" s="1" t="s">
        <v>60</v>
      </c>
      <c r="G980" s="1" t="s">
        <v>32</v>
      </c>
      <c r="H980" s="1" t="s">
        <v>115</v>
      </c>
      <c r="I980" s="1">
        <v>2</v>
      </c>
      <c r="J980" s="1">
        <v>16.71</v>
      </c>
      <c r="K980" s="1">
        <v>10</v>
      </c>
      <c r="L980" s="1">
        <v>30.08</v>
      </c>
      <c r="M980" s="1">
        <v>13.99</v>
      </c>
      <c r="N980" s="1">
        <v>1.05</v>
      </c>
      <c r="O980" s="6" t="s">
        <v>34</v>
      </c>
      <c r="P980" s="8">
        <f>Table1[Quantity]*Table1[Unit_Price]</f>
        <v>33.42</v>
      </c>
      <c r="Q980" s="1">
        <f>Table1[Profit]/Table1[Total_Sales]</f>
        <v>3.4906914893617025E-2</v>
      </c>
      <c r="R980" s="14">
        <f>Table1[Total_Sales]+Table1[Shipping_Cost]</f>
        <v>44.07</v>
      </c>
    </row>
    <row r="981" spans="1:18" x14ac:dyDescent="0.35">
      <c r="A981" s="3" t="s">
        <v>1921</v>
      </c>
      <c r="B981" s="2">
        <v>45477</v>
      </c>
      <c r="C981" s="1" t="s">
        <v>1922</v>
      </c>
      <c r="D981" s="1" t="s">
        <v>30</v>
      </c>
      <c r="E981" s="1" t="s">
        <v>25</v>
      </c>
      <c r="F981" s="1" t="s">
        <v>26</v>
      </c>
      <c r="G981" s="1" t="s">
        <v>32</v>
      </c>
      <c r="H981" s="1" t="s">
        <v>348</v>
      </c>
      <c r="I981" s="1">
        <v>4</v>
      </c>
      <c r="J981" s="1">
        <v>4.42</v>
      </c>
      <c r="K981" s="1">
        <v>5</v>
      </c>
      <c r="L981" s="1">
        <v>16.8</v>
      </c>
      <c r="M981" s="1">
        <v>13.49</v>
      </c>
      <c r="N981" s="1">
        <v>-4.6500000000000004</v>
      </c>
      <c r="O981" s="6" t="s">
        <v>34</v>
      </c>
      <c r="P981" s="8">
        <f>Table1[Quantity]*Table1[Unit_Price]</f>
        <v>17.68</v>
      </c>
      <c r="Q981" s="1">
        <f>Table1[Profit]/Table1[Total_Sales]</f>
        <v>-0.2767857142857143</v>
      </c>
      <c r="R981" s="14">
        <f>Table1[Total_Sales]+Table1[Shipping_Cost]</f>
        <v>30.29</v>
      </c>
    </row>
    <row r="982" spans="1:18" x14ac:dyDescent="0.35">
      <c r="A982" s="3" t="s">
        <v>1923</v>
      </c>
      <c r="B982" s="2">
        <v>45478</v>
      </c>
      <c r="C982" s="1" t="s">
        <v>1924</v>
      </c>
      <c r="D982" s="1" t="s">
        <v>49</v>
      </c>
      <c r="E982" s="1" t="s">
        <v>248</v>
      </c>
      <c r="F982" s="1" t="s">
        <v>26</v>
      </c>
      <c r="G982" s="1" t="s">
        <v>32</v>
      </c>
      <c r="H982" s="1" t="s">
        <v>132</v>
      </c>
      <c r="I982" s="1">
        <v>1</v>
      </c>
      <c r="J982" s="1">
        <v>15.39</v>
      </c>
      <c r="K982" s="1">
        <v>0</v>
      </c>
      <c r="L982" s="1">
        <v>15.39</v>
      </c>
      <c r="M982" s="1">
        <v>9.15</v>
      </c>
      <c r="N982" s="1">
        <v>-0.69</v>
      </c>
      <c r="O982" s="6" t="s">
        <v>56</v>
      </c>
      <c r="P982" s="8">
        <f>Table1[Quantity]*Table1[Unit_Price]</f>
        <v>15.39</v>
      </c>
      <c r="Q982" s="1">
        <f>Table1[Profit]/Table1[Total_Sales]</f>
        <v>-4.4834307992202727E-2</v>
      </c>
      <c r="R982" s="14">
        <f>Table1[Total_Sales]+Table1[Shipping_Cost]</f>
        <v>24.54</v>
      </c>
    </row>
    <row r="983" spans="1:18" x14ac:dyDescent="0.35">
      <c r="A983" s="3" t="s">
        <v>1925</v>
      </c>
      <c r="B983" s="2">
        <v>45478</v>
      </c>
      <c r="C983" s="1" t="s">
        <v>1926</v>
      </c>
      <c r="D983" s="1" t="s">
        <v>30</v>
      </c>
      <c r="E983" s="1" t="s">
        <v>18</v>
      </c>
      <c r="F983" s="1" t="s">
        <v>19</v>
      </c>
      <c r="G983" s="1" t="s">
        <v>32</v>
      </c>
      <c r="H983" s="1" t="s">
        <v>82</v>
      </c>
      <c r="I983" s="1">
        <v>5</v>
      </c>
      <c r="J983" s="1">
        <v>8.34</v>
      </c>
      <c r="K983" s="1">
        <v>15</v>
      </c>
      <c r="L983" s="1">
        <v>35.450000000000003</v>
      </c>
      <c r="M983" s="1">
        <v>7.59</v>
      </c>
      <c r="N983" s="1">
        <v>9.1</v>
      </c>
      <c r="O983" s="6" t="s">
        <v>22</v>
      </c>
      <c r="P983" s="8">
        <f>Table1[Quantity]*Table1[Unit_Price]</f>
        <v>41.7</v>
      </c>
      <c r="Q983" s="1">
        <f>Table1[Profit]/Table1[Total_Sales]</f>
        <v>0.25669957686882933</v>
      </c>
      <c r="R983" s="14">
        <f>Table1[Total_Sales]+Table1[Shipping_Cost]</f>
        <v>43.040000000000006</v>
      </c>
    </row>
    <row r="984" spans="1:18" x14ac:dyDescent="0.35">
      <c r="A984" s="3" t="s">
        <v>1927</v>
      </c>
      <c r="B984" s="2">
        <v>45478</v>
      </c>
      <c r="C984" s="1" t="s">
        <v>1928</v>
      </c>
      <c r="D984" s="1" t="s">
        <v>17</v>
      </c>
      <c r="E984" s="1" t="s">
        <v>76</v>
      </c>
      <c r="F984" s="1" t="s">
        <v>26</v>
      </c>
      <c r="G984" s="1" t="s">
        <v>20</v>
      </c>
      <c r="H984" s="1" t="s">
        <v>264</v>
      </c>
      <c r="I984" s="1">
        <v>1</v>
      </c>
      <c r="J984" s="1">
        <v>47.66</v>
      </c>
      <c r="K984" s="1">
        <v>0</v>
      </c>
      <c r="L984" s="1">
        <v>47.66</v>
      </c>
      <c r="M984" s="1">
        <v>8.77</v>
      </c>
      <c r="N984" s="1">
        <v>12.68</v>
      </c>
      <c r="O984" s="6" t="s">
        <v>22</v>
      </c>
      <c r="P984" s="8">
        <f>Table1[Quantity]*Table1[Unit_Price]</f>
        <v>47.66</v>
      </c>
      <c r="Q984" s="1">
        <f>Table1[Profit]/Table1[Total_Sales]</f>
        <v>0.26605119597146454</v>
      </c>
      <c r="R984" s="14">
        <f>Table1[Total_Sales]+Table1[Shipping_Cost]</f>
        <v>56.429999999999993</v>
      </c>
    </row>
    <row r="985" spans="1:18" x14ac:dyDescent="0.35">
      <c r="A985" s="3" t="s">
        <v>1929</v>
      </c>
      <c r="B985" s="2">
        <v>45478</v>
      </c>
      <c r="C985" s="1" t="s">
        <v>1930</v>
      </c>
      <c r="D985" s="1" t="s">
        <v>30</v>
      </c>
      <c r="E985" s="1" t="s">
        <v>135</v>
      </c>
      <c r="F985" s="1" t="s">
        <v>26</v>
      </c>
      <c r="G985" s="1" t="s">
        <v>20</v>
      </c>
      <c r="H985" s="1" t="s">
        <v>264</v>
      </c>
      <c r="I985" s="1">
        <v>2</v>
      </c>
      <c r="J985" s="1">
        <v>52.81</v>
      </c>
      <c r="K985" s="1">
        <v>0</v>
      </c>
      <c r="L985" s="1">
        <v>105.62</v>
      </c>
      <c r="M985" s="1">
        <v>10.99</v>
      </c>
      <c r="N985" s="1">
        <v>36.54</v>
      </c>
      <c r="O985" s="6" t="s">
        <v>34</v>
      </c>
      <c r="P985" s="8">
        <f>Table1[Quantity]*Table1[Unit_Price]</f>
        <v>105.62</v>
      </c>
      <c r="Q985" s="1">
        <f>Table1[Profit]/Table1[Total_Sales]</f>
        <v>0.34595720507479644</v>
      </c>
      <c r="R985" s="14">
        <f>Table1[Total_Sales]+Table1[Shipping_Cost]</f>
        <v>116.61</v>
      </c>
    </row>
    <row r="986" spans="1:18" x14ac:dyDescent="0.35">
      <c r="A986" s="3" t="s">
        <v>1931</v>
      </c>
      <c r="B986" s="2">
        <v>45478</v>
      </c>
      <c r="C986" s="1" t="s">
        <v>919</v>
      </c>
      <c r="D986" s="1" t="s">
        <v>17</v>
      </c>
      <c r="E986" s="1" t="s">
        <v>18</v>
      </c>
      <c r="F986" s="1" t="s">
        <v>19</v>
      </c>
      <c r="G986" s="1" t="s">
        <v>42</v>
      </c>
      <c r="H986" s="1" t="s">
        <v>255</v>
      </c>
      <c r="I986" s="1">
        <v>1</v>
      </c>
      <c r="J986" s="1">
        <v>31.63</v>
      </c>
      <c r="K986" s="1">
        <v>5</v>
      </c>
      <c r="L986" s="1">
        <v>30.05</v>
      </c>
      <c r="M986" s="1">
        <v>5.84</v>
      </c>
      <c r="N986" s="1">
        <v>5.23</v>
      </c>
      <c r="O986" s="6" t="s">
        <v>39</v>
      </c>
      <c r="P986" s="8">
        <f>Table1[Quantity]*Table1[Unit_Price]</f>
        <v>31.63</v>
      </c>
      <c r="Q986" s="1">
        <f>Table1[Profit]/Table1[Total_Sales]</f>
        <v>0.17404326123128122</v>
      </c>
      <c r="R986" s="14">
        <f>Table1[Total_Sales]+Table1[Shipping_Cost]</f>
        <v>35.89</v>
      </c>
    </row>
    <row r="987" spans="1:18" x14ac:dyDescent="0.35">
      <c r="A987" s="3" t="s">
        <v>1932</v>
      </c>
      <c r="B987" s="2">
        <v>45479</v>
      </c>
      <c r="C987" s="1" t="s">
        <v>1933</v>
      </c>
      <c r="D987" s="1" t="s">
        <v>30</v>
      </c>
      <c r="E987" s="1" t="s">
        <v>31</v>
      </c>
      <c r="F987" s="1" t="s">
        <v>19</v>
      </c>
      <c r="G987" s="1" t="s">
        <v>32</v>
      </c>
      <c r="H987" s="1" t="s">
        <v>115</v>
      </c>
      <c r="I987" s="1">
        <v>7</v>
      </c>
      <c r="J987" s="1">
        <v>11.86</v>
      </c>
      <c r="K987" s="1">
        <v>5</v>
      </c>
      <c r="L987" s="1">
        <v>78.87</v>
      </c>
      <c r="M987" s="1">
        <v>17.149999999999999</v>
      </c>
      <c r="N987" s="1">
        <v>24.36</v>
      </c>
      <c r="O987" s="6" t="s">
        <v>34</v>
      </c>
      <c r="P987" s="8">
        <f>Table1[Quantity]*Table1[Unit_Price]</f>
        <v>83.02</v>
      </c>
      <c r="Q987" s="1">
        <f>Table1[Profit]/Table1[Total_Sales]</f>
        <v>0.30886268543172307</v>
      </c>
      <c r="R987" s="14">
        <f>Table1[Total_Sales]+Table1[Shipping_Cost]</f>
        <v>96.02000000000001</v>
      </c>
    </row>
    <row r="988" spans="1:18" x14ac:dyDescent="0.35">
      <c r="A988" s="3" t="s">
        <v>1934</v>
      </c>
      <c r="B988" s="2">
        <v>45479</v>
      </c>
      <c r="C988" s="1" t="s">
        <v>1935</v>
      </c>
      <c r="D988" s="1" t="s">
        <v>17</v>
      </c>
      <c r="E988" s="1" t="s">
        <v>25</v>
      </c>
      <c r="F988" s="1" t="s">
        <v>26</v>
      </c>
      <c r="G988" s="1" t="s">
        <v>20</v>
      </c>
      <c r="H988" s="1" t="s">
        <v>170</v>
      </c>
      <c r="I988" s="1">
        <v>1</v>
      </c>
      <c r="J988" s="1">
        <v>24.66</v>
      </c>
      <c r="K988" s="1">
        <v>20</v>
      </c>
      <c r="L988" s="1">
        <v>19.73</v>
      </c>
      <c r="M988" s="1">
        <v>8.64</v>
      </c>
      <c r="N988" s="1">
        <v>-2.4700000000000002</v>
      </c>
      <c r="O988" s="6" t="s">
        <v>34</v>
      </c>
      <c r="P988" s="8">
        <f>Table1[Quantity]*Table1[Unit_Price]</f>
        <v>24.66</v>
      </c>
      <c r="Q988" s="1">
        <f>Table1[Profit]/Table1[Total_Sales]</f>
        <v>-0.12519006588950837</v>
      </c>
      <c r="R988" s="14">
        <f>Table1[Total_Sales]+Table1[Shipping_Cost]</f>
        <v>28.37</v>
      </c>
    </row>
    <row r="989" spans="1:18" x14ac:dyDescent="0.35">
      <c r="A989" s="3" t="s">
        <v>1936</v>
      </c>
      <c r="B989" s="2">
        <v>45479</v>
      </c>
      <c r="C989" s="1" t="s">
        <v>179</v>
      </c>
      <c r="D989" s="1" t="s">
        <v>30</v>
      </c>
      <c r="E989" s="1" t="s">
        <v>31</v>
      </c>
      <c r="F989" s="1" t="s">
        <v>19</v>
      </c>
      <c r="G989" s="1" t="s">
        <v>32</v>
      </c>
      <c r="H989" s="1" t="s">
        <v>115</v>
      </c>
      <c r="I989" s="1">
        <v>8</v>
      </c>
      <c r="J989" s="1">
        <v>19.36</v>
      </c>
      <c r="K989" s="1">
        <v>10</v>
      </c>
      <c r="L989" s="1">
        <v>139.38999999999999</v>
      </c>
      <c r="M989" s="1">
        <v>9.27</v>
      </c>
      <c r="N989" s="1">
        <v>60.42</v>
      </c>
      <c r="O989" s="6" t="s">
        <v>34</v>
      </c>
      <c r="P989" s="8">
        <f>Table1[Quantity]*Table1[Unit_Price]</f>
        <v>154.88</v>
      </c>
      <c r="Q989" s="1">
        <f>Table1[Profit]/Table1[Total_Sales]</f>
        <v>0.43346007604562742</v>
      </c>
      <c r="R989" s="14">
        <f>Table1[Total_Sales]+Table1[Shipping_Cost]</f>
        <v>148.66</v>
      </c>
    </row>
    <row r="990" spans="1:18" x14ac:dyDescent="0.35">
      <c r="A990" s="3" t="s">
        <v>1937</v>
      </c>
      <c r="B990" s="2">
        <v>45480</v>
      </c>
      <c r="C990" s="1" t="s">
        <v>1938</v>
      </c>
      <c r="D990" s="1" t="s">
        <v>17</v>
      </c>
      <c r="E990" s="1" t="s">
        <v>129</v>
      </c>
      <c r="F990" s="1" t="s">
        <v>19</v>
      </c>
      <c r="G990" s="1" t="s">
        <v>20</v>
      </c>
      <c r="H990" s="1" t="s">
        <v>264</v>
      </c>
      <c r="I990" s="1">
        <v>3</v>
      </c>
      <c r="J990" s="1">
        <v>42.03</v>
      </c>
      <c r="K990" s="1">
        <v>10</v>
      </c>
      <c r="L990" s="1">
        <v>113.48</v>
      </c>
      <c r="M990" s="1">
        <v>6.85</v>
      </c>
      <c r="N990" s="1">
        <v>37.28</v>
      </c>
      <c r="O990" s="6" t="s">
        <v>22</v>
      </c>
      <c r="P990" s="8">
        <f>Table1[Quantity]*Table1[Unit_Price]</f>
        <v>126.09</v>
      </c>
      <c r="Q990" s="1">
        <f>Table1[Profit]/Table1[Total_Sales]</f>
        <v>0.32851603806838209</v>
      </c>
      <c r="R990" s="14">
        <f>Table1[Total_Sales]+Table1[Shipping_Cost]</f>
        <v>120.33</v>
      </c>
    </row>
    <row r="991" spans="1:18" x14ac:dyDescent="0.35">
      <c r="A991" s="3" t="s">
        <v>1939</v>
      </c>
      <c r="B991" s="2">
        <v>45480</v>
      </c>
      <c r="C991" s="1" t="s">
        <v>1940</v>
      </c>
      <c r="D991" s="1" t="s">
        <v>30</v>
      </c>
      <c r="E991" s="1" t="s">
        <v>121</v>
      </c>
      <c r="F991" s="1" t="s">
        <v>68</v>
      </c>
      <c r="G991" s="1" t="s">
        <v>20</v>
      </c>
      <c r="H991" s="1" t="s">
        <v>175</v>
      </c>
      <c r="I991" s="1">
        <v>5</v>
      </c>
      <c r="J991" s="1">
        <v>17.3</v>
      </c>
      <c r="K991" s="1">
        <v>15</v>
      </c>
      <c r="L991" s="1">
        <v>73.52</v>
      </c>
      <c r="M991" s="1">
        <v>16.43</v>
      </c>
      <c r="N991" s="1">
        <v>9.51</v>
      </c>
      <c r="O991" s="6" t="s">
        <v>22</v>
      </c>
      <c r="P991" s="8">
        <f>Table1[Quantity]*Table1[Unit_Price]</f>
        <v>86.5</v>
      </c>
      <c r="Q991" s="1">
        <f>Table1[Profit]/Table1[Total_Sales]</f>
        <v>0.12935255712731231</v>
      </c>
      <c r="R991" s="14">
        <f>Table1[Total_Sales]+Table1[Shipping_Cost]</f>
        <v>89.949999999999989</v>
      </c>
    </row>
    <row r="992" spans="1:18" x14ac:dyDescent="0.35">
      <c r="A992" s="3" t="s">
        <v>1941</v>
      </c>
      <c r="B992" s="2">
        <v>45481</v>
      </c>
      <c r="C992" s="1" t="s">
        <v>1942</v>
      </c>
      <c r="D992" s="1" t="s">
        <v>30</v>
      </c>
      <c r="E992" s="1" t="s">
        <v>76</v>
      </c>
      <c r="F992" s="1" t="s">
        <v>26</v>
      </c>
      <c r="G992" s="1" t="s">
        <v>42</v>
      </c>
      <c r="H992" s="1" t="s">
        <v>93</v>
      </c>
      <c r="I992" s="1">
        <v>10</v>
      </c>
      <c r="J992" s="1">
        <v>305.38</v>
      </c>
      <c r="K992" s="1">
        <v>5</v>
      </c>
      <c r="L992" s="1">
        <v>2901.11</v>
      </c>
      <c r="M992" s="1">
        <v>14.57</v>
      </c>
      <c r="N992" s="1">
        <v>1054.26</v>
      </c>
      <c r="O992" s="6" t="s">
        <v>34</v>
      </c>
      <c r="P992" s="8">
        <f>Table1[Quantity]*Table1[Unit_Price]</f>
        <v>3053.8</v>
      </c>
      <c r="Q992" s="1">
        <f>Table1[Profit]/Table1[Total_Sales]</f>
        <v>0.36339883699687359</v>
      </c>
      <c r="R992" s="14">
        <f>Table1[Total_Sales]+Table1[Shipping_Cost]</f>
        <v>2915.6800000000003</v>
      </c>
    </row>
    <row r="993" spans="1:18" x14ac:dyDescent="0.35">
      <c r="A993" s="3" t="s">
        <v>1943</v>
      </c>
      <c r="B993" s="2">
        <v>45482</v>
      </c>
      <c r="C993" s="1" t="s">
        <v>1944</v>
      </c>
      <c r="D993" s="1" t="s">
        <v>30</v>
      </c>
      <c r="E993" s="1" t="s">
        <v>248</v>
      </c>
      <c r="F993" s="1" t="s">
        <v>26</v>
      </c>
      <c r="G993" s="1" t="s">
        <v>69</v>
      </c>
      <c r="H993" s="1" t="s">
        <v>79</v>
      </c>
      <c r="I993" s="1">
        <v>3</v>
      </c>
      <c r="J993" s="1">
        <v>59.82</v>
      </c>
      <c r="K993" s="1">
        <v>20</v>
      </c>
      <c r="L993" s="1">
        <v>143.57</v>
      </c>
      <c r="M993" s="1">
        <v>9.58</v>
      </c>
      <c r="N993" s="1">
        <v>44.26</v>
      </c>
      <c r="O993" s="6" t="s">
        <v>56</v>
      </c>
      <c r="P993" s="8">
        <f>Table1[Quantity]*Table1[Unit_Price]</f>
        <v>179.46</v>
      </c>
      <c r="Q993" s="1">
        <f>Table1[Profit]/Table1[Total_Sales]</f>
        <v>0.30828167444452181</v>
      </c>
      <c r="R993" s="14">
        <f>Table1[Total_Sales]+Table1[Shipping_Cost]</f>
        <v>153.15</v>
      </c>
    </row>
    <row r="994" spans="1:18" x14ac:dyDescent="0.35">
      <c r="A994" s="3" t="s">
        <v>1945</v>
      </c>
      <c r="B994" s="2">
        <v>45482</v>
      </c>
      <c r="C994" s="1" t="s">
        <v>1946</v>
      </c>
      <c r="D994" s="1" t="s">
        <v>17</v>
      </c>
      <c r="E994" s="1" t="s">
        <v>129</v>
      </c>
      <c r="F994" s="1" t="s">
        <v>19</v>
      </c>
      <c r="G994" s="1" t="s">
        <v>32</v>
      </c>
      <c r="H994" s="1" t="s">
        <v>101</v>
      </c>
      <c r="I994" s="1">
        <v>1</v>
      </c>
      <c r="J994" s="1">
        <v>19.829999999999998</v>
      </c>
      <c r="K994" s="1">
        <v>20</v>
      </c>
      <c r="L994" s="1">
        <v>15.86</v>
      </c>
      <c r="M994" s="1">
        <v>6.8</v>
      </c>
      <c r="N994" s="1">
        <v>0.14000000000000001</v>
      </c>
      <c r="O994" s="6" t="s">
        <v>34</v>
      </c>
      <c r="P994" s="8">
        <f>Table1[Quantity]*Table1[Unit_Price]</f>
        <v>19.829999999999998</v>
      </c>
      <c r="Q994" s="1">
        <f>Table1[Profit]/Table1[Total_Sales]</f>
        <v>8.8272383354350576E-3</v>
      </c>
      <c r="R994" s="14">
        <f>Table1[Total_Sales]+Table1[Shipping_Cost]</f>
        <v>22.66</v>
      </c>
    </row>
    <row r="995" spans="1:18" x14ac:dyDescent="0.35">
      <c r="A995" s="3" t="s">
        <v>1947</v>
      </c>
      <c r="B995" s="2">
        <v>45482</v>
      </c>
      <c r="C995" s="1" t="s">
        <v>1948</v>
      </c>
      <c r="D995" s="1" t="s">
        <v>49</v>
      </c>
      <c r="E995" s="1" t="s">
        <v>18</v>
      </c>
      <c r="F995" s="1" t="s">
        <v>19</v>
      </c>
      <c r="G995" s="1" t="s">
        <v>69</v>
      </c>
      <c r="H995" s="1" t="s">
        <v>139</v>
      </c>
      <c r="I995" s="1">
        <v>2</v>
      </c>
      <c r="J995" s="1">
        <v>86.73</v>
      </c>
      <c r="K995" s="1">
        <v>10</v>
      </c>
      <c r="L995" s="1">
        <v>156.11000000000001</v>
      </c>
      <c r="M995" s="1">
        <v>9.75</v>
      </c>
      <c r="N995" s="1">
        <v>59.63</v>
      </c>
      <c r="O995" s="6" t="s">
        <v>34</v>
      </c>
      <c r="P995" s="8">
        <f>Table1[Quantity]*Table1[Unit_Price]</f>
        <v>173.46</v>
      </c>
      <c r="Q995" s="1">
        <f>Table1[Profit]/Table1[Total_Sales]</f>
        <v>0.38197424892703863</v>
      </c>
      <c r="R995" s="14">
        <f>Table1[Total_Sales]+Table1[Shipping_Cost]</f>
        <v>165.86</v>
      </c>
    </row>
    <row r="996" spans="1:18" x14ac:dyDescent="0.35">
      <c r="A996" s="3" t="s">
        <v>1949</v>
      </c>
      <c r="B996" s="2">
        <v>45483</v>
      </c>
      <c r="C996" s="1" t="s">
        <v>1022</v>
      </c>
      <c r="D996" s="1" t="s">
        <v>30</v>
      </c>
      <c r="E996" s="1" t="s">
        <v>135</v>
      </c>
      <c r="F996" s="1" t="s">
        <v>26</v>
      </c>
      <c r="G996" s="1" t="s">
        <v>69</v>
      </c>
      <c r="H996" s="1" t="s">
        <v>70</v>
      </c>
      <c r="I996" s="1">
        <v>11</v>
      </c>
      <c r="J996" s="1">
        <v>19</v>
      </c>
      <c r="K996" s="1">
        <v>5</v>
      </c>
      <c r="L996" s="1">
        <v>198.55</v>
      </c>
      <c r="M996" s="1">
        <v>16.190000000000001</v>
      </c>
      <c r="N996" s="1">
        <v>77.86</v>
      </c>
      <c r="O996" s="6" t="s">
        <v>39</v>
      </c>
      <c r="P996" s="8">
        <f>Table1[Quantity]*Table1[Unit_Price]</f>
        <v>209</v>
      </c>
      <c r="Q996" s="1">
        <f>Table1[Profit]/Table1[Total_Sales]</f>
        <v>0.39214303701838327</v>
      </c>
      <c r="R996" s="14">
        <f>Table1[Total_Sales]+Table1[Shipping_Cost]</f>
        <v>214.74</v>
      </c>
    </row>
    <row r="997" spans="1:18" x14ac:dyDescent="0.35">
      <c r="A997" s="3" t="s">
        <v>1950</v>
      </c>
      <c r="B997" s="2">
        <v>45483</v>
      </c>
      <c r="C997" s="1" t="s">
        <v>1667</v>
      </c>
      <c r="D997" s="1" t="s">
        <v>49</v>
      </c>
      <c r="E997" s="1" t="s">
        <v>129</v>
      </c>
      <c r="F997" s="1" t="s">
        <v>19</v>
      </c>
      <c r="G997" s="1" t="s">
        <v>69</v>
      </c>
      <c r="H997" s="1" t="s">
        <v>139</v>
      </c>
      <c r="I997" s="1">
        <v>5</v>
      </c>
      <c r="J997" s="1">
        <v>28.49</v>
      </c>
      <c r="K997" s="1">
        <v>15</v>
      </c>
      <c r="L997" s="1">
        <v>121.08</v>
      </c>
      <c r="M997" s="1">
        <v>15.04</v>
      </c>
      <c r="N997" s="1">
        <v>34.82</v>
      </c>
      <c r="O997" s="6" t="s">
        <v>39</v>
      </c>
      <c r="P997" s="8">
        <f>Table1[Quantity]*Table1[Unit_Price]</f>
        <v>142.44999999999999</v>
      </c>
      <c r="Q997" s="1">
        <f>Table1[Profit]/Table1[Total_Sales]</f>
        <v>0.28757846052196895</v>
      </c>
      <c r="R997" s="14">
        <f>Table1[Total_Sales]+Table1[Shipping_Cost]</f>
        <v>136.12</v>
      </c>
    </row>
    <row r="998" spans="1:18" x14ac:dyDescent="0.35">
      <c r="A998" s="3" t="s">
        <v>1951</v>
      </c>
      <c r="B998" s="2">
        <v>45484</v>
      </c>
      <c r="C998" s="1" t="s">
        <v>579</v>
      </c>
      <c r="D998" s="1" t="s">
        <v>17</v>
      </c>
      <c r="E998" s="1" t="s">
        <v>18</v>
      </c>
      <c r="F998" s="1" t="s">
        <v>19</v>
      </c>
      <c r="G998" s="1" t="s">
        <v>42</v>
      </c>
      <c r="H998" s="1" t="s">
        <v>294</v>
      </c>
      <c r="I998" s="1">
        <v>2</v>
      </c>
      <c r="J998" s="1">
        <v>191.99</v>
      </c>
      <c r="K998" s="1">
        <v>5</v>
      </c>
      <c r="L998" s="1">
        <v>364.78</v>
      </c>
      <c r="M998" s="1">
        <v>9.02</v>
      </c>
      <c r="N998" s="1">
        <v>125.37</v>
      </c>
      <c r="O998" s="6" t="s">
        <v>34</v>
      </c>
      <c r="P998" s="8">
        <f>Table1[Quantity]*Table1[Unit_Price]</f>
        <v>383.98</v>
      </c>
      <c r="Q998" s="1">
        <f>Table1[Profit]/Table1[Total_Sales]</f>
        <v>0.34368660562530845</v>
      </c>
      <c r="R998" s="14">
        <f>Table1[Total_Sales]+Table1[Shipping_Cost]</f>
        <v>373.79999999999995</v>
      </c>
    </row>
    <row r="999" spans="1:18" x14ac:dyDescent="0.35">
      <c r="A999" s="3" t="s">
        <v>1952</v>
      </c>
      <c r="B999" s="2">
        <v>45484</v>
      </c>
      <c r="C999" s="1" t="s">
        <v>437</v>
      </c>
      <c r="D999" s="1" t="s">
        <v>30</v>
      </c>
      <c r="E999" s="1" t="s">
        <v>92</v>
      </c>
      <c r="F999" s="1" t="s">
        <v>60</v>
      </c>
      <c r="G999" s="1" t="s">
        <v>32</v>
      </c>
      <c r="H999" s="1" t="s">
        <v>132</v>
      </c>
      <c r="I999" s="1">
        <v>3</v>
      </c>
      <c r="J999" s="1">
        <v>9.42</v>
      </c>
      <c r="K999" s="1">
        <v>0</v>
      </c>
      <c r="L999" s="1">
        <v>28.26</v>
      </c>
      <c r="M999" s="1">
        <v>15.8</v>
      </c>
      <c r="N999" s="1">
        <v>-0.26</v>
      </c>
      <c r="O999" s="6" t="s">
        <v>39</v>
      </c>
      <c r="P999" s="8">
        <f>Table1[Quantity]*Table1[Unit_Price]</f>
        <v>28.259999999999998</v>
      </c>
      <c r="Q999" s="1">
        <f>Table1[Profit]/Table1[Total_Sales]</f>
        <v>-9.2002830856334032E-3</v>
      </c>
      <c r="R999" s="14">
        <f>Table1[Total_Sales]+Table1[Shipping_Cost]</f>
        <v>44.06</v>
      </c>
    </row>
    <row r="1000" spans="1:18" x14ac:dyDescent="0.35">
      <c r="A1000" s="3" t="s">
        <v>1953</v>
      </c>
      <c r="B1000" s="2">
        <v>45484</v>
      </c>
      <c r="C1000" s="1" t="s">
        <v>441</v>
      </c>
      <c r="D1000" s="1" t="s">
        <v>30</v>
      </c>
      <c r="E1000" s="1" t="s">
        <v>92</v>
      </c>
      <c r="F1000" s="1" t="s">
        <v>60</v>
      </c>
      <c r="G1000" s="1" t="s">
        <v>20</v>
      </c>
      <c r="H1000" s="1" t="s">
        <v>27</v>
      </c>
      <c r="I1000" s="1">
        <v>2</v>
      </c>
      <c r="J1000" s="1">
        <v>70.739999999999995</v>
      </c>
      <c r="K1000" s="1">
        <v>15</v>
      </c>
      <c r="L1000" s="1">
        <v>120.26</v>
      </c>
      <c r="M1000" s="1">
        <v>13.36</v>
      </c>
      <c r="N1000" s="1">
        <v>29.09</v>
      </c>
      <c r="O1000" s="6" t="s">
        <v>39</v>
      </c>
      <c r="P1000" s="8">
        <f>Table1[Quantity]*Table1[Unit_Price]</f>
        <v>141.47999999999999</v>
      </c>
      <c r="Q1000" s="1">
        <f>Table1[Profit]/Table1[Total_Sales]</f>
        <v>0.24189256610676865</v>
      </c>
      <c r="R1000" s="14">
        <f>Table1[Total_Sales]+Table1[Shipping_Cost]</f>
        <v>133.62</v>
      </c>
    </row>
    <row r="1001" spans="1:18" x14ac:dyDescent="0.35">
      <c r="A1001" s="3" t="s">
        <v>1954</v>
      </c>
      <c r="B1001" s="2">
        <v>45485</v>
      </c>
      <c r="C1001" s="1" t="s">
        <v>1880</v>
      </c>
      <c r="D1001" s="1" t="s">
        <v>17</v>
      </c>
      <c r="E1001" s="1" t="s">
        <v>18</v>
      </c>
      <c r="F1001" s="1" t="s">
        <v>19</v>
      </c>
      <c r="G1001" s="1" t="s">
        <v>20</v>
      </c>
      <c r="H1001" s="1" t="s">
        <v>122</v>
      </c>
      <c r="I1001" s="1">
        <v>2</v>
      </c>
      <c r="J1001" s="1">
        <v>131.07</v>
      </c>
      <c r="K1001" s="1">
        <v>10</v>
      </c>
      <c r="L1001" s="1">
        <v>235.93</v>
      </c>
      <c r="M1001" s="1">
        <v>8.58</v>
      </c>
      <c r="N1001" s="1">
        <v>83.17</v>
      </c>
      <c r="O1001" s="6" t="s">
        <v>34</v>
      </c>
      <c r="P1001" s="8">
        <f>Table1[Quantity]*Table1[Unit_Price]</f>
        <v>262.14</v>
      </c>
      <c r="Q1001" s="1">
        <f>Table1[Profit]/Table1[Total_Sales]</f>
        <v>0.35251981519942355</v>
      </c>
      <c r="R1001" s="14">
        <f>Table1[Total_Sales]+Table1[Shipping_Cost]</f>
        <v>244.51000000000002</v>
      </c>
    </row>
    <row r="1002" spans="1:18" x14ac:dyDescent="0.35">
      <c r="A1002" s="3" t="s">
        <v>1955</v>
      </c>
      <c r="B1002" s="2">
        <v>45486</v>
      </c>
      <c r="C1002" s="1" t="s">
        <v>1351</v>
      </c>
      <c r="D1002" s="1" t="s">
        <v>30</v>
      </c>
      <c r="E1002" s="1" t="s">
        <v>92</v>
      </c>
      <c r="F1002" s="1" t="s">
        <v>60</v>
      </c>
      <c r="G1002" s="1" t="s">
        <v>20</v>
      </c>
      <c r="H1002" s="1" t="s">
        <v>38</v>
      </c>
      <c r="I1002" s="1">
        <v>3</v>
      </c>
      <c r="J1002" s="1">
        <v>50.5</v>
      </c>
      <c r="K1002" s="1">
        <v>10</v>
      </c>
      <c r="L1002" s="1">
        <v>136.35</v>
      </c>
      <c r="M1002" s="1">
        <v>10.6</v>
      </c>
      <c r="N1002" s="1">
        <v>42.42</v>
      </c>
      <c r="O1002" s="6" t="s">
        <v>39</v>
      </c>
      <c r="P1002" s="8">
        <f>Table1[Quantity]*Table1[Unit_Price]</f>
        <v>151.5</v>
      </c>
      <c r="Q1002" s="1">
        <f>Table1[Profit]/Table1[Total_Sales]</f>
        <v>0.31111111111111112</v>
      </c>
      <c r="R1002" s="14">
        <f>Table1[Total_Sales]+Table1[Shipping_Cost]</f>
        <v>146.94999999999999</v>
      </c>
    </row>
    <row r="1003" spans="1:18" x14ac:dyDescent="0.35">
      <c r="A1003" s="3" t="s">
        <v>1956</v>
      </c>
      <c r="B1003" s="2">
        <v>45487</v>
      </c>
      <c r="C1003" s="1" t="s">
        <v>1256</v>
      </c>
      <c r="D1003" s="1" t="s">
        <v>30</v>
      </c>
      <c r="E1003" s="1" t="s">
        <v>76</v>
      </c>
      <c r="F1003" s="1" t="s">
        <v>26</v>
      </c>
      <c r="G1003" s="1" t="s">
        <v>69</v>
      </c>
      <c r="H1003" s="1" t="s">
        <v>79</v>
      </c>
      <c r="I1003" s="1">
        <v>6</v>
      </c>
      <c r="J1003" s="1">
        <v>68.260000000000005</v>
      </c>
      <c r="K1003" s="1">
        <v>5</v>
      </c>
      <c r="L1003" s="1">
        <v>389.08</v>
      </c>
      <c r="M1003" s="1">
        <v>18.45</v>
      </c>
      <c r="N1003" s="1">
        <v>165.85</v>
      </c>
      <c r="O1003" s="6" t="s">
        <v>34</v>
      </c>
      <c r="P1003" s="8">
        <f>Table1[Quantity]*Table1[Unit_Price]</f>
        <v>409.56000000000006</v>
      </c>
      <c r="Q1003" s="1">
        <f>Table1[Profit]/Table1[Total_Sales]</f>
        <v>0.42626195126966177</v>
      </c>
      <c r="R1003" s="14">
        <f>Table1[Total_Sales]+Table1[Shipping_Cost]</f>
        <v>407.53</v>
      </c>
    </row>
    <row r="1004" spans="1:18" x14ac:dyDescent="0.35">
      <c r="A1004" s="3" t="s">
        <v>1957</v>
      </c>
      <c r="B1004" s="2">
        <v>45487</v>
      </c>
      <c r="C1004" s="1" t="s">
        <v>1958</v>
      </c>
      <c r="D1004" s="1" t="s">
        <v>30</v>
      </c>
      <c r="E1004" s="1" t="s">
        <v>76</v>
      </c>
      <c r="F1004" s="1" t="s">
        <v>26</v>
      </c>
      <c r="G1004" s="1" t="s">
        <v>42</v>
      </c>
      <c r="H1004" s="1" t="s">
        <v>118</v>
      </c>
      <c r="I1004" s="1">
        <v>1</v>
      </c>
      <c r="J1004" s="1">
        <v>95.79</v>
      </c>
      <c r="K1004" s="1">
        <v>15</v>
      </c>
      <c r="L1004" s="1">
        <v>81.42</v>
      </c>
      <c r="M1004" s="1">
        <v>8.9700000000000006</v>
      </c>
      <c r="N1004" s="1">
        <v>14.98</v>
      </c>
      <c r="O1004" s="6" t="s">
        <v>56</v>
      </c>
      <c r="P1004" s="8">
        <f>Table1[Quantity]*Table1[Unit_Price]</f>
        <v>95.79</v>
      </c>
      <c r="Q1004" s="1">
        <f>Table1[Profit]/Table1[Total_Sales]</f>
        <v>0.18398427904691722</v>
      </c>
      <c r="R1004" s="14">
        <f>Table1[Total_Sales]+Table1[Shipping_Cost]</f>
        <v>90.39</v>
      </c>
    </row>
    <row r="1005" spans="1:18" x14ac:dyDescent="0.35">
      <c r="A1005" s="3" t="s">
        <v>1959</v>
      </c>
      <c r="B1005" s="2">
        <v>45488</v>
      </c>
      <c r="C1005" s="1" t="s">
        <v>1960</v>
      </c>
      <c r="D1005" s="1" t="s">
        <v>49</v>
      </c>
      <c r="E1005" s="1" t="s">
        <v>31</v>
      </c>
      <c r="F1005" s="1" t="s">
        <v>19</v>
      </c>
      <c r="G1005" s="1" t="s">
        <v>20</v>
      </c>
      <c r="H1005" s="1" t="s">
        <v>27</v>
      </c>
      <c r="I1005" s="1">
        <v>2</v>
      </c>
      <c r="J1005" s="1">
        <v>150.27000000000001</v>
      </c>
      <c r="K1005" s="1">
        <v>10</v>
      </c>
      <c r="L1005" s="1">
        <v>270.49</v>
      </c>
      <c r="M1005" s="1">
        <v>6.15</v>
      </c>
      <c r="N1005" s="1">
        <v>99.04</v>
      </c>
      <c r="O1005" s="6" t="s">
        <v>34</v>
      </c>
      <c r="P1005" s="8">
        <f>Table1[Quantity]*Table1[Unit_Price]</f>
        <v>300.54000000000002</v>
      </c>
      <c r="Q1005" s="1">
        <f>Table1[Profit]/Table1[Total_Sales]</f>
        <v>0.36615031979001073</v>
      </c>
      <c r="R1005" s="14">
        <f>Table1[Total_Sales]+Table1[Shipping_Cost]</f>
        <v>276.64</v>
      </c>
    </row>
    <row r="1006" spans="1:18" x14ac:dyDescent="0.35">
      <c r="A1006" s="3" t="s">
        <v>1961</v>
      </c>
      <c r="B1006" s="2">
        <v>45488</v>
      </c>
      <c r="C1006" s="1" t="s">
        <v>1962</v>
      </c>
      <c r="D1006" s="1" t="s">
        <v>17</v>
      </c>
      <c r="E1006" s="1" t="s">
        <v>109</v>
      </c>
      <c r="F1006" s="1" t="s">
        <v>54</v>
      </c>
      <c r="G1006" s="1" t="s">
        <v>69</v>
      </c>
      <c r="H1006" s="1" t="s">
        <v>243</v>
      </c>
      <c r="I1006" s="1">
        <v>1</v>
      </c>
      <c r="J1006" s="1">
        <v>25.15</v>
      </c>
      <c r="K1006" s="1">
        <v>20</v>
      </c>
      <c r="L1006" s="1">
        <v>20.12</v>
      </c>
      <c r="M1006" s="1">
        <v>13.22</v>
      </c>
      <c r="N1006" s="1">
        <v>-5.67</v>
      </c>
      <c r="O1006" s="6" t="s">
        <v>22</v>
      </c>
      <c r="P1006" s="8">
        <f>Table1[Quantity]*Table1[Unit_Price]</f>
        <v>25.15</v>
      </c>
      <c r="Q1006" s="1">
        <f>Table1[Profit]/Table1[Total_Sales]</f>
        <v>-0.28180914512922461</v>
      </c>
      <c r="R1006" s="14">
        <f>Table1[Total_Sales]+Table1[Shipping_Cost]</f>
        <v>33.340000000000003</v>
      </c>
    </row>
    <row r="1007" spans="1:18" x14ac:dyDescent="0.35">
      <c r="A1007" s="3" t="s">
        <v>1963</v>
      </c>
      <c r="B1007" s="2">
        <v>45488</v>
      </c>
      <c r="C1007" s="1" t="s">
        <v>1964</v>
      </c>
      <c r="D1007" s="1" t="s">
        <v>17</v>
      </c>
      <c r="E1007" s="1" t="s">
        <v>129</v>
      </c>
      <c r="F1007" s="1" t="s">
        <v>19</v>
      </c>
      <c r="G1007" s="1" t="s">
        <v>42</v>
      </c>
      <c r="H1007" s="1" t="s">
        <v>46</v>
      </c>
      <c r="I1007" s="1">
        <v>3</v>
      </c>
      <c r="J1007" s="1">
        <v>153.49</v>
      </c>
      <c r="K1007" s="1">
        <v>25</v>
      </c>
      <c r="L1007" s="1">
        <v>345.35</v>
      </c>
      <c r="M1007" s="1">
        <v>8.01</v>
      </c>
      <c r="N1007" s="1">
        <v>61.06</v>
      </c>
      <c r="O1007" s="6" t="s">
        <v>34</v>
      </c>
      <c r="P1007" s="8">
        <f>Table1[Quantity]*Table1[Unit_Price]</f>
        <v>460.47</v>
      </c>
      <c r="Q1007" s="1">
        <f>Table1[Profit]/Table1[Total_Sales]</f>
        <v>0.17680613869986969</v>
      </c>
      <c r="R1007" s="14">
        <f>Table1[Total_Sales]+Table1[Shipping_Cost]</f>
        <v>353.36</v>
      </c>
    </row>
    <row r="1008" spans="1:18" x14ac:dyDescent="0.35">
      <c r="A1008" s="3" t="s">
        <v>1965</v>
      </c>
      <c r="B1008" s="2">
        <v>45489</v>
      </c>
      <c r="C1008" s="1" t="s">
        <v>1966</v>
      </c>
      <c r="D1008" s="1" t="s">
        <v>30</v>
      </c>
      <c r="E1008" s="1" t="s">
        <v>31</v>
      </c>
      <c r="F1008" s="1" t="s">
        <v>19</v>
      </c>
      <c r="G1008" s="1" t="s">
        <v>20</v>
      </c>
      <c r="H1008" s="1" t="s">
        <v>122</v>
      </c>
      <c r="I1008" s="1">
        <v>1</v>
      </c>
      <c r="J1008" s="1">
        <v>115.3</v>
      </c>
      <c r="K1008" s="1">
        <v>10</v>
      </c>
      <c r="L1008" s="1">
        <v>103.77</v>
      </c>
      <c r="M1008" s="1">
        <v>6.68</v>
      </c>
      <c r="N1008" s="1">
        <v>33.67</v>
      </c>
      <c r="O1008" s="6" t="s">
        <v>39</v>
      </c>
      <c r="P1008" s="8">
        <f>Table1[Quantity]*Table1[Unit_Price]</f>
        <v>115.3</v>
      </c>
      <c r="Q1008" s="1">
        <f>Table1[Profit]/Table1[Total_Sales]</f>
        <v>0.3244675725161415</v>
      </c>
      <c r="R1008" s="14">
        <f>Table1[Total_Sales]+Table1[Shipping_Cost]</f>
        <v>110.44999999999999</v>
      </c>
    </row>
    <row r="1009" spans="1:18" x14ac:dyDescent="0.35">
      <c r="A1009" s="3" t="s">
        <v>1967</v>
      </c>
      <c r="B1009" s="2">
        <v>45492</v>
      </c>
      <c r="C1009" s="1" t="s">
        <v>1968</v>
      </c>
      <c r="D1009" s="1" t="s">
        <v>30</v>
      </c>
      <c r="E1009" s="1" t="s">
        <v>248</v>
      </c>
      <c r="F1009" s="1" t="s">
        <v>26</v>
      </c>
      <c r="G1009" s="1" t="s">
        <v>42</v>
      </c>
      <c r="H1009" s="1" t="s">
        <v>93</v>
      </c>
      <c r="I1009" s="1">
        <v>4</v>
      </c>
      <c r="J1009" s="1">
        <v>425.29</v>
      </c>
      <c r="K1009" s="1">
        <v>5</v>
      </c>
      <c r="L1009" s="1">
        <v>1616.1</v>
      </c>
      <c r="M1009" s="1">
        <v>12.36</v>
      </c>
      <c r="N1009" s="1">
        <v>583.04</v>
      </c>
      <c r="O1009" s="6" t="s">
        <v>39</v>
      </c>
      <c r="P1009" s="8">
        <f>Table1[Quantity]*Table1[Unit_Price]</f>
        <v>1701.16</v>
      </c>
      <c r="Q1009" s="1">
        <f>Table1[Profit]/Table1[Total_Sales]</f>
        <v>0.36076975434688446</v>
      </c>
      <c r="R1009" s="14">
        <f>Table1[Total_Sales]+Table1[Shipping_Cost]</f>
        <v>1628.4599999999998</v>
      </c>
    </row>
    <row r="1010" spans="1:18" x14ac:dyDescent="0.35">
      <c r="A1010" s="3" t="s">
        <v>1969</v>
      </c>
      <c r="B1010" s="2">
        <v>45492</v>
      </c>
      <c r="C1010" s="1" t="s">
        <v>1970</v>
      </c>
      <c r="D1010" s="1" t="s">
        <v>49</v>
      </c>
      <c r="E1010" s="1" t="s">
        <v>18</v>
      </c>
      <c r="F1010" s="1" t="s">
        <v>19</v>
      </c>
      <c r="G1010" s="1" t="s">
        <v>20</v>
      </c>
      <c r="H1010" s="1" t="s">
        <v>106</v>
      </c>
      <c r="I1010" s="1">
        <v>1</v>
      </c>
      <c r="J1010" s="1">
        <v>44.59</v>
      </c>
      <c r="K1010" s="1">
        <v>0</v>
      </c>
      <c r="L1010" s="1">
        <v>44.59</v>
      </c>
      <c r="M1010" s="1">
        <v>7.24</v>
      </c>
      <c r="N1010" s="1">
        <v>12.83</v>
      </c>
      <c r="O1010" s="6" t="s">
        <v>22</v>
      </c>
      <c r="P1010" s="8">
        <f>Table1[Quantity]*Table1[Unit_Price]</f>
        <v>44.59</v>
      </c>
      <c r="Q1010" s="1">
        <f>Table1[Profit]/Table1[Total_Sales]</f>
        <v>0.28773267548777753</v>
      </c>
      <c r="R1010" s="14">
        <f>Table1[Total_Sales]+Table1[Shipping_Cost]</f>
        <v>51.830000000000005</v>
      </c>
    </row>
    <row r="1011" spans="1:18" x14ac:dyDescent="0.35">
      <c r="A1011" s="3" t="s">
        <v>1971</v>
      </c>
      <c r="B1011" s="2">
        <v>45494</v>
      </c>
      <c r="C1011" s="1" t="s">
        <v>1972</v>
      </c>
      <c r="D1011" s="1" t="s">
        <v>30</v>
      </c>
      <c r="E1011" s="1" t="s">
        <v>18</v>
      </c>
      <c r="F1011" s="1" t="s">
        <v>19</v>
      </c>
      <c r="G1011" s="1" t="s">
        <v>69</v>
      </c>
      <c r="H1011" s="1" t="s">
        <v>243</v>
      </c>
      <c r="I1011" s="1">
        <v>1</v>
      </c>
      <c r="J1011" s="1">
        <v>23.76</v>
      </c>
      <c r="K1011" s="1">
        <v>10</v>
      </c>
      <c r="L1011" s="1">
        <v>21.38</v>
      </c>
      <c r="M1011" s="1">
        <v>6.5</v>
      </c>
      <c r="N1011" s="1">
        <v>3</v>
      </c>
      <c r="O1011" s="6" t="s">
        <v>22</v>
      </c>
      <c r="P1011" s="8">
        <f>Table1[Quantity]*Table1[Unit_Price]</f>
        <v>23.76</v>
      </c>
      <c r="Q1011" s="1">
        <f>Table1[Profit]/Table1[Total_Sales]</f>
        <v>0.14031805425631433</v>
      </c>
      <c r="R1011" s="14">
        <f>Table1[Total_Sales]+Table1[Shipping_Cost]</f>
        <v>27.88</v>
      </c>
    </row>
    <row r="1012" spans="1:18" x14ac:dyDescent="0.35">
      <c r="A1012" s="3" t="s">
        <v>1973</v>
      </c>
      <c r="B1012" s="2">
        <v>45496</v>
      </c>
      <c r="C1012" s="1" t="s">
        <v>1974</v>
      </c>
      <c r="D1012" s="1" t="s">
        <v>17</v>
      </c>
      <c r="E1012" s="1" t="s">
        <v>85</v>
      </c>
      <c r="F1012" s="1" t="s">
        <v>60</v>
      </c>
      <c r="G1012" s="1" t="s">
        <v>20</v>
      </c>
      <c r="H1012" s="1" t="s">
        <v>21</v>
      </c>
      <c r="I1012" s="1">
        <v>3</v>
      </c>
      <c r="J1012" s="1">
        <v>215.99</v>
      </c>
      <c r="K1012" s="1">
        <v>10</v>
      </c>
      <c r="L1012" s="1">
        <v>583.16999999999996</v>
      </c>
      <c r="M1012" s="1">
        <v>14.33</v>
      </c>
      <c r="N1012" s="1">
        <v>212.46</v>
      </c>
      <c r="O1012" s="6" t="s">
        <v>39</v>
      </c>
      <c r="P1012" s="8">
        <f>Table1[Quantity]*Table1[Unit_Price]</f>
        <v>647.97</v>
      </c>
      <c r="Q1012" s="1">
        <f>Table1[Profit]/Table1[Total_Sales]</f>
        <v>0.36431915221976441</v>
      </c>
      <c r="R1012" s="14">
        <f>Table1[Total_Sales]+Table1[Shipping_Cost]</f>
        <v>597.5</v>
      </c>
    </row>
    <row r="1013" spans="1:18" x14ac:dyDescent="0.35">
      <c r="A1013" s="3" t="s">
        <v>1975</v>
      </c>
      <c r="B1013" s="2">
        <v>45497</v>
      </c>
      <c r="C1013" s="1" t="s">
        <v>1313</v>
      </c>
      <c r="D1013" s="1" t="s">
        <v>17</v>
      </c>
      <c r="E1013" s="1" t="s">
        <v>248</v>
      </c>
      <c r="F1013" s="1" t="s">
        <v>26</v>
      </c>
      <c r="G1013" s="1" t="s">
        <v>32</v>
      </c>
      <c r="H1013" s="1" t="s">
        <v>110</v>
      </c>
      <c r="I1013" s="1">
        <v>6</v>
      </c>
      <c r="J1013" s="1">
        <v>13.61</v>
      </c>
      <c r="K1013" s="1">
        <v>5</v>
      </c>
      <c r="L1013" s="1">
        <v>77.58</v>
      </c>
      <c r="M1013" s="1">
        <v>20.53</v>
      </c>
      <c r="N1013" s="1">
        <v>20.3</v>
      </c>
      <c r="O1013" s="6" t="s">
        <v>39</v>
      </c>
      <c r="P1013" s="8">
        <f>Table1[Quantity]*Table1[Unit_Price]</f>
        <v>81.66</v>
      </c>
      <c r="Q1013" s="1">
        <f>Table1[Profit]/Table1[Total_Sales]</f>
        <v>0.26166537767465842</v>
      </c>
      <c r="R1013" s="14">
        <f>Table1[Total_Sales]+Table1[Shipping_Cost]</f>
        <v>98.11</v>
      </c>
    </row>
    <row r="1014" spans="1:18" x14ac:dyDescent="0.35">
      <c r="A1014" s="3" t="s">
        <v>1976</v>
      </c>
      <c r="B1014" s="2">
        <v>45498</v>
      </c>
      <c r="C1014" s="1" t="s">
        <v>1977</v>
      </c>
      <c r="D1014" s="1" t="s">
        <v>30</v>
      </c>
      <c r="E1014" s="1" t="s">
        <v>92</v>
      </c>
      <c r="F1014" s="1" t="s">
        <v>60</v>
      </c>
      <c r="G1014" s="1" t="s">
        <v>42</v>
      </c>
      <c r="H1014" s="1" t="s">
        <v>255</v>
      </c>
      <c r="I1014" s="1">
        <v>4</v>
      </c>
      <c r="J1014" s="1">
        <v>43.36</v>
      </c>
      <c r="K1014" s="1">
        <v>10</v>
      </c>
      <c r="L1014" s="1">
        <v>156.1</v>
      </c>
      <c r="M1014" s="1">
        <v>16.059999999999999</v>
      </c>
      <c r="N1014" s="1">
        <v>35.979999999999997</v>
      </c>
      <c r="O1014" s="6" t="s">
        <v>39</v>
      </c>
      <c r="P1014" s="8">
        <f>Table1[Quantity]*Table1[Unit_Price]</f>
        <v>173.44</v>
      </c>
      <c r="Q1014" s="1">
        <f>Table1[Profit]/Table1[Total_Sales]</f>
        <v>0.23049327354260088</v>
      </c>
      <c r="R1014" s="14">
        <f>Table1[Total_Sales]+Table1[Shipping_Cost]</f>
        <v>172.16</v>
      </c>
    </row>
    <row r="1015" spans="1:18" x14ac:dyDescent="0.35">
      <c r="A1015" s="3" t="s">
        <v>1978</v>
      </c>
      <c r="B1015" s="2">
        <v>45499</v>
      </c>
      <c r="C1015" s="1" t="s">
        <v>718</v>
      </c>
      <c r="D1015" s="1" t="s">
        <v>30</v>
      </c>
      <c r="E1015" s="1" t="s">
        <v>25</v>
      </c>
      <c r="F1015" s="1" t="s">
        <v>26</v>
      </c>
      <c r="G1015" s="1" t="s">
        <v>69</v>
      </c>
      <c r="H1015" s="1" t="s">
        <v>79</v>
      </c>
      <c r="I1015" s="1">
        <v>1</v>
      </c>
      <c r="J1015" s="1">
        <v>84.43</v>
      </c>
      <c r="K1015" s="1">
        <v>25</v>
      </c>
      <c r="L1015" s="1">
        <v>63.32</v>
      </c>
      <c r="M1015" s="1">
        <v>8.2899999999999991</v>
      </c>
      <c r="N1015" s="1">
        <v>12.81</v>
      </c>
      <c r="O1015" s="6" t="s">
        <v>56</v>
      </c>
      <c r="P1015" s="8">
        <f>Table1[Quantity]*Table1[Unit_Price]</f>
        <v>84.43</v>
      </c>
      <c r="Q1015" s="1">
        <f>Table1[Profit]/Table1[Total_Sales]</f>
        <v>0.20230574857864814</v>
      </c>
      <c r="R1015" s="14">
        <f>Table1[Total_Sales]+Table1[Shipping_Cost]</f>
        <v>71.61</v>
      </c>
    </row>
    <row r="1016" spans="1:18" x14ac:dyDescent="0.35">
      <c r="A1016" s="3" t="s">
        <v>1979</v>
      </c>
      <c r="B1016" s="2">
        <v>45499</v>
      </c>
      <c r="C1016" s="1" t="s">
        <v>504</v>
      </c>
      <c r="D1016" s="1" t="s">
        <v>30</v>
      </c>
      <c r="E1016" s="1" t="s">
        <v>129</v>
      </c>
      <c r="F1016" s="1" t="s">
        <v>19</v>
      </c>
      <c r="G1016" s="1" t="s">
        <v>20</v>
      </c>
      <c r="H1016" s="1" t="s">
        <v>21</v>
      </c>
      <c r="I1016" s="1">
        <v>5</v>
      </c>
      <c r="J1016" s="1">
        <v>142.01</v>
      </c>
      <c r="K1016" s="1">
        <v>0</v>
      </c>
      <c r="L1016" s="1">
        <v>710.05</v>
      </c>
      <c r="M1016" s="1">
        <v>12.04</v>
      </c>
      <c r="N1016" s="1">
        <v>307.48</v>
      </c>
      <c r="O1016" s="6" t="s">
        <v>34</v>
      </c>
      <c r="P1016" s="8">
        <f>Table1[Quantity]*Table1[Unit_Price]</f>
        <v>710.05</v>
      </c>
      <c r="Q1016" s="1">
        <f>Table1[Profit]/Table1[Total_Sales]</f>
        <v>0.43303992676572078</v>
      </c>
      <c r="R1016" s="14">
        <f>Table1[Total_Sales]+Table1[Shipping_Cost]</f>
        <v>722.08999999999992</v>
      </c>
    </row>
    <row r="1017" spans="1:18" x14ac:dyDescent="0.35">
      <c r="A1017" s="3" t="s">
        <v>1980</v>
      </c>
      <c r="B1017" s="2">
        <v>45500</v>
      </c>
      <c r="C1017" s="1" t="s">
        <v>877</v>
      </c>
      <c r="D1017" s="1" t="s">
        <v>30</v>
      </c>
      <c r="E1017" s="1" t="s">
        <v>148</v>
      </c>
      <c r="F1017" s="1" t="s">
        <v>60</v>
      </c>
      <c r="G1017" s="1" t="s">
        <v>42</v>
      </c>
      <c r="H1017" s="1" t="s">
        <v>64</v>
      </c>
      <c r="I1017" s="1">
        <v>3</v>
      </c>
      <c r="J1017" s="1">
        <v>51.54</v>
      </c>
      <c r="K1017" s="1">
        <v>5</v>
      </c>
      <c r="L1017" s="1">
        <v>146.88999999999999</v>
      </c>
      <c r="M1017" s="1">
        <v>16.14</v>
      </c>
      <c r="N1017" s="1">
        <v>37.979999999999997</v>
      </c>
      <c r="O1017" s="6" t="s">
        <v>34</v>
      </c>
      <c r="P1017" s="8">
        <f>Table1[Quantity]*Table1[Unit_Price]</f>
        <v>154.62</v>
      </c>
      <c r="Q1017" s="1">
        <f>Table1[Profit]/Table1[Total_Sales]</f>
        <v>0.25856082783034923</v>
      </c>
      <c r="R1017" s="14">
        <f>Table1[Total_Sales]+Table1[Shipping_Cost]</f>
        <v>163.02999999999997</v>
      </c>
    </row>
    <row r="1018" spans="1:18" x14ac:dyDescent="0.35">
      <c r="A1018" s="3" t="s">
        <v>1981</v>
      </c>
      <c r="B1018" s="2">
        <v>45500</v>
      </c>
      <c r="C1018" s="1" t="s">
        <v>1982</v>
      </c>
      <c r="D1018" s="1" t="s">
        <v>30</v>
      </c>
      <c r="E1018" s="1" t="s">
        <v>76</v>
      </c>
      <c r="F1018" s="1" t="s">
        <v>26</v>
      </c>
      <c r="G1018" s="1" t="s">
        <v>20</v>
      </c>
      <c r="H1018" s="1" t="s">
        <v>38</v>
      </c>
      <c r="I1018" s="1">
        <v>4</v>
      </c>
      <c r="J1018" s="1">
        <v>83.83</v>
      </c>
      <c r="K1018" s="1">
        <v>0</v>
      </c>
      <c r="L1018" s="1">
        <v>335.32</v>
      </c>
      <c r="M1018" s="1">
        <v>12.06</v>
      </c>
      <c r="N1018" s="1">
        <v>138.83000000000001</v>
      </c>
      <c r="O1018" s="6" t="s">
        <v>22</v>
      </c>
      <c r="P1018" s="8">
        <f>Table1[Quantity]*Table1[Unit_Price]</f>
        <v>335.32</v>
      </c>
      <c r="Q1018" s="1">
        <f>Table1[Profit]/Table1[Total_Sales]</f>
        <v>0.41402242633901948</v>
      </c>
      <c r="R1018" s="14">
        <f>Table1[Total_Sales]+Table1[Shipping_Cost]</f>
        <v>347.38</v>
      </c>
    </row>
    <row r="1019" spans="1:18" x14ac:dyDescent="0.35">
      <c r="A1019" s="3" t="s">
        <v>1983</v>
      </c>
      <c r="B1019" s="2">
        <v>45500</v>
      </c>
      <c r="C1019" s="1" t="s">
        <v>774</v>
      </c>
      <c r="D1019" s="1" t="s">
        <v>17</v>
      </c>
      <c r="E1019" s="1" t="s">
        <v>18</v>
      </c>
      <c r="F1019" s="1" t="s">
        <v>19</v>
      </c>
      <c r="G1019" s="1" t="s">
        <v>20</v>
      </c>
      <c r="H1019" s="1" t="s">
        <v>175</v>
      </c>
      <c r="I1019" s="1">
        <v>5</v>
      </c>
      <c r="J1019" s="1">
        <v>19.09</v>
      </c>
      <c r="K1019" s="1">
        <v>10</v>
      </c>
      <c r="L1019" s="1">
        <v>85.91</v>
      </c>
      <c r="M1019" s="1">
        <v>15.16</v>
      </c>
      <c r="N1019" s="1">
        <v>18.25</v>
      </c>
      <c r="O1019" s="6" t="s">
        <v>34</v>
      </c>
      <c r="P1019" s="8">
        <f>Table1[Quantity]*Table1[Unit_Price]</f>
        <v>95.45</v>
      </c>
      <c r="Q1019" s="1">
        <f>Table1[Profit]/Table1[Total_Sales]</f>
        <v>0.21243161448027006</v>
      </c>
      <c r="R1019" s="14">
        <f>Table1[Total_Sales]+Table1[Shipping_Cost]</f>
        <v>101.07</v>
      </c>
    </row>
    <row r="1020" spans="1:18" x14ac:dyDescent="0.35">
      <c r="A1020" s="3" t="s">
        <v>1984</v>
      </c>
      <c r="B1020" s="2">
        <v>45500</v>
      </c>
      <c r="C1020" s="1" t="s">
        <v>103</v>
      </c>
      <c r="D1020" s="1" t="s">
        <v>30</v>
      </c>
      <c r="E1020" s="1" t="s">
        <v>129</v>
      </c>
      <c r="F1020" s="1" t="s">
        <v>19</v>
      </c>
      <c r="G1020" s="1" t="s">
        <v>20</v>
      </c>
      <c r="H1020" s="1" t="s">
        <v>170</v>
      </c>
      <c r="I1020" s="1">
        <v>1</v>
      </c>
      <c r="J1020" s="1">
        <v>42.3</v>
      </c>
      <c r="K1020" s="1">
        <v>20</v>
      </c>
      <c r="L1020" s="1">
        <v>33.840000000000003</v>
      </c>
      <c r="M1020" s="1">
        <v>5.91</v>
      </c>
      <c r="N1020" s="1">
        <v>4.67</v>
      </c>
      <c r="O1020" s="6" t="s">
        <v>34</v>
      </c>
      <c r="P1020" s="8">
        <f>Table1[Quantity]*Table1[Unit_Price]</f>
        <v>42.3</v>
      </c>
      <c r="Q1020" s="1">
        <f>Table1[Profit]/Table1[Total_Sales]</f>
        <v>0.13800236406619384</v>
      </c>
      <c r="R1020" s="14">
        <f>Table1[Total_Sales]+Table1[Shipping_Cost]</f>
        <v>39.75</v>
      </c>
    </row>
    <row r="1021" spans="1:18" x14ac:dyDescent="0.35">
      <c r="A1021" s="3" t="s">
        <v>1985</v>
      </c>
      <c r="B1021" s="2">
        <v>45501</v>
      </c>
      <c r="C1021" s="1" t="s">
        <v>1986</v>
      </c>
      <c r="D1021" s="1" t="s">
        <v>49</v>
      </c>
      <c r="E1021" s="1" t="s">
        <v>169</v>
      </c>
      <c r="F1021" s="1" t="s">
        <v>68</v>
      </c>
      <c r="G1021" s="1" t="s">
        <v>42</v>
      </c>
      <c r="H1021" s="1" t="s">
        <v>64</v>
      </c>
      <c r="I1021" s="1">
        <v>1</v>
      </c>
      <c r="J1021" s="1">
        <v>58.82</v>
      </c>
      <c r="K1021" s="1">
        <v>15</v>
      </c>
      <c r="L1021" s="1">
        <v>50</v>
      </c>
      <c r="M1021" s="1">
        <v>11.29</v>
      </c>
      <c r="N1021" s="1">
        <v>3.42</v>
      </c>
      <c r="O1021" s="6" t="s">
        <v>22</v>
      </c>
      <c r="P1021" s="8">
        <f>Table1[Quantity]*Table1[Unit_Price]</f>
        <v>58.82</v>
      </c>
      <c r="Q1021" s="1">
        <f>Table1[Profit]/Table1[Total_Sales]</f>
        <v>6.8400000000000002E-2</v>
      </c>
      <c r="R1021" s="14">
        <f>Table1[Total_Sales]+Table1[Shipping_Cost]</f>
        <v>61.29</v>
      </c>
    </row>
    <row r="1022" spans="1:18" x14ac:dyDescent="0.35">
      <c r="A1022" s="3" t="s">
        <v>1987</v>
      </c>
      <c r="B1022" s="2">
        <v>45501</v>
      </c>
      <c r="C1022" s="1" t="s">
        <v>1530</v>
      </c>
      <c r="D1022" s="1" t="s">
        <v>30</v>
      </c>
      <c r="E1022" s="1" t="s">
        <v>135</v>
      </c>
      <c r="F1022" s="1" t="s">
        <v>26</v>
      </c>
      <c r="G1022" s="1" t="s">
        <v>42</v>
      </c>
      <c r="H1022" s="1" t="s">
        <v>294</v>
      </c>
      <c r="I1022" s="1">
        <v>11</v>
      </c>
      <c r="J1022" s="1">
        <v>296.08</v>
      </c>
      <c r="K1022" s="1">
        <v>5</v>
      </c>
      <c r="L1022" s="1">
        <v>3094.04</v>
      </c>
      <c r="M1022" s="1">
        <v>23.46</v>
      </c>
      <c r="N1022" s="1">
        <v>1116.45</v>
      </c>
      <c r="O1022" s="6" t="s">
        <v>56</v>
      </c>
      <c r="P1022" s="8">
        <f>Table1[Quantity]*Table1[Unit_Price]</f>
        <v>3256.8799999999997</v>
      </c>
      <c r="Q1022" s="1">
        <f>Table1[Profit]/Table1[Total_Sales]</f>
        <v>0.36083890318160078</v>
      </c>
      <c r="R1022" s="14">
        <f>Table1[Total_Sales]+Table1[Shipping_Cost]</f>
        <v>3117.5</v>
      </c>
    </row>
    <row r="1023" spans="1:18" x14ac:dyDescent="0.35">
      <c r="A1023" s="3" t="s">
        <v>1988</v>
      </c>
      <c r="B1023" s="2">
        <v>45502</v>
      </c>
      <c r="C1023" s="1" t="s">
        <v>1989</v>
      </c>
      <c r="D1023" s="1" t="s">
        <v>30</v>
      </c>
      <c r="E1023" s="1" t="s">
        <v>129</v>
      </c>
      <c r="F1023" s="1" t="s">
        <v>19</v>
      </c>
      <c r="G1023" s="1" t="s">
        <v>42</v>
      </c>
      <c r="H1023" s="1" t="s">
        <v>294</v>
      </c>
      <c r="I1023" s="1">
        <v>1</v>
      </c>
      <c r="J1023" s="1">
        <v>264.5</v>
      </c>
      <c r="K1023" s="1">
        <v>25</v>
      </c>
      <c r="L1023" s="1">
        <v>198.38</v>
      </c>
      <c r="M1023" s="1">
        <v>7.24</v>
      </c>
      <c r="N1023" s="1">
        <v>32.44</v>
      </c>
      <c r="O1023" s="6" t="s">
        <v>34</v>
      </c>
      <c r="P1023" s="8">
        <f>Table1[Quantity]*Table1[Unit_Price]</f>
        <v>264.5</v>
      </c>
      <c r="Q1023" s="1">
        <f>Table1[Profit]/Table1[Total_Sales]</f>
        <v>0.16352454884564976</v>
      </c>
      <c r="R1023" s="14">
        <f>Table1[Total_Sales]+Table1[Shipping_Cost]</f>
        <v>205.62</v>
      </c>
    </row>
    <row r="1024" spans="1:18" x14ac:dyDescent="0.35">
      <c r="A1024" s="3" t="s">
        <v>1990</v>
      </c>
      <c r="B1024" s="2">
        <v>45502</v>
      </c>
      <c r="C1024" s="1" t="s">
        <v>1991</v>
      </c>
      <c r="D1024" s="1" t="s">
        <v>30</v>
      </c>
      <c r="E1024" s="1" t="s">
        <v>18</v>
      </c>
      <c r="F1024" s="1" t="s">
        <v>19</v>
      </c>
      <c r="G1024" s="1" t="s">
        <v>42</v>
      </c>
      <c r="H1024" s="1" t="s">
        <v>118</v>
      </c>
      <c r="I1024" s="1">
        <v>1</v>
      </c>
      <c r="J1024" s="1">
        <v>43.48</v>
      </c>
      <c r="K1024" s="1">
        <v>0</v>
      </c>
      <c r="L1024" s="1">
        <v>43.48</v>
      </c>
      <c r="M1024" s="1">
        <v>6.89</v>
      </c>
      <c r="N1024" s="1">
        <v>10.5</v>
      </c>
      <c r="O1024" s="6" t="s">
        <v>56</v>
      </c>
      <c r="P1024" s="8">
        <f>Table1[Quantity]*Table1[Unit_Price]</f>
        <v>43.48</v>
      </c>
      <c r="Q1024" s="1">
        <f>Table1[Profit]/Table1[Total_Sales]</f>
        <v>0.24149034038638456</v>
      </c>
      <c r="R1024" s="14">
        <f>Table1[Total_Sales]+Table1[Shipping_Cost]</f>
        <v>50.37</v>
      </c>
    </row>
    <row r="1025" spans="1:18" x14ac:dyDescent="0.35">
      <c r="A1025" s="3" t="s">
        <v>1992</v>
      </c>
      <c r="B1025" s="2">
        <v>45505</v>
      </c>
      <c r="C1025" s="1" t="s">
        <v>1993</v>
      </c>
      <c r="D1025" s="1" t="s">
        <v>30</v>
      </c>
      <c r="E1025" s="1" t="s">
        <v>248</v>
      </c>
      <c r="F1025" s="1" t="s">
        <v>26</v>
      </c>
      <c r="G1025" s="1" t="s">
        <v>20</v>
      </c>
      <c r="H1025" s="1" t="s">
        <v>55</v>
      </c>
      <c r="I1025" s="1">
        <v>2</v>
      </c>
      <c r="J1025" s="1">
        <v>51.5</v>
      </c>
      <c r="K1025" s="1">
        <v>0</v>
      </c>
      <c r="L1025" s="1">
        <v>103</v>
      </c>
      <c r="M1025" s="1">
        <v>9.3000000000000007</v>
      </c>
      <c r="N1025" s="1">
        <v>37.049999999999997</v>
      </c>
      <c r="O1025" s="6" t="s">
        <v>34</v>
      </c>
      <c r="P1025" s="8">
        <f>Table1[Quantity]*Table1[Unit_Price]</f>
        <v>103</v>
      </c>
      <c r="Q1025" s="1">
        <f>Table1[Profit]/Table1[Total_Sales]</f>
        <v>0.35970873786407764</v>
      </c>
      <c r="R1025" s="14">
        <f>Table1[Total_Sales]+Table1[Shipping_Cost]</f>
        <v>112.3</v>
      </c>
    </row>
    <row r="1026" spans="1:18" x14ac:dyDescent="0.35">
      <c r="A1026" s="3" t="s">
        <v>1994</v>
      </c>
      <c r="B1026" s="2">
        <v>45506</v>
      </c>
      <c r="C1026" s="1" t="s">
        <v>1995</v>
      </c>
      <c r="D1026" s="1" t="s">
        <v>49</v>
      </c>
      <c r="E1026" s="1" t="s">
        <v>76</v>
      </c>
      <c r="F1026" s="1" t="s">
        <v>26</v>
      </c>
      <c r="G1026" s="1" t="s">
        <v>32</v>
      </c>
      <c r="H1026" s="1" t="s">
        <v>132</v>
      </c>
      <c r="I1026" s="1">
        <v>4</v>
      </c>
      <c r="J1026" s="1">
        <v>14.54</v>
      </c>
      <c r="K1026" s="1">
        <v>15</v>
      </c>
      <c r="L1026" s="1">
        <v>49.44</v>
      </c>
      <c r="M1026" s="1">
        <v>12.57</v>
      </c>
      <c r="N1026" s="1">
        <v>10.7</v>
      </c>
      <c r="O1026" s="6" t="s">
        <v>39</v>
      </c>
      <c r="P1026" s="8">
        <f>Table1[Quantity]*Table1[Unit_Price]</f>
        <v>58.16</v>
      </c>
      <c r="Q1026" s="1">
        <f>Table1[Profit]/Table1[Total_Sales]</f>
        <v>0.21642394822006472</v>
      </c>
      <c r="R1026" s="14">
        <f>Table1[Total_Sales]+Table1[Shipping_Cost]</f>
        <v>62.01</v>
      </c>
    </row>
    <row r="1027" spans="1:18" x14ac:dyDescent="0.35">
      <c r="A1027" s="3" t="s">
        <v>1996</v>
      </c>
      <c r="B1027" s="2">
        <v>45507</v>
      </c>
      <c r="C1027" s="1" t="s">
        <v>1997</v>
      </c>
      <c r="D1027" s="1" t="s">
        <v>30</v>
      </c>
      <c r="E1027" s="1" t="s">
        <v>76</v>
      </c>
      <c r="F1027" s="1" t="s">
        <v>26</v>
      </c>
      <c r="G1027" s="1" t="s">
        <v>42</v>
      </c>
      <c r="H1027" s="1" t="s">
        <v>64</v>
      </c>
      <c r="I1027" s="1">
        <v>3</v>
      </c>
      <c r="J1027" s="1">
        <v>75.05</v>
      </c>
      <c r="K1027" s="1">
        <v>0</v>
      </c>
      <c r="L1027" s="1">
        <v>225.15</v>
      </c>
      <c r="M1027" s="1">
        <v>12.4</v>
      </c>
      <c r="N1027" s="1">
        <v>77.66</v>
      </c>
      <c r="O1027" s="6" t="s">
        <v>39</v>
      </c>
      <c r="P1027" s="8">
        <f>Table1[Quantity]*Table1[Unit_Price]</f>
        <v>225.14999999999998</v>
      </c>
      <c r="Q1027" s="1">
        <f>Table1[Profit]/Table1[Total_Sales]</f>
        <v>0.34492560515212078</v>
      </c>
      <c r="R1027" s="14">
        <f>Table1[Total_Sales]+Table1[Shipping_Cost]</f>
        <v>237.55</v>
      </c>
    </row>
    <row r="1028" spans="1:18" x14ac:dyDescent="0.35">
      <c r="A1028" s="3" t="s">
        <v>1998</v>
      </c>
      <c r="B1028" s="2">
        <v>45507</v>
      </c>
      <c r="C1028" s="1" t="s">
        <v>1999</v>
      </c>
      <c r="D1028" s="1" t="s">
        <v>30</v>
      </c>
      <c r="E1028" s="1" t="s">
        <v>166</v>
      </c>
      <c r="F1028" s="1" t="s">
        <v>60</v>
      </c>
      <c r="G1028" s="1" t="s">
        <v>69</v>
      </c>
      <c r="H1028" s="1" t="s">
        <v>79</v>
      </c>
      <c r="I1028" s="1">
        <v>4</v>
      </c>
      <c r="J1028" s="1">
        <v>39.58</v>
      </c>
      <c r="K1028" s="1">
        <v>5</v>
      </c>
      <c r="L1028" s="1">
        <v>150.4</v>
      </c>
      <c r="M1028" s="1">
        <v>11.02</v>
      </c>
      <c r="N1028" s="1">
        <v>60.22</v>
      </c>
      <c r="O1028" s="6" t="s">
        <v>39</v>
      </c>
      <c r="P1028" s="8">
        <f>Table1[Quantity]*Table1[Unit_Price]</f>
        <v>158.32</v>
      </c>
      <c r="Q1028" s="1">
        <f>Table1[Profit]/Table1[Total_Sales]</f>
        <v>0.40039893617021272</v>
      </c>
      <c r="R1028" s="14">
        <f>Table1[Total_Sales]+Table1[Shipping_Cost]</f>
        <v>161.42000000000002</v>
      </c>
    </row>
    <row r="1029" spans="1:18" x14ac:dyDescent="0.35">
      <c r="A1029" s="3" t="s">
        <v>2000</v>
      </c>
      <c r="B1029" s="2">
        <v>45508</v>
      </c>
      <c r="C1029" s="1" t="s">
        <v>1186</v>
      </c>
      <c r="D1029" s="1" t="s">
        <v>30</v>
      </c>
      <c r="E1029" s="1" t="s">
        <v>18</v>
      </c>
      <c r="F1029" s="1" t="s">
        <v>19</v>
      </c>
      <c r="G1029" s="1" t="s">
        <v>20</v>
      </c>
      <c r="H1029" s="1" t="s">
        <v>122</v>
      </c>
      <c r="I1029" s="1">
        <v>7</v>
      </c>
      <c r="J1029" s="1">
        <v>102.39</v>
      </c>
      <c r="K1029" s="1">
        <v>5</v>
      </c>
      <c r="L1029" s="1">
        <v>680.89</v>
      </c>
      <c r="M1029" s="1">
        <v>13.51</v>
      </c>
      <c r="N1029" s="1">
        <v>273.18</v>
      </c>
      <c r="O1029" s="6" t="s">
        <v>39</v>
      </c>
      <c r="P1029" s="8">
        <f>Table1[Quantity]*Table1[Unit_Price]</f>
        <v>716.73</v>
      </c>
      <c r="Q1029" s="1">
        <f>Table1[Profit]/Table1[Total_Sales]</f>
        <v>0.40121018079278592</v>
      </c>
      <c r="R1029" s="14">
        <f>Table1[Total_Sales]+Table1[Shipping_Cost]</f>
        <v>694.4</v>
      </c>
    </row>
    <row r="1030" spans="1:18" x14ac:dyDescent="0.35">
      <c r="A1030" s="3" t="s">
        <v>2001</v>
      </c>
      <c r="B1030" s="2">
        <v>45509</v>
      </c>
      <c r="C1030" s="1" t="s">
        <v>2002</v>
      </c>
      <c r="D1030" s="1" t="s">
        <v>17</v>
      </c>
      <c r="E1030" s="1" t="s">
        <v>121</v>
      </c>
      <c r="F1030" s="1" t="s">
        <v>68</v>
      </c>
      <c r="G1030" s="1" t="s">
        <v>69</v>
      </c>
      <c r="H1030" s="1" t="s">
        <v>305</v>
      </c>
      <c r="I1030" s="1">
        <v>2</v>
      </c>
      <c r="J1030" s="1">
        <v>54.24</v>
      </c>
      <c r="K1030" s="1">
        <v>15</v>
      </c>
      <c r="L1030" s="1">
        <v>92.21</v>
      </c>
      <c r="M1030" s="1">
        <v>12.61</v>
      </c>
      <c r="N1030" s="1">
        <v>25.36</v>
      </c>
      <c r="O1030" s="6" t="s">
        <v>34</v>
      </c>
      <c r="P1030" s="8">
        <f>Table1[Quantity]*Table1[Unit_Price]</f>
        <v>108.48</v>
      </c>
      <c r="Q1030" s="1">
        <f>Table1[Profit]/Table1[Total_Sales]</f>
        <v>0.27502440082420565</v>
      </c>
      <c r="R1030" s="14">
        <f>Table1[Total_Sales]+Table1[Shipping_Cost]</f>
        <v>104.82</v>
      </c>
    </row>
    <row r="1031" spans="1:18" x14ac:dyDescent="0.35">
      <c r="A1031" s="3" t="s">
        <v>2003</v>
      </c>
      <c r="B1031" s="2">
        <v>45509</v>
      </c>
      <c r="C1031" s="1" t="s">
        <v>2004</v>
      </c>
      <c r="D1031" s="1" t="s">
        <v>17</v>
      </c>
      <c r="E1031" s="1" t="s">
        <v>18</v>
      </c>
      <c r="F1031" s="1" t="s">
        <v>19</v>
      </c>
      <c r="G1031" s="1" t="s">
        <v>32</v>
      </c>
      <c r="H1031" s="1" t="s">
        <v>132</v>
      </c>
      <c r="I1031" s="1">
        <v>2</v>
      </c>
      <c r="J1031" s="1">
        <v>7.92</v>
      </c>
      <c r="K1031" s="1">
        <v>0</v>
      </c>
      <c r="L1031" s="1">
        <v>15.84</v>
      </c>
      <c r="M1031" s="1">
        <v>8.07</v>
      </c>
      <c r="N1031" s="1">
        <v>0.64</v>
      </c>
      <c r="O1031" s="6" t="s">
        <v>39</v>
      </c>
      <c r="P1031" s="8">
        <f>Table1[Quantity]*Table1[Unit_Price]</f>
        <v>15.84</v>
      </c>
      <c r="Q1031" s="1">
        <f>Table1[Profit]/Table1[Total_Sales]</f>
        <v>4.0404040404040407E-2</v>
      </c>
      <c r="R1031" s="14">
        <f>Table1[Total_Sales]+Table1[Shipping_Cost]</f>
        <v>23.91</v>
      </c>
    </row>
    <row r="1032" spans="1:18" x14ac:dyDescent="0.35">
      <c r="A1032" s="3" t="s">
        <v>2005</v>
      </c>
      <c r="B1032" s="2">
        <v>45510</v>
      </c>
      <c r="C1032" s="1" t="s">
        <v>2006</v>
      </c>
      <c r="D1032" s="1" t="s">
        <v>30</v>
      </c>
      <c r="E1032" s="1" t="s">
        <v>31</v>
      </c>
      <c r="F1032" s="1" t="s">
        <v>19</v>
      </c>
      <c r="G1032" s="1" t="s">
        <v>32</v>
      </c>
      <c r="H1032" s="1" t="s">
        <v>50</v>
      </c>
      <c r="I1032" s="1">
        <v>4</v>
      </c>
      <c r="J1032" s="1">
        <v>22.41</v>
      </c>
      <c r="K1032" s="1">
        <v>5</v>
      </c>
      <c r="L1032" s="1">
        <v>85.16</v>
      </c>
      <c r="M1032" s="1">
        <v>11.14</v>
      </c>
      <c r="N1032" s="1">
        <v>33.68</v>
      </c>
      <c r="O1032" s="6" t="s">
        <v>39</v>
      </c>
      <c r="P1032" s="8">
        <f>Table1[Quantity]*Table1[Unit_Price]</f>
        <v>89.64</v>
      </c>
      <c r="Q1032" s="1">
        <f>Table1[Profit]/Table1[Total_Sales]</f>
        <v>0.39549084077031471</v>
      </c>
      <c r="R1032" s="14">
        <f>Table1[Total_Sales]+Table1[Shipping_Cost]</f>
        <v>96.3</v>
      </c>
    </row>
    <row r="1033" spans="1:18" x14ac:dyDescent="0.35">
      <c r="A1033" s="3" t="s">
        <v>2007</v>
      </c>
      <c r="B1033" s="2">
        <v>45510</v>
      </c>
      <c r="C1033" s="1" t="s">
        <v>2008</v>
      </c>
      <c r="D1033" s="1" t="s">
        <v>30</v>
      </c>
      <c r="E1033" s="1" t="s">
        <v>85</v>
      </c>
      <c r="F1033" s="1" t="s">
        <v>60</v>
      </c>
      <c r="G1033" s="1" t="s">
        <v>32</v>
      </c>
      <c r="H1033" s="1" t="s">
        <v>110</v>
      </c>
      <c r="I1033" s="1">
        <v>2</v>
      </c>
      <c r="J1033" s="1">
        <v>7.5</v>
      </c>
      <c r="K1033" s="1">
        <v>10</v>
      </c>
      <c r="L1033" s="1">
        <v>13.5</v>
      </c>
      <c r="M1033" s="1">
        <v>11.22</v>
      </c>
      <c r="N1033" s="1">
        <v>-4.47</v>
      </c>
      <c r="O1033" s="6" t="s">
        <v>39</v>
      </c>
      <c r="P1033" s="8">
        <f>Table1[Quantity]*Table1[Unit_Price]</f>
        <v>15</v>
      </c>
      <c r="Q1033" s="1">
        <f>Table1[Profit]/Table1[Total_Sales]</f>
        <v>-0.33111111111111108</v>
      </c>
      <c r="R1033" s="14">
        <f>Table1[Total_Sales]+Table1[Shipping_Cost]</f>
        <v>24.72</v>
      </c>
    </row>
    <row r="1034" spans="1:18" x14ac:dyDescent="0.35">
      <c r="A1034" s="3" t="s">
        <v>2009</v>
      </c>
      <c r="B1034" s="2">
        <v>45510</v>
      </c>
      <c r="C1034" s="1" t="s">
        <v>676</v>
      </c>
      <c r="D1034" s="1" t="s">
        <v>30</v>
      </c>
      <c r="E1034" s="1" t="s">
        <v>92</v>
      </c>
      <c r="F1034" s="1" t="s">
        <v>60</v>
      </c>
      <c r="G1034" s="1" t="s">
        <v>20</v>
      </c>
      <c r="H1034" s="1" t="s">
        <v>170</v>
      </c>
      <c r="I1034" s="1">
        <v>1</v>
      </c>
      <c r="J1034" s="1">
        <v>34.53</v>
      </c>
      <c r="K1034" s="1">
        <v>0</v>
      </c>
      <c r="L1034" s="1">
        <v>34.53</v>
      </c>
      <c r="M1034" s="1">
        <v>10.15</v>
      </c>
      <c r="N1034" s="1">
        <v>5.39</v>
      </c>
      <c r="O1034" s="6" t="s">
        <v>39</v>
      </c>
      <c r="P1034" s="8">
        <f>Table1[Quantity]*Table1[Unit_Price]</f>
        <v>34.53</v>
      </c>
      <c r="Q1034" s="1">
        <f>Table1[Profit]/Table1[Total_Sales]</f>
        <v>0.15609614827686069</v>
      </c>
      <c r="R1034" s="14">
        <f>Table1[Total_Sales]+Table1[Shipping_Cost]</f>
        <v>44.68</v>
      </c>
    </row>
    <row r="1035" spans="1:18" x14ac:dyDescent="0.35">
      <c r="A1035" s="3" t="s">
        <v>2010</v>
      </c>
      <c r="B1035" s="2">
        <v>45511</v>
      </c>
      <c r="C1035" s="1" t="s">
        <v>2011</v>
      </c>
      <c r="D1035" s="1" t="s">
        <v>49</v>
      </c>
      <c r="E1035" s="1" t="s">
        <v>129</v>
      </c>
      <c r="F1035" s="1" t="s">
        <v>19</v>
      </c>
      <c r="G1035" s="1" t="s">
        <v>42</v>
      </c>
      <c r="H1035" s="1" t="s">
        <v>118</v>
      </c>
      <c r="I1035" s="1">
        <v>3</v>
      </c>
      <c r="J1035" s="1">
        <v>76.33</v>
      </c>
      <c r="K1035" s="1">
        <v>0</v>
      </c>
      <c r="L1035" s="1">
        <v>228.99</v>
      </c>
      <c r="M1035" s="1">
        <v>7.81</v>
      </c>
      <c r="N1035" s="1">
        <v>83.79</v>
      </c>
      <c r="O1035" s="6" t="s">
        <v>34</v>
      </c>
      <c r="P1035" s="8">
        <f>Table1[Quantity]*Table1[Unit_Price]</f>
        <v>228.99</v>
      </c>
      <c r="Q1035" s="1">
        <f>Table1[Profit]/Table1[Total_Sales]</f>
        <v>0.36591117516048738</v>
      </c>
      <c r="R1035" s="14">
        <f>Table1[Total_Sales]+Table1[Shipping_Cost]</f>
        <v>236.8</v>
      </c>
    </row>
    <row r="1036" spans="1:18" x14ac:dyDescent="0.35">
      <c r="A1036" s="3" t="s">
        <v>2012</v>
      </c>
      <c r="B1036" s="2">
        <v>45511</v>
      </c>
      <c r="C1036" s="1" t="s">
        <v>2013</v>
      </c>
      <c r="D1036" s="1" t="s">
        <v>17</v>
      </c>
      <c r="E1036" s="1" t="s">
        <v>31</v>
      </c>
      <c r="F1036" s="1" t="s">
        <v>19</v>
      </c>
      <c r="G1036" s="1" t="s">
        <v>20</v>
      </c>
      <c r="H1036" s="1" t="s">
        <v>170</v>
      </c>
      <c r="I1036" s="1">
        <v>4</v>
      </c>
      <c r="J1036" s="1">
        <v>57.77</v>
      </c>
      <c r="K1036" s="1">
        <v>15</v>
      </c>
      <c r="L1036" s="1">
        <v>196.42</v>
      </c>
      <c r="M1036" s="1">
        <v>8.23</v>
      </c>
      <c r="N1036" s="1">
        <v>61.1</v>
      </c>
      <c r="O1036" s="6" t="s">
        <v>34</v>
      </c>
      <c r="P1036" s="8">
        <f>Table1[Quantity]*Table1[Unit_Price]</f>
        <v>231.08</v>
      </c>
      <c r="Q1036" s="1">
        <f>Table1[Profit]/Table1[Total_Sales]</f>
        <v>0.3110681193361165</v>
      </c>
      <c r="R1036" s="14">
        <f>Table1[Total_Sales]+Table1[Shipping_Cost]</f>
        <v>204.64999999999998</v>
      </c>
    </row>
    <row r="1037" spans="1:18" x14ac:dyDescent="0.35">
      <c r="A1037" s="3" t="s">
        <v>2014</v>
      </c>
      <c r="B1037" s="2">
        <v>45512</v>
      </c>
      <c r="C1037" s="1" t="s">
        <v>2015</v>
      </c>
      <c r="D1037" s="1" t="s">
        <v>17</v>
      </c>
      <c r="E1037" s="1" t="s">
        <v>129</v>
      </c>
      <c r="F1037" s="1" t="s">
        <v>19</v>
      </c>
      <c r="G1037" s="1" t="s">
        <v>32</v>
      </c>
      <c r="H1037" s="1" t="s">
        <v>132</v>
      </c>
      <c r="I1037" s="1">
        <v>2</v>
      </c>
      <c r="J1037" s="1">
        <v>10.66</v>
      </c>
      <c r="K1037" s="1">
        <v>5</v>
      </c>
      <c r="L1037" s="1">
        <v>20.25</v>
      </c>
      <c r="M1037" s="1">
        <v>8.06</v>
      </c>
      <c r="N1037" s="1">
        <v>2.6</v>
      </c>
      <c r="O1037" s="6" t="s">
        <v>34</v>
      </c>
      <c r="P1037" s="8">
        <f>Table1[Quantity]*Table1[Unit_Price]</f>
        <v>21.32</v>
      </c>
      <c r="Q1037" s="1">
        <f>Table1[Profit]/Table1[Total_Sales]</f>
        <v>0.12839506172839507</v>
      </c>
      <c r="R1037" s="14">
        <f>Table1[Total_Sales]+Table1[Shipping_Cost]</f>
        <v>28.310000000000002</v>
      </c>
    </row>
    <row r="1038" spans="1:18" x14ac:dyDescent="0.35">
      <c r="A1038" s="3" t="s">
        <v>2016</v>
      </c>
      <c r="B1038" s="2">
        <v>45512</v>
      </c>
      <c r="C1038" s="1" t="s">
        <v>2017</v>
      </c>
      <c r="D1038" s="1" t="s">
        <v>30</v>
      </c>
      <c r="E1038" s="1" t="s">
        <v>148</v>
      </c>
      <c r="F1038" s="1" t="s">
        <v>60</v>
      </c>
      <c r="G1038" s="1" t="s">
        <v>69</v>
      </c>
      <c r="H1038" s="1" t="s">
        <v>79</v>
      </c>
      <c r="I1038" s="1">
        <v>3</v>
      </c>
      <c r="J1038" s="1">
        <v>40.65</v>
      </c>
      <c r="K1038" s="1">
        <v>5</v>
      </c>
      <c r="L1038" s="1">
        <v>115.85</v>
      </c>
      <c r="M1038" s="1">
        <v>13.02</v>
      </c>
      <c r="N1038" s="1">
        <v>41.86</v>
      </c>
      <c r="O1038" s="6" t="s">
        <v>39</v>
      </c>
      <c r="P1038" s="8">
        <f>Table1[Quantity]*Table1[Unit_Price]</f>
        <v>121.94999999999999</v>
      </c>
      <c r="Q1038" s="1">
        <f>Table1[Profit]/Table1[Total_Sales]</f>
        <v>0.36132930513595168</v>
      </c>
      <c r="R1038" s="14">
        <f>Table1[Total_Sales]+Table1[Shipping_Cost]</f>
        <v>128.87</v>
      </c>
    </row>
    <row r="1039" spans="1:18" x14ac:dyDescent="0.35">
      <c r="A1039" s="3" t="s">
        <v>2018</v>
      </c>
      <c r="B1039" s="2">
        <v>45513</v>
      </c>
      <c r="C1039" s="1" t="s">
        <v>1938</v>
      </c>
      <c r="D1039" s="1" t="s">
        <v>17</v>
      </c>
      <c r="E1039" s="1" t="s">
        <v>18</v>
      </c>
      <c r="F1039" s="1" t="s">
        <v>19</v>
      </c>
      <c r="G1039" s="1" t="s">
        <v>32</v>
      </c>
      <c r="H1039" s="1" t="s">
        <v>115</v>
      </c>
      <c r="I1039" s="1">
        <v>4</v>
      </c>
      <c r="J1039" s="1">
        <v>17.75</v>
      </c>
      <c r="K1039" s="1">
        <v>5</v>
      </c>
      <c r="L1039" s="1">
        <v>67.45</v>
      </c>
      <c r="M1039" s="1">
        <v>13.03</v>
      </c>
      <c r="N1039" s="1">
        <v>22.47</v>
      </c>
      <c r="O1039" s="6" t="s">
        <v>34</v>
      </c>
      <c r="P1039" s="8">
        <f>Table1[Quantity]*Table1[Unit_Price]</f>
        <v>71</v>
      </c>
      <c r="Q1039" s="1">
        <f>Table1[Profit]/Table1[Total_Sales]</f>
        <v>0.33313565604151218</v>
      </c>
      <c r="R1039" s="14">
        <f>Table1[Total_Sales]+Table1[Shipping_Cost]</f>
        <v>80.48</v>
      </c>
    </row>
    <row r="1040" spans="1:18" x14ac:dyDescent="0.35">
      <c r="A1040" s="3" t="s">
        <v>2019</v>
      </c>
      <c r="B1040" s="2">
        <v>45513</v>
      </c>
      <c r="C1040" s="1" t="s">
        <v>1694</v>
      </c>
      <c r="D1040" s="1" t="s">
        <v>49</v>
      </c>
      <c r="E1040" s="1" t="s">
        <v>37</v>
      </c>
      <c r="F1040" s="1" t="s">
        <v>26</v>
      </c>
      <c r="G1040" s="1" t="s">
        <v>69</v>
      </c>
      <c r="H1040" s="1" t="s">
        <v>70</v>
      </c>
      <c r="I1040" s="1">
        <v>7</v>
      </c>
      <c r="J1040" s="1">
        <v>22.85</v>
      </c>
      <c r="K1040" s="1">
        <v>5</v>
      </c>
      <c r="L1040" s="1">
        <v>151.94999999999999</v>
      </c>
      <c r="M1040" s="1">
        <v>10.55</v>
      </c>
      <c r="N1040" s="1">
        <v>61.42</v>
      </c>
      <c r="O1040" s="6" t="s">
        <v>56</v>
      </c>
      <c r="P1040" s="8">
        <f>Table1[Quantity]*Table1[Unit_Price]</f>
        <v>159.95000000000002</v>
      </c>
      <c r="Q1040" s="1">
        <f>Table1[Profit]/Table1[Total_Sales]</f>
        <v>0.40421191181309646</v>
      </c>
      <c r="R1040" s="14">
        <f>Table1[Total_Sales]+Table1[Shipping_Cost]</f>
        <v>162.5</v>
      </c>
    </row>
    <row r="1041" spans="1:18" x14ac:dyDescent="0.35">
      <c r="A1041" s="3" t="s">
        <v>2020</v>
      </c>
      <c r="B1041" s="2">
        <v>45514</v>
      </c>
      <c r="C1041" s="1" t="s">
        <v>259</v>
      </c>
      <c r="D1041" s="1" t="s">
        <v>30</v>
      </c>
      <c r="E1041" s="1" t="s">
        <v>248</v>
      </c>
      <c r="F1041" s="1" t="s">
        <v>26</v>
      </c>
      <c r="G1041" s="1" t="s">
        <v>20</v>
      </c>
      <c r="H1041" s="1" t="s">
        <v>106</v>
      </c>
      <c r="I1041" s="1">
        <v>4</v>
      </c>
      <c r="J1041" s="1">
        <v>59.34</v>
      </c>
      <c r="K1041" s="1">
        <v>20</v>
      </c>
      <c r="L1041" s="1">
        <v>189.89</v>
      </c>
      <c r="M1041" s="1">
        <v>12.93</v>
      </c>
      <c r="N1041" s="1">
        <v>46.41</v>
      </c>
      <c r="O1041" s="6" t="s">
        <v>22</v>
      </c>
      <c r="P1041" s="8">
        <f>Table1[Quantity]*Table1[Unit_Price]</f>
        <v>237.36</v>
      </c>
      <c r="Q1041" s="1">
        <f>Table1[Profit]/Table1[Total_Sales]</f>
        <v>0.24440465532676814</v>
      </c>
      <c r="R1041" s="14">
        <f>Table1[Total_Sales]+Table1[Shipping_Cost]</f>
        <v>202.82</v>
      </c>
    </row>
    <row r="1042" spans="1:18" x14ac:dyDescent="0.35">
      <c r="A1042" s="3" t="s">
        <v>2021</v>
      </c>
      <c r="B1042" s="2">
        <v>45514</v>
      </c>
      <c r="C1042" s="1" t="s">
        <v>2022</v>
      </c>
      <c r="D1042" s="1" t="s">
        <v>49</v>
      </c>
      <c r="E1042" s="1" t="s">
        <v>148</v>
      </c>
      <c r="F1042" s="1" t="s">
        <v>60</v>
      </c>
      <c r="G1042" s="1" t="s">
        <v>42</v>
      </c>
      <c r="H1042" s="1" t="s">
        <v>43</v>
      </c>
      <c r="I1042" s="1">
        <v>3</v>
      </c>
      <c r="J1042" s="1">
        <v>167.77</v>
      </c>
      <c r="K1042" s="1">
        <v>5</v>
      </c>
      <c r="L1042" s="1">
        <v>478.14</v>
      </c>
      <c r="M1042" s="1">
        <v>12.09</v>
      </c>
      <c r="N1042" s="1">
        <v>164.06</v>
      </c>
      <c r="O1042" s="6" t="s">
        <v>22</v>
      </c>
      <c r="P1042" s="8">
        <f>Table1[Quantity]*Table1[Unit_Price]</f>
        <v>503.31000000000006</v>
      </c>
      <c r="Q1042" s="1">
        <f>Table1[Profit]/Table1[Total_Sales]</f>
        <v>0.34312126155519307</v>
      </c>
      <c r="R1042" s="14">
        <f>Table1[Total_Sales]+Table1[Shipping_Cost]</f>
        <v>490.22999999999996</v>
      </c>
    </row>
    <row r="1043" spans="1:18" x14ac:dyDescent="0.35">
      <c r="A1043" s="3" t="s">
        <v>2023</v>
      </c>
      <c r="B1043" s="2">
        <v>45516</v>
      </c>
      <c r="C1043" s="1" t="s">
        <v>2024</v>
      </c>
      <c r="D1043" s="1" t="s">
        <v>30</v>
      </c>
      <c r="E1043" s="1" t="s">
        <v>63</v>
      </c>
      <c r="F1043" s="1" t="s">
        <v>54</v>
      </c>
      <c r="G1043" s="1" t="s">
        <v>20</v>
      </c>
      <c r="H1043" s="1" t="s">
        <v>175</v>
      </c>
      <c r="I1043" s="1">
        <v>3</v>
      </c>
      <c r="J1043" s="1">
        <v>24.66</v>
      </c>
      <c r="K1043" s="1">
        <v>10</v>
      </c>
      <c r="L1043" s="1">
        <v>66.58</v>
      </c>
      <c r="M1043" s="1">
        <v>14.37</v>
      </c>
      <c r="N1043" s="1">
        <v>11.52</v>
      </c>
      <c r="O1043" s="6" t="s">
        <v>39</v>
      </c>
      <c r="P1043" s="8">
        <f>Table1[Quantity]*Table1[Unit_Price]</f>
        <v>73.98</v>
      </c>
      <c r="Q1043" s="1">
        <f>Table1[Profit]/Table1[Total_Sales]</f>
        <v>0.17302493241213576</v>
      </c>
      <c r="R1043" s="14">
        <f>Table1[Total_Sales]+Table1[Shipping_Cost]</f>
        <v>80.95</v>
      </c>
    </row>
    <row r="1044" spans="1:18" x14ac:dyDescent="0.35">
      <c r="A1044" s="3" t="s">
        <v>2025</v>
      </c>
      <c r="B1044" s="2">
        <v>45517</v>
      </c>
      <c r="C1044" s="1" t="s">
        <v>2026</v>
      </c>
      <c r="D1044" s="1" t="s">
        <v>17</v>
      </c>
      <c r="E1044" s="1" t="s">
        <v>166</v>
      </c>
      <c r="F1044" s="1" t="s">
        <v>60</v>
      </c>
      <c r="G1044" s="1" t="s">
        <v>20</v>
      </c>
      <c r="H1044" s="1" t="s">
        <v>21</v>
      </c>
      <c r="I1044" s="1">
        <v>4</v>
      </c>
      <c r="J1044" s="1">
        <v>147.28</v>
      </c>
      <c r="K1044" s="1">
        <v>10</v>
      </c>
      <c r="L1044" s="1">
        <v>530.21</v>
      </c>
      <c r="M1044" s="1">
        <v>12.2</v>
      </c>
      <c r="N1044" s="1">
        <v>193.99</v>
      </c>
      <c r="O1044" s="6" t="s">
        <v>22</v>
      </c>
      <c r="P1044" s="8">
        <f>Table1[Quantity]*Table1[Unit_Price]</f>
        <v>589.12</v>
      </c>
      <c r="Q1044" s="1">
        <f>Table1[Profit]/Table1[Total_Sales]</f>
        <v>0.36587389902114253</v>
      </c>
      <c r="R1044" s="14">
        <f>Table1[Total_Sales]+Table1[Shipping_Cost]</f>
        <v>542.41000000000008</v>
      </c>
    </row>
    <row r="1045" spans="1:18" x14ac:dyDescent="0.35">
      <c r="A1045" s="3" t="s">
        <v>2027</v>
      </c>
      <c r="B1045" s="2">
        <v>45517</v>
      </c>
      <c r="C1045" s="1" t="s">
        <v>2028</v>
      </c>
      <c r="D1045" s="1" t="s">
        <v>30</v>
      </c>
      <c r="E1045" s="1" t="s">
        <v>31</v>
      </c>
      <c r="F1045" s="1" t="s">
        <v>19</v>
      </c>
      <c r="G1045" s="1" t="s">
        <v>20</v>
      </c>
      <c r="H1045" s="1" t="s">
        <v>38</v>
      </c>
      <c r="I1045" s="1">
        <v>4</v>
      </c>
      <c r="J1045" s="1">
        <v>63.81</v>
      </c>
      <c r="K1045" s="1">
        <v>5</v>
      </c>
      <c r="L1045" s="1">
        <v>242.48</v>
      </c>
      <c r="M1045" s="1">
        <v>12.73</v>
      </c>
      <c r="N1045" s="1">
        <v>89.37</v>
      </c>
      <c r="O1045" s="6" t="s">
        <v>39</v>
      </c>
      <c r="P1045" s="8">
        <f>Table1[Quantity]*Table1[Unit_Price]</f>
        <v>255.24</v>
      </c>
      <c r="Q1045" s="1">
        <f>Table1[Profit]/Table1[Total_Sales]</f>
        <v>0.36856647970966683</v>
      </c>
      <c r="R1045" s="14">
        <f>Table1[Total_Sales]+Table1[Shipping_Cost]</f>
        <v>255.20999999999998</v>
      </c>
    </row>
    <row r="1046" spans="1:18" x14ac:dyDescent="0.35">
      <c r="A1046" s="3" t="s">
        <v>2029</v>
      </c>
      <c r="B1046" s="2">
        <v>45517</v>
      </c>
      <c r="C1046" s="1" t="s">
        <v>1505</v>
      </c>
      <c r="D1046" s="1" t="s">
        <v>49</v>
      </c>
      <c r="E1046" s="1" t="s">
        <v>31</v>
      </c>
      <c r="F1046" s="1" t="s">
        <v>19</v>
      </c>
      <c r="G1046" s="1" t="s">
        <v>32</v>
      </c>
      <c r="H1046" s="1" t="s">
        <v>101</v>
      </c>
      <c r="I1046" s="1">
        <v>1</v>
      </c>
      <c r="J1046" s="1">
        <v>9.65</v>
      </c>
      <c r="K1046" s="1">
        <v>10</v>
      </c>
      <c r="L1046" s="1">
        <v>8.69</v>
      </c>
      <c r="M1046" s="1">
        <v>5.86</v>
      </c>
      <c r="N1046" s="1">
        <v>-1.51</v>
      </c>
      <c r="O1046" s="6" t="s">
        <v>39</v>
      </c>
      <c r="P1046" s="8">
        <f>Table1[Quantity]*Table1[Unit_Price]</f>
        <v>9.65</v>
      </c>
      <c r="Q1046" s="1">
        <f>Table1[Profit]/Table1[Total_Sales]</f>
        <v>-0.17376294591484465</v>
      </c>
      <c r="R1046" s="14">
        <f>Table1[Total_Sales]+Table1[Shipping_Cost]</f>
        <v>14.55</v>
      </c>
    </row>
    <row r="1047" spans="1:18" x14ac:dyDescent="0.35">
      <c r="A1047" s="3" t="s">
        <v>2030</v>
      </c>
      <c r="B1047" s="2">
        <v>45518</v>
      </c>
      <c r="C1047" s="1" t="s">
        <v>2031</v>
      </c>
      <c r="D1047" s="1" t="s">
        <v>30</v>
      </c>
      <c r="E1047" s="1" t="s">
        <v>129</v>
      </c>
      <c r="F1047" s="1" t="s">
        <v>19</v>
      </c>
      <c r="G1047" s="1" t="s">
        <v>42</v>
      </c>
      <c r="H1047" s="1" t="s">
        <v>89</v>
      </c>
      <c r="I1047" s="1">
        <v>4</v>
      </c>
      <c r="J1047" s="1">
        <v>347.26</v>
      </c>
      <c r="K1047" s="1">
        <v>20</v>
      </c>
      <c r="L1047" s="1">
        <v>1111.23</v>
      </c>
      <c r="M1047" s="1">
        <v>11</v>
      </c>
      <c r="N1047" s="1">
        <v>266.81</v>
      </c>
      <c r="O1047" s="6" t="s">
        <v>39</v>
      </c>
      <c r="P1047" s="8">
        <f>Table1[Quantity]*Table1[Unit_Price]</f>
        <v>1389.04</v>
      </c>
      <c r="Q1047" s="1">
        <f>Table1[Profit]/Table1[Total_Sales]</f>
        <v>0.24010330894594278</v>
      </c>
      <c r="R1047" s="14">
        <f>Table1[Total_Sales]+Table1[Shipping_Cost]</f>
        <v>1122.23</v>
      </c>
    </row>
    <row r="1048" spans="1:18" x14ac:dyDescent="0.35">
      <c r="A1048" s="3" t="s">
        <v>2032</v>
      </c>
      <c r="B1048" s="2">
        <v>45518</v>
      </c>
      <c r="C1048" s="1" t="s">
        <v>2033</v>
      </c>
      <c r="D1048" s="1" t="s">
        <v>49</v>
      </c>
      <c r="E1048" s="1" t="s">
        <v>18</v>
      </c>
      <c r="F1048" s="1" t="s">
        <v>19</v>
      </c>
      <c r="G1048" s="1" t="s">
        <v>42</v>
      </c>
      <c r="H1048" s="1" t="s">
        <v>255</v>
      </c>
      <c r="I1048" s="1">
        <v>1</v>
      </c>
      <c r="J1048" s="1">
        <v>53.78</v>
      </c>
      <c r="K1048" s="1">
        <v>5</v>
      </c>
      <c r="L1048" s="1">
        <v>51.09</v>
      </c>
      <c r="M1048" s="1">
        <v>6.42</v>
      </c>
      <c r="N1048" s="1">
        <v>12.4</v>
      </c>
      <c r="O1048" s="6" t="s">
        <v>56</v>
      </c>
      <c r="P1048" s="8">
        <f>Table1[Quantity]*Table1[Unit_Price]</f>
        <v>53.78</v>
      </c>
      <c r="Q1048" s="1">
        <f>Table1[Profit]/Table1[Total_Sales]</f>
        <v>0.24270894499902132</v>
      </c>
      <c r="R1048" s="14">
        <f>Table1[Total_Sales]+Table1[Shipping_Cost]</f>
        <v>57.510000000000005</v>
      </c>
    </row>
    <row r="1049" spans="1:18" x14ac:dyDescent="0.35">
      <c r="A1049" s="3" t="s">
        <v>2034</v>
      </c>
      <c r="B1049" s="2">
        <v>45518</v>
      </c>
      <c r="C1049" s="1" t="s">
        <v>2035</v>
      </c>
      <c r="D1049" s="1" t="s">
        <v>17</v>
      </c>
      <c r="E1049" s="1" t="s">
        <v>76</v>
      </c>
      <c r="F1049" s="1" t="s">
        <v>26</v>
      </c>
      <c r="G1049" s="1" t="s">
        <v>20</v>
      </c>
      <c r="H1049" s="1" t="s">
        <v>199</v>
      </c>
      <c r="I1049" s="1">
        <v>3</v>
      </c>
      <c r="J1049" s="1">
        <v>104.66</v>
      </c>
      <c r="K1049" s="1">
        <v>0</v>
      </c>
      <c r="L1049" s="1">
        <v>313.98</v>
      </c>
      <c r="M1049" s="1">
        <v>9.5500000000000007</v>
      </c>
      <c r="N1049" s="1">
        <v>131.74</v>
      </c>
      <c r="O1049" s="6" t="s">
        <v>34</v>
      </c>
      <c r="P1049" s="8">
        <f>Table1[Quantity]*Table1[Unit_Price]</f>
        <v>313.98</v>
      </c>
      <c r="Q1049" s="1">
        <f>Table1[Profit]/Table1[Total_Sales]</f>
        <v>0.41958086502324987</v>
      </c>
      <c r="R1049" s="14">
        <f>Table1[Total_Sales]+Table1[Shipping_Cost]</f>
        <v>323.53000000000003</v>
      </c>
    </row>
    <row r="1050" spans="1:18" x14ac:dyDescent="0.35">
      <c r="A1050" s="3" t="s">
        <v>2036</v>
      </c>
      <c r="B1050" s="2">
        <v>45518</v>
      </c>
      <c r="C1050" s="1" t="s">
        <v>2037</v>
      </c>
      <c r="D1050" s="1" t="s">
        <v>17</v>
      </c>
      <c r="E1050" s="1" t="s">
        <v>31</v>
      </c>
      <c r="F1050" s="1" t="s">
        <v>19</v>
      </c>
      <c r="G1050" s="1" t="s">
        <v>32</v>
      </c>
      <c r="H1050" s="1" t="s">
        <v>149</v>
      </c>
      <c r="I1050" s="1">
        <v>5</v>
      </c>
      <c r="J1050" s="1">
        <v>8.93</v>
      </c>
      <c r="K1050" s="1">
        <v>20</v>
      </c>
      <c r="L1050" s="1">
        <v>35.72</v>
      </c>
      <c r="M1050" s="1">
        <v>9.26</v>
      </c>
      <c r="N1050" s="1">
        <v>6.37</v>
      </c>
      <c r="O1050" s="6" t="s">
        <v>39</v>
      </c>
      <c r="P1050" s="8">
        <f>Table1[Quantity]*Table1[Unit_Price]</f>
        <v>44.65</v>
      </c>
      <c r="Q1050" s="1">
        <f>Table1[Profit]/Table1[Total_Sales]</f>
        <v>0.17833146696528557</v>
      </c>
      <c r="R1050" s="14">
        <f>Table1[Total_Sales]+Table1[Shipping_Cost]</f>
        <v>44.98</v>
      </c>
    </row>
    <row r="1051" spans="1:18" x14ac:dyDescent="0.35">
      <c r="A1051" s="3" t="s">
        <v>2038</v>
      </c>
      <c r="B1051" s="2">
        <v>45519</v>
      </c>
      <c r="C1051" s="1" t="s">
        <v>2039</v>
      </c>
      <c r="D1051" s="1" t="s">
        <v>30</v>
      </c>
      <c r="E1051" s="1" t="s">
        <v>148</v>
      </c>
      <c r="F1051" s="1" t="s">
        <v>60</v>
      </c>
      <c r="G1051" s="1" t="s">
        <v>32</v>
      </c>
      <c r="H1051" s="1" t="s">
        <v>149</v>
      </c>
      <c r="I1051" s="1">
        <v>2</v>
      </c>
      <c r="J1051" s="1">
        <v>17.940000000000001</v>
      </c>
      <c r="K1051" s="1">
        <v>0</v>
      </c>
      <c r="L1051" s="1">
        <v>35.880000000000003</v>
      </c>
      <c r="M1051" s="1">
        <v>12.85</v>
      </c>
      <c r="N1051" s="1">
        <v>6.88</v>
      </c>
      <c r="O1051" s="6" t="s">
        <v>22</v>
      </c>
      <c r="P1051" s="8">
        <f>Table1[Quantity]*Table1[Unit_Price]</f>
        <v>35.880000000000003</v>
      </c>
      <c r="Q1051" s="1">
        <f>Table1[Profit]/Table1[Total_Sales]</f>
        <v>0.19175027870680042</v>
      </c>
      <c r="R1051" s="14">
        <f>Table1[Total_Sales]+Table1[Shipping_Cost]</f>
        <v>48.730000000000004</v>
      </c>
    </row>
    <row r="1052" spans="1:18" x14ac:dyDescent="0.35">
      <c r="A1052" s="3" t="s">
        <v>2040</v>
      </c>
      <c r="B1052" s="2">
        <v>45519</v>
      </c>
      <c r="C1052" s="1" t="s">
        <v>2041</v>
      </c>
      <c r="D1052" s="1" t="s">
        <v>49</v>
      </c>
      <c r="E1052" s="1" t="s">
        <v>18</v>
      </c>
      <c r="F1052" s="1" t="s">
        <v>19</v>
      </c>
      <c r="G1052" s="1" t="s">
        <v>42</v>
      </c>
      <c r="H1052" s="1" t="s">
        <v>43</v>
      </c>
      <c r="I1052" s="1">
        <v>3</v>
      </c>
      <c r="J1052" s="1">
        <v>305.72000000000003</v>
      </c>
      <c r="K1052" s="1">
        <v>10</v>
      </c>
      <c r="L1052" s="1">
        <v>825.44</v>
      </c>
      <c r="M1052" s="1">
        <v>9.9600000000000009</v>
      </c>
      <c r="N1052" s="1">
        <v>265.18</v>
      </c>
      <c r="O1052" s="6" t="s">
        <v>39</v>
      </c>
      <c r="P1052" s="8">
        <f>Table1[Quantity]*Table1[Unit_Price]</f>
        <v>917.16000000000008</v>
      </c>
      <c r="Q1052" s="1">
        <f>Table1[Profit]/Table1[Total_Sales]</f>
        <v>0.32125896491568134</v>
      </c>
      <c r="R1052" s="14">
        <f>Table1[Total_Sales]+Table1[Shipping_Cost]</f>
        <v>835.40000000000009</v>
      </c>
    </row>
    <row r="1053" spans="1:18" x14ac:dyDescent="0.35">
      <c r="A1053" s="3" t="s">
        <v>2042</v>
      </c>
      <c r="B1053" s="2">
        <v>45520</v>
      </c>
      <c r="C1053" s="1" t="s">
        <v>2043</v>
      </c>
      <c r="D1053" s="1" t="s">
        <v>49</v>
      </c>
      <c r="E1053" s="1" t="s">
        <v>37</v>
      </c>
      <c r="F1053" s="1" t="s">
        <v>26</v>
      </c>
      <c r="G1053" s="1" t="s">
        <v>32</v>
      </c>
      <c r="H1053" s="1" t="s">
        <v>115</v>
      </c>
      <c r="I1053" s="1">
        <v>10</v>
      </c>
      <c r="J1053" s="1">
        <v>13.76</v>
      </c>
      <c r="K1053" s="1">
        <v>10</v>
      </c>
      <c r="L1053" s="1">
        <v>123.84</v>
      </c>
      <c r="M1053" s="1">
        <v>17.98</v>
      </c>
      <c r="N1053" s="1">
        <v>43.94</v>
      </c>
      <c r="O1053" s="6" t="s">
        <v>34</v>
      </c>
      <c r="P1053" s="8">
        <f>Table1[Quantity]*Table1[Unit_Price]</f>
        <v>137.6</v>
      </c>
      <c r="Q1053" s="1">
        <f>Table1[Profit]/Table1[Total_Sales]</f>
        <v>0.35481266149870799</v>
      </c>
      <c r="R1053" s="14">
        <f>Table1[Total_Sales]+Table1[Shipping_Cost]</f>
        <v>141.82</v>
      </c>
    </row>
    <row r="1054" spans="1:18" x14ac:dyDescent="0.35">
      <c r="A1054" s="3" t="s">
        <v>2044</v>
      </c>
      <c r="B1054" s="2">
        <v>45520</v>
      </c>
      <c r="C1054" s="1" t="s">
        <v>2045</v>
      </c>
      <c r="D1054" s="1" t="s">
        <v>30</v>
      </c>
      <c r="E1054" s="1" t="s">
        <v>85</v>
      </c>
      <c r="F1054" s="1" t="s">
        <v>60</v>
      </c>
      <c r="G1054" s="1" t="s">
        <v>69</v>
      </c>
      <c r="H1054" s="1" t="s">
        <v>160</v>
      </c>
      <c r="I1054" s="1">
        <v>3</v>
      </c>
      <c r="J1054" s="1">
        <v>20.47</v>
      </c>
      <c r="K1054" s="1">
        <v>5</v>
      </c>
      <c r="L1054" s="1">
        <v>58.34</v>
      </c>
      <c r="M1054" s="1">
        <v>11.67</v>
      </c>
      <c r="N1054" s="1">
        <v>15.97</v>
      </c>
      <c r="O1054" s="6" t="s">
        <v>39</v>
      </c>
      <c r="P1054" s="8">
        <f>Table1[Quantity]*Table1[Unit_Price]</f>
        <v>61.41</v>
      </c>
      <c r="Q1054" s="1">
        <f>Table1[Profit]/Table1[Total_Sales]</f>
        <v>0.27374014398354474</v>
      </c>
      <c r="R1054" s="14">
        <f>Table1[Total_Sales]+Table1[Shipping_Cost]</f>
        <v>70.010000000000005</v>
      </c>
    </row>
    <row r="1055" spans="1:18" x14ac:dyDescent="0.35">
      <c r="A1055" s="3" t="s">
        <v>2046</v>
      </c>
      <c r="B1055" s="2">
        <v>45520</v>
      </c>
      <c r="C1055" s="1" t="s">
        <v>2047</v>
      </c>
      <c r="D1055" s="1" t="s">
        <v>30</v>
      </c>
      <c r="E1055" s="1" t="s">
        <v>148</v>
      </c>
      <c r="F1055" s="1" t="s">
        <v>60</v>
      </c>
      <c r="G1055" s="1" t="s">
        <v>32</v>
      </c>
      <c r="H1055" s="1" t="s">
        <v>73</v>
      </c>
      <c r="I1055" s="1">
        <v>3</v>
      </c>
      <c r="J1055" s="1">
        <v>4.1100000000000003</v>
      </c>
      <c r="K1055" s="1">
        <v>0</v>
      </c>
      <c r="L1055" s="1">
        <v>12.33</v>
      </c>
      <c r="M1055" s="1">
        <v>14.51</v>
      </c>
      <c r="N1055" s="1">
        <v>-7.73</v>
      </c>
      <c r="O1055" s="6" t="s">
        <v>39</v>
      </c>
      <c r="P1055" s="8">
        <f>Table1[Quantity]*Table1[Unit_Price]</f>
        <v>12.330000000000002</v>
      </c>
      <c r="Q1055" s="1">
        <f>Table1[Profit]/Table1[Total_Sales]</f>
        <v>-0.62692619626926205</v>
      </c>
      <c r="R1055" s="14">
        <f>Table1[Total_Sales]+Table1[Shipping_Cost]</f>
        <v>26.84</v>
      </c>
    </row>
    <row r="1056" spans="1:18" x14ac:dyDescent="0.35">
      <c r="A1056" s="3" t="s">
        <v>2048</v>
      </c>
      <c r="B1056" s="2">
        <v>45520</v>
      </c>
      <c r="C1056" s="1" t="s">
        <v>2049</v>
      </c>
      <c r="D1056" s="1" t="s">
        <v>30</v>
      </c>
      <c r="E1056" s="1" t="s">
        <v>121</v>
      </c>
      <c r="F1056" s="1" t="s">
        <v>68</v>
      </c>
      <c r="G1056" s="1" t="s">
        <v>69</v>
      </c>
      <c r="H1056" s="1" t="s">
        <v>79</v>
      </c>
      <c r="I1056" s="1">
        <v>6</v>
      </c>
      <c r="J1056" s="1">
        <v>98</v>
      </c>
      <c r="K1056" s="1">
        <v>15</v>
      </c>
      <c r="L1056" s="1">
        <v>499.8</v>
      </c>
      <c r="M1056" s="1">
        <v>20.34</v>
      </c>
      <c r="N1056" s="1">
        <v>185.46</v>
      </c>
      <c r="O1056" s="6" t="s">
        <v>34</v>
      </c>
      <c r="P1056" s="8">
        <f>Table1[Quantity]*Table1[Unit_Price]</f>
        <v>588</v>
      </c>
      <c r="Q1056" s="1">
        <f>Table1[Profit]/Table1[Total_Sales]</f>
        <v>0.37106842737094836</v>
      </c>
      <c r="R1056" s="14">
        <f>Table1[Total_Sales]+Table1[Shipping_Cost]</f>
        <v>520.14</v>
      </c>
    </row>
    <row r="1057" spans="1:18" x14ac:dyDescent="0.35">
      <c r="A1057" s="3" t="s">
        <v>2050</v>
      </c>
      <c r="B1057" s="2">
        <v>45520</v>
      </c>
      <c r="C1057" s="1" t="s">
        <v>2051</v>
      </c>
      <c r="D1057" s="1" t="s">
        <v>30</v>
      </c>
      <c r="E1057" s="1" t="s">
        <v>18</v>
      </c>
      <c r="F1057" s="1" t="s">
        <v>19</v>
      </c>
      <c r="G1057" s="1" t="s">
        <v>20</v>
      </c>
      <c r="H1057" s="1" t="s">
        <v>264</v>
      </c>
      <c r="I1057" s="1">
        <v>1</v>
      </c>
      <c r="J1057" s="1">
        <v>66.5</v>
      </c>
      <c r="K1057" s="1">
        <v>10</v>
      </c>
      <c r="L1057" s="1">
        <v>59.85</v>
      </c>
      <c r="M1057" s="1">
        <v>6.99</v>
      </c>
      <c r="N1057" s="1">
        <v>16.28</v>
      </c>
      <c r="O1057" s="6" t="s">
        <v>34</v>
      </c>
      <c r="P1057" s="8">
        <f>Table1[Quantity]*Table1[Unit_Price]</f>
        <v>66.5</v>
      </c>
      <c r="Q1057" s="1">
        <f>Table1[Profit]/Table1[Total_Sales]</f>
        <v>0.27201336675020887</v>
      </c>
      <c r="R1057" s="14">
        <f>Table1[Total_Sales]+Table1[Shipping_Cost]</f>
        <v>66.84</v>
      </c>
    </row>
    <row r="1058" spans="1:18" x14ac:dyDescent="0.35">
      <c r="A1058" s="3" t="s">
        <v>2052</v>
      </c>
      <c r="B1058" s="2">
        <v>45522</v>
      </c>
      <c r="C1058" s="1" t="s">
        <v>2053</v>
      </c>
      <c r="D1058" s="1" t="s">
        <v>17</v>
      </c>
      <c r="E1058" s="1" t="s">
        <v>135</v>
      </c>
      <c r="F1058" s="1" t="s">
        <v>26</v>
      </c>
      <c r="G1058" s="1" t="s">
        <v>20</v>
      </c>
      <c r="H1058" s="1" t="s">
        <v>199</v>
      </c>
      <c r="I1058" s="1">
        <v>2</v>
      </c>
      <c r="J1058" s="1">
        <v>121.67</v>
      </c>
      <c r="K1058" s="1">
        <v>10</v>
      </c>
      <c r="L1058" s="1">
        <v>219.01</v>
      </c>
      <c r="M1058" s="1">
        <v>10.65</v>
      </c>
      <c r="N1058" s="1">
        <v>74.52</v>
      </c>
      <c r="O1058" s="6" t="s">
        <v>56</v>
      </c>
      <c r="P1058" s="8">
        <f>Table1[Quantity]*Table1[Unit_Price]</f>
        <v>243.34</v>
      </c>
      <c r="Q1058" s="1">
        <f>Table1[Profit]/Table1[Total_Sales]</f>
        <v>0.34025843568786812</v>
      </c>
      <c r="R1058" s="14">
        <f>Table1[Total_Sales]+Table1[Shipping_Cost]</f>
        <v>229.66</v>
      </c>
    </row>
    <row r="1059" spans="1:18" x14ac:dyDescent="0.35">
      <c r="A1059" s="3" t="s">
        <v>2054</v>
      </c>
      <c r="B1059" s="2">
        <v>45522</v>
      </c>
      <c r="C1059" s="1" t="s">
        <v>2055</v>
      </c>
      <c r="D1059" s="1" t="s">
        <v>30</v>
      </c>
      <c r="E1059" s="1" t="s">
        <v>67</v>
      </c>
      <c r="F1059" s="1" t="s">
        <v>68</v>
      </c>
      <c r="G1059" s="1" t="s">
        <v>20</v>
      </c>
      <c r="H1059" s="1" t="s">
        <v>106</v>
      </c>
      <c r="I1059" s="1">
        <v>4</v>
      </c>
      <c r="J1059" s="1">
        <v>63.57</v>
      </c>
      <c r="K1059" s="1">
        <v>0</v>
      </c>
      <c r="L1059" s="1">
        <v>254.28</v>
      </c>
      <c r="M1059" s="1">
        <v>18.63</v>
      </c>
      <c r="N1059" s="1">
        <v>95.8</v>
      </c>
      <c r="O1059" s="6" t="s">
        <v>34</v>
      </c>
      <c r="P1059" s="8">
        <f>Table1[Quantity]*Table1[Unit_Price]</f>
        <v>254.28</v>
      </c>
      <c r="Q1059" s="1">
        <f>Table1[Profit]/Table1[Total_Sales]</f>
        <v>0.3767500393267264</v>
      </c>
      <c r="R1059" s="14">
        <f>Table1[Total_Sales]+Table1[Shipping_Cost]</f>
        <v>272.91000000000003</v>
      </c>
    </row>
    <row r="1060" spans="1:18" x14ac:dyDescent="0.35">
      <c r="A1060" s="3" t="s">
        <v>2056</v>
      </c>
      <c r="B1060" s="2">
        <v>45523</v>
      </c>
      <c r="C1060" s="1" t="s">
        <v>2057</v>
      </c>
      <c r="D1060" s="1" t="s">
        <v>17</v>
      </c>
      <c r="E1060" s="1" t="s">
        <v>31</v>
      </c>
      <c r="F1060" s="1" t="s">
        <v>19</v>
      </c>
      <c r="G1060" s="1" t="s">
        <v>32</v>
      </c>
      <c r="H1060" s="1" t="s">
        <v>110</v>
      </c>
      <c r="I1060" s="1">
        <v>4</v>
      </c>
      <c r="J1060" s="1">
        <v>10.58</v>
      </c>
      <c r="K1060" s="1">
        <v>5</v>
      </c>
      <c r="L1060" s="1">
        <v>40.200000000000003</v>
      </c>
      <c r="M1060" s="1">
        <v>14.1</v>
      </c>
      <c r="N1060" s="1">
        <v>7.06</v>
      </c>
      <c r="O1060" s="6" t="s">
        <v>56</v>
      </c>
      <c r="P1060" s="8">
        <f>Table1[Quantity]*Table1[Unit_Price]</f>
        <v>42.32</v>
      </c>
      <c r="Q1060" s="1">
        <f>Table1[Profit]/Table1[Total_Sales]</f>
        <v>0.17562189054726365</v>
      </c>
      <c r="R1060" s="14">
        <f>Table1[Total_Sales]+Table1[Shipping_Cost]</f>
        <v>54.300000000000004</v>
      </c>
    </row>
    <row r="1061" spans="1:18" x14ac:dyDescent="0.35">
      <c r="A1061" s="3" t="s">
        <v>2058</v>
      </c>
      <c r="B1061" s="2">
        <v>45524</v>
      </c>
      <c r="C1061" s="1" t="s">
        <v>2059</v>
      </c>
      <c r="D1061" s="1" t="s">
        <v>30</v>
      </c>
      <c r="E1061" s="1" t="s">
        <v>31</v>
      </c>
      <c r="F1061" s="1" t="s">
        <v>19</v>
      </c>
      <c r="G1061" s="1" t="s">
        <v>69</v>
      </c>
      <c r="H1061" s="1" t="s">
        <v>70</v>
      </c>
      <c r="I1061" s="1">
        <v>2</v>
      </c>
      <c r="J1061" s="1">
        <v>57.19</v>
      </c>
      <c r="K1061" s="1">
        <v>5</v>
      </c>
      <c r="L1061" s="1">
        <v>108.66</v>
      </c>
      <c r="M1061" s="1">
        <v>7.96</v>
      </c>
      <c r="N1061" s="1">
        <v>43.51</v>
      </c>
      <c r="O1061" s="6" t="s">
        <v>39</v>
      </c>
      <c r="P1061" s="8">
        <f>Table1[Quantity]*Table1[Unit_Price]</f>
        <v>114.38</v>
      </c>
      <c r="Q1061" s="1">
        <f>Table1[Profit]/Table1[Total_Sales]</f>
        <v>0.40042333885514447</v>
      </c>
      <c r="R1061" s="14">
        <f>Table1[Total_Sales]+Table1[Shipping_Cost]</f>
        <v>116.61999999999999</v>
      </c>
    </row>
    <row r="1062" spans="1:18" x14ac:dyDescent="0.35">
      <c r="A1062" s="3" t="s">
        <v>2060</v>
      </c>
      <c r="B1062" s="2">
        <v>45524</v>
      </c>
      <c r="C1062" s="1" t="s">
        <v>2061</v>
      </c>
      <c r="D1062" s="1" t="s">
        <v>17</v>
      </c>
      <c r="E1062" s="1" t="s">
        <v>148</v>
      </c>
      <c r="F1062" s="1" t="s">
        <v>60</v>
      </c>
      <c r="G1062" s="1" t="s">
        <v>32</v>
      </c>
      <c r="H1062" s="1" t="s">
        <v>73</v>
      </c>
      <c r="I1062" s="1">
        <v>2</v>
      </c>
      <c r="J1062" s="1">
        <v>9.18</v>
      </c>
      <c r="K1062" s="1">
        <v>15</v>
      </c>
      <c r="L1062" s="1">
        <v>15.61</v>
      </c>
      <c r="M1062" s="1">
        <v>12.05</v>
      </c>
      <c r="N1062" s="1">
        <v>-4.7</v>
      </c>
      <c r="O1062" s="6" t="s">
        <v>39</v>
      </c>
      <c r="P1062" s="8">
        <f>Table1[Quantity]*Table1[Unit_Price]</f>
        <v>18.36</v>
      </c>
      <c r="Q1062" s="1">
        <f>Table1[Profit]/Table1[Total_Sales]</f>
        <v>-0.30108904548366433</v>
      </c>
      <c r="R1062" s="14">
        <f>Table1[Total_Sales]+Table1[Shipping_Cost]</f>
        <v>27.66</v>
      </c>
    </row>
    <row r="1063" spans="1:18" x14ac:dyDescent="0.35">
      <c r="A1063" s="3" t="s">
        <v>2062</v>
      </c>
      <c r="B1063" s="2">
        <v>45526</v>
      </c>
      <c r="C1063" s="1" t="s">
        <v>2063</v>
      </c>
      <c r="D1063" s="1" t="s">
        <v>30</v>
      </c>
      <c r="E1063" s="1" t="s">
        <v>25</v>
      </c>
      <c r="F1063" s="1" t="s">
        <v>26</v>
      </c>
      <c r="G1063" s="1" t="s">
        <v>69</v>
      </c>
      <c r="H1063" s="1" t="s">
        <v>160</v>
      </c>
      <c r="I1063" s="1">
        <v>2</v>
      </c>
      <c r="J1063" s="1">
        <v>32.020000000000003</v>
      </c>
      <c r="K1063" s="1">
        <v>10</v>
      </c>
      <c r="L1063" s="1">
        <v>57.64</v>
      </c>
      <c r="M1063" s="1">
        <v>10.01</v>
      </c>
      <c r="N1063" s="1">
        <v>15.61</v>
      </c>
      <c r="O1063" s="6" t="s">
        <v>34</v>
      </c>
      <c r="P1063" s="8">
        <f>Table1[Quantity]*Table1[Unit_Price]</f>
        <v>64.040000000000006</v>
      </c>
      <c r="Q1063" s="1">
        <f>Table1[Profit]/Table1[Total_Sales]</f>
        <v>0.27081887578070785</v>
      </c>
      <c r="R1063" s="14">
        <f>Table1[Total_Sales]+Table1[Shipping_Cost]</f>
        <v>67.650000000000006</v>
      </c>
    </row>
    <row r="1064" spans="1:18" x14ac:dyDescent="0.35">
      <c r="A1064" s="3" t="s">
        <v>2064</v>
      </c>
      <c r="B1064" s="2">
        <v>45528</v>
      </c>
      <c r="C1064" s="1" t="s">
        <v>2065</v>
      </c>
      <c r="D1064" s="1" t="s">
        <v>30</v>
      </c>
      <c r="E1064" s="1" t="s">
        <v>121</v>
      </c>
      <c r="F1064" s="1" t="s">
        <v>68</v>
      </c>
      <c r="G1064" s="1" t="s">
        <v>32</v>
      </c>
      <c r="H1064" s="1" t="s">
        <v>33</v>
      </c>
      <c r="I1064" s="1">
        <v>8</v>
      </c>
      <c r="J1064" s="1">
        <v>9.6</v>
      </c>
      <c r="K1064" s="1">
        <v>15</v>
      </c>
      <c r="L1064" s="1">
        <v>65.28</v>
      </c>
      <c r="M1064" s="1">
        <v>27.55</v>
      </c>
      <c r="N1064" s="1">
        <v>3.17</v>
      </c>
      <c r="O1064" s="6" t="s">
        <v>39</v>
      </c>
      <c r="P1064" s="8">
        <f>Table1[Quantity]*Table1[Unit_Price]</f>
        <v>76.8</v>
      </c>
      <c r="Q1064" s="1">
        <f>Table1[Profit]/Table1[Total_Sales]</f>
        <v>4.8560049019607844E-2</v>
      </c>
      <c r="R1064" s="14">
        <f>Table1[Total_Sales]+Table1[Shipping_Cost]</f>
        <v>92.83</v>
      </c>
    </row>
    <row r="1065" spans="1:18" x14ac:dyDescent="0.35">
      <c r="A1065" s="3" t="s">
        <v>2066</v>
      </c>
      <c r="B1065" s="2">
        <v>45529</v>
      </c>
      <c r="C1065" s="1" t="s">
        <v>2067</v>
      </c>
      <c r="D1065" s="1" t="s">
        <v>17</v>
      </c>
      <c r="E1065" s="1" t="s">
        <v>148</v>
      </c>
      <c r="F1065" s="1" t="s">
        <v>60</v>
      </c>
      <c r="G1065" s="1" t="s">
        <v>32</v>
      </c>
      <c r="H1065" s="1" t="s">
        <v>101</v>
      </c>
      <c r="I1065" s="1">
        <v>4</v>
      </c>
      <c r="J1065" s="1">
        <v>9.9499999999999993</v>
      </c>
      <c r="K1065" s="1">
        <v>5</v>
      </c>
      <c r="L1065" s="1">
        <v>37.81</v>
      </c>
      <c r="M1065" s="1">
        <v>12.01</v>
      </c>
      <c r="N1065" s="1">
        <v>7.89</v>
      </c>
      <c r="O1065" s="6" t="s">
        <v>39</v>
      </c>
      <c r="P1065" s="8">
        <f>Table1[Quantity]*Table1[Unit_Price]</f>
        <v>39.799999999999997</v>
      </c>
      <c r="Q1065" s="1">
        <f>Table1[Profit]/Table1[Total_Sales]</f>
        <v>0.20867495371594813</v>
      </c>
      <c r="R1065" s="14">
        <f>Table1[Total_Sales]+Table1[Shipping_Cost]</f>
        <v>49.82</v>
      </c>
    </row>
    <row r="1066" spans="1:18" x14ac:dyDescent="0.35">
      <c r="A1066" s="3" t="s">
        <v>2068</v>
      </c>
      <c r="B1066" s="2">
        <v>45529</v>
      </c>
      <c r="C1066" s="1" t="s">
        <v>2069</v>
      </c>
      <c r="D1066" s="1" t="s">
        <v>49</v>
      </c>
      <c r="E1066" s="1" t="s">
        <v>59</v>
      </c>
      <c r="F1066" s="1" t="s">
        <v>60</v>
      </c>
      <c r="G1066" s="1" t="s">
        <v>20</v>
      </c>
      <c r="H1066" s="1" t="s">
        <v>106</v>
      </c>
      <c r="I1066" s="1">
        <v>4</v>
      </c>
      <c r="J1066" s="1">
        <v>33.42</v>
      </c>
      <c r="K1066" s="1">
        <v>0</v>
      </c>
      <c r="L1066" s="1">
        <v>133.68</v>
      </c>
      <c r="M1066" s="1">
        <v>13.19</v>
      </c>
      <c r="N1066" s="1">
        <v>46.97</v>
      </c>
      <c r="O1066" s="6" t="s">
        <v>39</v>
      </c>
      <c r="P1066" s="8">
        <f>Table1[Quantity]*Table1[Unit_Price]</f>
        <v>133.68</v>
      </c>
      <c r="Q1066" s="1">
        <f>Table1[Profit]/Table1[Total_Sales]</f>
        <v>0.35136146020347098</v>
      </c>
      <c r="R1066" s="14">
        <f>Table1[Total_Sales]+Table1[Shipping_Cost]</f>
        <v>146.87</v>
      </c>
    </row>
    <row r="1067" spans="1:18" x14ac:dyDescent="0.35">
      <c r="A1067" s="3" t="s">
        <v>2070</v>
      </c>
      <c r="B1067" s="2">
        <v>45529</v>
      </c>
      <c r="C1067" s="1" t="s">
        <v>2071</v>
      </c>
      <c r="D1067" s="1" t="s">
        <v>17</v>
      </c>
      <c r="E1067" s="1" t="s">
        <v>129</v>
      </c>
      <c r="F1067" s="1" t="s">
        <v>19</v>
      </c>
      <c r="G1067" s="1" t="s">
        <v>20</v>
      </c>
      <c r="H1067" s="1" t="s">
        <v>27</v>
      </c>
      <c r="I1067" s="1">
        <v>1</v>
      </c>
      <c r="J1067" s="1">
        <v>132.41</v>
      </c>
      <c r="K1067" s="1">
        <v>10</v>
      </c>
      <c r="L1067" s="1">
        <v>119.17</v>
      </c>
      <c r="M1067" s="1">
        <v>6.65</v>
      </c>
      <c r="N1067" s="1">
        <v>39.69</v>
      </c>
      <c r="O1067" s="6" t="s">
        <v>34</v>
      </c>
      <c r="P1067" s="8">
        <f>Table1[Quantity]*Table1[Unit_Price]</f>
        <v>132.41</v>
      </c>
      <c r="Q1067" s="1">
        <f>Table1[Profit]/Table1[Total_Sales]</f>
        <v>0.33305362087773766</v>
      </c>
      <c r="R1067" s="14">
        <f>Table1[Total_Sales]+Table1[Shipping_Cost]</f>
        <v>125.82000000000001</v>
      </c>
    </row>
    <row r="1068" spans="1:18" x14ac:dyDescent="0.35">
      <c r="A1068" s="3" t="s">
        <v>2072</v>
      </c>
      <c r="B1068" s="2">
        <v>45530</v>
      </c>
      <c r="C1068" s="1" t="s">
        <v>813</v>
      </c>
      <c r="D1068" s="1" t="s">
        <v>30</v>
      </c>
      <c r="E1068" s="1" t="s">
        <v>85</v>
      </c>
      <c r="F1068" s="1" t="s">
        <v>60</v>
      </c>
      <c r="G1068" s="1" t="s">
        <v>20</v>
      </c>
      <c r="H1068" s="1" t="s">
        <v>122</v>
      </c>
      <c r="I1068" s="1">
        <v>1</v>
      </c>
      <c r="J1068" s="1">
        <v>145.65</v>
      </c>
      <c r="K1068" s="1">
        <v>0</v>
      </c>
      <c r="L1068" s="1">
        <v>145.65</v>
      </c>
      <c r="M1068" s="1">
        <v>10.25</v>
      </c>
      <c r="N1068" s="1">
        <v>55.29</v>
      </c>
      <c r="O1068" s="6" t="s">
        <v>56</v>
      </c>
      <c r="P1068" s="8">
        <f>Table1[Quantity]*Table1[Unit_Price]</f>
        <v>145.65</v>
      </c>
      <c r="Q1068" s="1">
        <f>Table1[Profit]/Table1[Total_Sales]</f>
        <v>0.3796086508753862</v>
      </c>
      <c r="R1068" s="14">
        <f>Table1[Total_Sales]+Table1[Shipping_Cost]</f>
        <v>155.9</v>
      </c>
    </row>
    <row r="1069" spans="1:18" x14ac:dyDescent="0.35">
      <c r="A1069" s="3" t="s">
        <v>2073</v>
      </c>
      <c r="B1069" s="2">
        <v>45530</v>
      </c>
      <c r="C1069" s="1" t="s">
        <v>2074</v>
      </c>
      <c r="D1069" s="1" t="s">
        <v>17</v>
      </c>
      <c r="E1069" s="1" t="s">
        <v>76</v>
      </c>
      <c r="F1069" s="1" t="s">
        <v>26</v>
      </c>
      <c r="G1069" s="1" t="s">
        <v>69</v>
      </c>
      <c r="H1069" s="1" t="s">
        <v>196</v>
      </c>
      <c r="I1069" s="1">
        <v>1</v>
      </c>
      <c r="J1069" s="1">
        <v>20.03</v>
      </c>
      <c r="K1069" s="1">
        <v>5</v>
      </c>
      <c r="L1069" s="1">
        <v>19.03</v>
      </c>
      <c r="M1069" s="1">
        <v>7.96</v>
      </c>
      <c r="N1069" s="1">
        <v>1.06</v>
      </c>
      <c r="O1069" s="6" t="s">
        <v>34</v>
      </c>
      <c r="P1069" s="8">
        <f>Table1[Quantity]*Table1[Unit_Price]</f>
        <v>20.03</v>
      </c>
      <c r="Q1069" s="1">
        <f>Table1[Profit]/Table1[Total_Sales]</f>
        <v>5.5701523909616392E-2</v>
      </c>
      <c r="R1069" s="14">
        <f>Table1[Total_Sales]+Table1[Shipping_Cost]</f>
        <v>26.990000000000002</v>
      </c>
    </row>
    <row r="1070" spans="1:18" x14ac:dyDescent="0.35">
      <c r="A1070" s="3" t="s">
        <v>2075</v>
      </c>
      <c r="B1070" s="2">
        <v>45530</v>
      </c>
      <c r="C1070" s="1" t="s">
        <v>2076</v>
      </c>
      <c r="D1070" s="1" t="s">
        <v>17</v>
      </c>
      <c r="E1070" s="1" t="s">
        <v>18</v>
      </c>
      <c r="F1070" s="1" t="s">
        <v>19</v>
      </c>
      <c r="G1070" s="1" t="s">
        <v>69</v>
      </c>
      <c r="H1070" s="1" t="s">
        <v>305</v>
      </c>
      <c r="I1070" s="1">
        <v>3</v>
      </c>
      <c r="J1070" s="1">
        <v>74.989999999999995</v>
      </c>
      <c r="K1070" s="1">
        <v>0</v>
      </c>
      <c r="L1070" s="1">
        <v>224.97</v>
      </c>
      <c r="M1070" s="1">
        <v>11.37</v>
      </c>
      <c r="N1070" s="1">
        <v>101.12</v>
      </c>
      <c r="O1070" s="6" t="s">
        <v>34</v>
      </c>
      <c r="P1070" s="8">
        <f>Table1[Quantity]*Table1[Unit_Price]</f>
        <v>224.96999999999997</v>
      </c>
      <c r="Q1070" s="1">
        <f>Table1[Profit]/Table1[Total_Sales]</f>
        <v>0.44948215317597906</v>
      </c>
      <c r="R1070" s="14">
        <f>Table1[Total_Sales]+Table1[Shipping_Cost]</f>
        <v>236.34</v>
      </c>
    </row>
    <row r="1071" spans="1:18" x14ac:dyDescent="0.35">
      <c r="A1071" s="3" t="s">
        <v>2077</v>
      </c>
      <c r="B1071" s="2">
        <v>45532</v>
      </c>
      <c r="C1071" s="1" t="s">
        <v>1330</v>
      </c>
      <c r="D1071" s="1" t="s">
        <v>30</v>
      </c>
      <c r="E1071" s="1" t="s">
        <v>18</v>
      </c>
      <c r="F1071" s="1" t="s">
        <v>19</v>
      </c>
      <c r="G1071" s="1" t="s">
        <v>69</v>
      </c>
      <c r="H1071" s="1" t="s">
        <v>163</v>
      </c>
      <c r="I1071" s="1">
        <v>3</v>
      </c>
      <c r="J1071" s="1">
        <v>45.38</v>
      </c>
      <c r="K1071" s="1">
        <v>10</v>
      </c>
      <c r="L1071" s="1">
        <v>122.53</v>
      </c>
      <c r="M1071" s="1">
        <v>9.66</v>
      </c>
      <c r="N1071" s="1">
        <v>44.8</v>
      </c>
      <c r="O1071" s="6" t="s">
        <v>39</v>
      </c>
      <c r="P1071" s="8">
        <f>Table1[Quantity]*Table1[Unit_Price]</f>
        <v>136.14000000000001</v>
      </c>
      <c r="Q1071" s="1">
        <f>Table1[Profit]/Table1[Total_Sales]</f>
        <v>0.36562474496041786</v>
      </c>
      <c r="R1071" s="14">
        <f>Table1[Total_Sales]+Table1[Shipping_Cost]</f>
        <v>132.19</v>
      </c>
    </row>
    <row r="1072" spans="1:18" x14ac:dyDescent="0.35">
      <c r="A1072" s="3" t="s">
        <v>2078</v>
      </c>
      <c r="B1072" s="2">
        <v>45532</v>
      </c>
      <c r="C1072" s="1" t="s">
        <v>124</v>
      </c>
      <c r="D1072" s="1" t="s">
        <v>30</v>
      </c>
      <c r="E1072" s="1" t="s">
        <v>148</v>
      </c>
      <c r="F1072" s="1" t="s">
        <v>60</v>
      </c>
      <c r="G1072" s="1" t="s">
        <v>42</v>
      </c>
      <c r="H1072" s="1" t="s">
        <v>118</v>
      </c>
      <c r="I1072" s="1">
        <v>4</v>
      </c>
      <c r="J1072" s="1">
        <v>91.15</v>
      </c>
      <c r="K1072" s="1">
        <v>5</v>
      </c>
      <c r="L1072" s="1">
        <v>346.37</v>
      </c>
      <c r="M1072" s="1">
        <v>13.75</v>
      </c>
      <c r="N1072" s="1">
        <v>113.86</v>
      </c>
      <c r="O1072" s="6" t="s">
        <v>56</v>
      </c>
      <c r="P1072" s="8">
        <f>Table1[Quantity]*Table1[Unit_Price]</f>
        <v>364.6</v>
      </c>
      <c r="Q1072" s="1">
        <f>Table1[Profit]/Table1[Total_Sales]</f>
        <v>0.32872361925108989</v>
      </c>
      <c r="R1072" s="14">
        <f>Table1[Total_Sales]+Table1[Shipping_Cost]</f>
        <v>360.12</v>
      </c>
    </row>
    <row r="1073" spans="1:18" x14ac:dyDescent="0.35">
      <c r="A1073" s="3" t="s">
        <v>2079</v>
      </c>
      <c r="B1073" s="2">
        <v>45532</v>
      </c>
      <c r="C1073" s="1" t="s">
        <v>2080</v>
      </c>
      <c r="D1073" s="1" t="s">
        <v>30</v>
      </c>
      <c r="E1073" s="1" t="s">
        <v>18</v>
      </c>
      <c r="F1073" s="1" t="s">
        <v>19</v>
      </c>
      <c r="G1073" s="1" t="s">
        <v>20</v>
      </c>
      <c r="H1073" s="1" t="s">
        <v>106</v>
      </c>
      <c r="I1073" s="1">
        <v>2</v>
      </c>
      <c r="J1073" s="1">
        <v>64.84</v>
      </c>
      <c r="K1073" s="1">
        <v>20</v>
      </c>
      <c r="L1073" s="1">
        <v>103.74</v>
      </c>
      <c r="M1073" s="1">
        <v>6.94</v>
      </c>
      <c r="N1073" s="1">
        <v>25.48</v>
      </c>
      <c r="O1073" s="6" t="s">
        <v>39</v>
      </c>
      <c r="P1073" s="8">
        <f>Table1[Quantity]*Table1[Unit_Price]</f>
        <v>129.68</v>
      </c>
      <c r="Q1073" s="1">
        <f>Table1[Profit]/Table1[Total_Sales]</f>
        <v>0.24561403508771931</v>
      </c>
      <c r="R1073" s="14">
        <f>Table1[Total_Sales]+Table1[Shipping_Cost]</f>
        <v>110.67999999999999</v>
      </c>
    </row>
    <row r="1074" spans="1:18" x14ac:dyDescent="0.35">
      <c r="A1074" s="3" t="s">
        <v>2081</v>
      </c>
      <c r="B1074" s="2">
        <v>45533</v>
      </c>
      <c r="C1074" s="1" t="s">
        <v>2082</v>
      </c>
      <c r="D1074" s="1" t="s">
        <v>30</v>
      </c>
      <c r="E1074" s="1" t="s">
        <v>31</v>
      </c>
      <c r="F1074" s="1" t="s">
        <v>19</v>
      </c>
      <c r="G1074" s="1" t="s">
        <v>42</v>
      </c>
      <c r="H1074" s="1" t="s">
        <v>43</v>
      </c>
      <c r="I1074" s="1">
        <v>3</v>
      </c>
      <c r="J1074" s="1">
        <v>277.81</v>
      </c>
      <c r="K1074" s="1">
        <v>15</v>
      </c>
      <c r="L1074" s="1">
        <v>708.42</v>
      </c>
      <c r="M1074" s="1">
        <v>9.76</v>
      </c>
      <c r="N1074" s="1">
        <v>198.6</v>
      </c>
      <c r="O1074" s="6" t="s">
        <v>39</v>
      </c>
      <c r="P1074" s="8">
        <f>Table1[Quantity]*Table1[Unit_Price]</f>
        <v>833.43000000000006</v>
      </c>
      <c r="Q1074" s="1">
        <f>Table1[Profit]/Table1[Total_Sales]</f>
        <v>0.28034216989921235</v>
      </c>
      <c r="R1074" s="14">
        <f>Table1[Total_Sales]+Table1[Shipping_Cost]</f>
        <v>718.18</v>
      </c>
    </row>
    <row r="1075" spans="1:18" x14ac:dyDescent="0.35">
      <c r="A1075" s="3" t="s">
        <v>2083</v>
      </c>
      <c r="B1075" s="2">
        <v>45533</v>
      </c>
      <c r="C1075" s="1" t="s">
        <v>2084</v>
      </c>
      <c r="D1075" s="1" t="s">
        <v>30</v>
      </c>
      <c r="E1075" s="1" t="s">
        <v>59</v>
      </c>
      <c r="F1075" s="1" t="s">
        <v>60</v>
      </c>
      <c r="G1075" s="1" t="s">
        <v>32</v>
      </c>
      <c r="H1075" s="1" t="s">
        <v>132</v>
      </c>
      <c r="I1075" s="1">
        <v>4</v>
      </c>
      <c r="J1075" s="1">
        <v>15.31</v>
      </c>
      <c r="K1075" s="1">
        <v>15</v>
      </c>
      <c r="L1075" s="1">
        <v>52.05</v>
      </c>
      <c r="M1075" s="1">
        <v>17.07</v>
      </c>
      <c r="N1075" s="1">
        <v>7.42</v>
      </c>
      <c r="O1075" s="6" t="s">
        <v>56</v>
      </c>
      <c r="P1075" s="8">
        <f>Table1[Quantity]*Table1[Unit_Price]</f>
        <v>61.24</v>
      </c>
      <c r="Q1075" s="1">
        <f>Table1[Profit]/Table1[Total_Sales]</f>
        <v>0.14255523535062439</v>
      </c>
      <c r="R1075" s="14">
        <f>Table1[Total_Sales]+Table1[Shipping_Cost]</f>
        <v>69.12</v>
      </c>
    </row>
    <row r="1076" spans="1:18" x14ac:dyDescent="0.35">
      <c r="A1076" s="3" t="s">
        <v>2085</v>
      </c>
      <c r="B1076" s="2">
        <v>45534</v>
      </c>
      <c r="C1076" s="1" t="s">
        <v>2086</v>
      </c>
      <c r="D1076" s="1" t="s">
        <v>30</v>
      </c>
      <c r="E1076" s="1" t="s">
        <v>129</v>
      </c>
      <c r="F1076" s="1" t="s">
        <v>19</v>
      </c>
      <c r="G1076" s="1" t="s">
        <v>69</v>
      </c>
      <c r="H1076" s="1" t="s">
        <v>139</v>
      </c>
      <c r="I1076" s="1">
        <v>2</v>
      </c>
      <c r="J1076" s="1">
        <v>57.71</v>
      </c>
      <c r="K1076" s="1">
        <v>5</v>
      </c>
      <c r="L1076" s="1">
        <v>109.65</v>
      </c>
      <c r="M1076" s="1">
        <v>6.72</v>
      </c>
      <c r="N1076" s="1">
        <v>45.22</v>
      </c>
      <c r="O1076" s="6" t="s">
        <v>34</v>
      </c>
      <c r="P1076" s="8">
        <f>Table1[Quantity]*Table1[Unit_Price]</f>
        <v>115.42</v>
      </c>
      <c r="Q1076" s="1">
        <f>Table1[Profit]/Table1[Total_Sales]</f>
        <v>0.41240310077519376</v>
      </c>
      <c r="R1076" s="14">
        <f>Table1[Total_Sales]+Table1[Shipping_Cost]</f>
        <v>116.37</v>
      </c>
    </row>
    <row r="1077" spans="1:18" x14ac:dyDescent="0.35">
      <c r="A1077" s="3" t="s">
        <v>2087</v>
      </c>
      <c r="B1077" s="2">
        <v>45535</v>
      </c>
      <c r="C1077" s="1" t="s">
        <v>2088</v>
      </c>
      <c r="D1077" s="1" t="s">
        <v>17</v>
      </c>
      <c r="E1077" s="1" t="s">
        <v>37</v>
      </c>
      <c r="F1077" s="1" t="s">
        <v>26</v>
      </c>
      <c r="G1077" s="1" t="s">
        <v>69</v>
      </c>
      <c r="H1077" s="1" t="s">
        <v>305</v>
      </c>
      <c r="I1077" s="1">
        <v>4</v>
      </c>
      <c r="J1077" s="1">
        <v>36.93</v>
      </c>
      <c r="K1077" s="1">
        <v>15</v>
      </c>
      <c r="L1077" s="1">
        <v>125.56</v>
      </c>
      <c r="M1077" s="1">
        <v>14.92</v>
      </c>
      <c r="N1077" s="1">
        <v>36.78</v>
      </c>
      <c r="O1077" s="6" t="s">
        <v>22</v>
      </c>
      <c r="P1077" s="8">
        <f>Table1[Quantity]*Table1[Unit_Price]</f>
        <v>147.72</v>
      </c>
      <c r="Q1077" s="1">
        <f>Table1[Profit]/Table1[Total_Sales]</f>
        <v>0.29292768397578844</v>
      </c>
      <c r="R1077" s="14">
        <f>Table1[Total_Sales]+Table1[Shipping_Cost]</f>
        <v>140.47999999999999</v>
      </c>
    </row>
    <row r="1078" spans="1:18" x14ac:dyDescent="0.35">
      <c r="A1078" s="3" t="s">
        <v>2089</v>
      </c>
      <c r="B1078" s="2">
        <v>45536</v>
      </c>
      <c r="C1078" s="1" t="s">
        <v>2090</v>
      </c>
      <c r="D1078" s="1" t="s">
        <v>30</v>
      </c>
      <c r="E1078" s="1" t="s">
        <v>166</v>
      </c>
      <c r="F1078" s="1" t="s">
        <v>60</v>
      </c>
      <c r="G1078" s="1" t="s">
        <v>32</v>
      </c>
      <c r="H1078" s="1" t="s">
        <v>82</v>
      </c>
      <c r="I1078" s="1">
        <v>1</v>
      </c>
      <c r="J1078" s="1">
        <v>20.09</v>
      </c>
      <c r="K1078" s="1">
        <v>15</v>
      </c>
      <c r="L1078" s="1">
        <v>17.079999999999998</v>
      </c>
      <c r="M1078" s="1">
        <v>10.58</v>
      </c>
      <c r="N1078" s="1">
        <v>-2.54</v>
      </c>
      <c r="O1078" s="6" t="s">
        <v>34</v>
      </c>
      <c r="P1078" s="8">
        <f>Table1[Quantity]*Table1[Unit_Price]</f>
        <v>20.09</v>
      </c>
      <c r="Q1078" s="1">
        <f>Table1[Profit]/Table1[Total_Sales]</f>
        <v>-0.14871194379391103</v>
      </c>
      <c r="R1078" s="14">
        <f>Table1[Total_Sales]+Table1[Shipping_Cost]</f>
        <v>27.659999999999997</v>
      </c>
    </row>
    <row r="1079" spans="1:18" x14ac:dyDescent="0.35">
      <c r="A1079" s="3" t="s">
        <v>2091</v>
      </c>
      <c r="B1079" s="2">
        <v>45538</v>
      </c>
      <c r="C1079" s="1" t="s">
        <v>2092</v>
      </c>
      <c r="D1079" s="1" t="s">
        <v>30</v>
      </c>
      <c r="E1079" s="1" t="s">
        <v>31</v>
      </c>
      <c r="F1079" s="1" t="s">
        <v>19</v>
      </c>
      <c r="G1079" s="1" t="s">
        <v>42</v>
      </c>
      <c r="H1079" s="1" t="s">
        <v>43</v>
      </c>
      <c r="I1079" s="1">
        <v>2</v>
      </c>
      <c r="J1079" s="1">
        <v>112.26</v>
      </c>
      <c r="K1079" s="1">
        <v>0</v>
      </c>
      <c r="L1079" s="1">
        <v>224.52</v>
      </c>
      <c r="M1079" s="1">
        <v>8.69</v>
      </c>
      <c r="N1079" s="1">
        <v>81.12</v>
      </c>
      <c r="O1079" s="6" t="s">
        <v>39</v>
      </c>
      <c r="P1079" s="8">
        <f>Table1[Quantity]*Table1[Unit_Price]</f>
        <v>224.52</v>
      </c>
      <c r="Q1079" s="1">
        <f>Table1[Profit]/Table1[Total_Sales]</f>
        <v>0.36130411544628543</v>
      </c>
      <c r="R1079" s="14">
        <f>Table1[Total_Sales]+Table1[Shipping_Cost]</f>
        <v>233.21</v>
      </c>
    </row>
    <row r="1080" spans="1:18" x14ac:dyDescent="0.35">
      <c r="A1080" s="3" t="s">
        <v>2093</v>
      </c>
      <c r="B1080" s="2">
        <v>45539</v>
      </c>
      <c r="C1080" s="1" t="s">
        <v>997</v>
      </c>
      <c r="D1080" s="1" t="s">
        <v>49</v>
      </c>
      <c r="E1080" s="1" t="s">
        <v>37</v>
      </c>
      <c r="F1080" s="1" t="s">
        <v>26</v>
      </c>
      <c r="G1080" s="1" t="s">
        <v>32</v>
      </c>
      <c r="H1080" s="1" t="s">
        <v>82</v>
      </c>
      <c r="I1080" s="1">
        <v>3</v>
      </c>
      <c r="J1080" s="1">
        <v>22.08</v>
      </c>
      <c r="K1080" s="1">
        <v>10</v>
      </c>
      <c r="L1080" s="1">
        <v>59.62</v>
      </c>
      <c r="M1080" s="1">
        <v>10.3</v>
      </c>
      <c r="N1080" s="1">
        <v>19.510000000000002</v>
      </c>
      <c r="O1080" s="6" t="s">
        <v>56</v>
      </c>
      <c r="P1080" s="8">
        <f>Table1[Quantity]*Table1[Unit_Price]</f>
        <v>66.239999999999995</v>
      </c>
      <c r="Q1080" s="1">
        <f>Table1[Profit]/Table1[Total_Sales]</f>
        <v>0.32723918148272396</v>
      </c>
      <c r="R1080" s="14">
        <f>Table1[Total_Sales]+Table1[Shipping_Cost]</f>
        <v>69.92</v>
      </c>
    </row>
    <row r="1081" spans="1:18" x14ac:dyDescent="0.35">
      <c r="A1081" s="3" t="s">
        <v>2094</v>
      </c>
      <c r="B1081" s="2">
        <v>45539</v>
      </c>
      <c r="C1081" s="1" t="s">
        <v>2095</v>
      </c>
      <c r="D1081" s="1" t="s">
        <v>30</v>
      </c>
      <c r="E1081" s="1" t="s">
        <v>63</v>
      </c>
      <c r="F1081" s="1" t="s">
        <v>54</v>
      </c>
      <c r="G1081" s="1" t="s">
        <v>20</v>
      </c>
      <c r="H1081" s="1" t="s">
        <v>175</v>
      </c>
      <c r="I1081" s="1">
        <v>8</v>
      </c>
      <c r="J1081" s="1">
        <v>29.9</v>
      </c>
      <c r="K1081" s="1">
        <v>0</v>
      </c>
      <c r="L1081" s="1">
        <v>239.2</v>
      </c>
      <c r="M1081" s="1">
        <v>15.61</v>
      </c>
      <c r="N1081" s="1">
        <v>92.03</v>
      </c>
      <c r="O1081" s="6" t="s">
        <v>39</v>
      </c>
      <c r="P1081" s="8">
        <f>Table1[Quantity]*Table1[Unit_Price]</f>
        <v>239.2</v>
      </c>
      <c r="Q1081" s="1">
        <f>Table1[Profit]/Table1[Total_Sales]</f>
        <v>0.3847408026755853</v>
      </c>
      <c r="R1081" s="14">
        <f>Table1[Total_Sales]+Table1[Shipping_Cost]</f>
        <v>254.81</v>
      </c>
    </row>
    <row r="1082" spans="1:18" x14ac:dyDescent="0.35">
      <c r="A1082" s="3" t="s">
        <v>2096</v>
      </c>
      <c r="B1082" s="2">
        <v>45540</v>
      </c>
      <c r="C1082" s="1" t="s">
        <v>2097</v>
      </c>
      <c r="D1082" s="1" t="s">
        <v>30</v>
      </c>
      <c r="E1082" s="1" t="s">
        <v>31</v>
      </c>
      <c r="F1082" s="1" t="s">
        <v>19</v>
      </c>
      <c r="G1082" s="1" t="s">
        <v>20</v>
      </c>
      <c r="H1082" s="1" t="s">
        <v>199</v>
      </c>
      <c r="I1082" s="1">
        <v>2</v>
      </c>
      <c r="J1082" s="1">
        <v>79.84</v>
      </c>
      <c r="K1082" s="1">
        <v>10</v>
      </c>
      <c r="L1082" s="1">
        <v>143.71</v>
      </c>
      <c r="M1082" s="1">
        <v>7.24</v>
      </c>
      <c r="N1082" s="1">
        <v>48.65</v>
      </c>
      <c r="O1082" s="6" t="s">
        <v>39</v>
      </c>
      <c r="P1082" s="8">
        <f>Table1[Quantity]*Table1[Unit_Price]</f>
        <v>159.68</v>
      </c>
      <c r="Q1082" s="1">
        <f>Table1[Profit]/Table1[Total_Sales]</f>
        <v>0.33852898197759373</v>
      </c>
      <c r="R1082" s="14">
        <f>Table1[Total_Sales]+Table1[Shipping_Cost]</f>
        <v>150.95000000000002</v>
      </c>
    </row>
    <row r="1083" spans="1:18" x14ac:dyDescent="0.35">
      <c r="A1083" s="3" t="s">
        <v>2098</v>
      </c>
      <c r="B1083" s="2">
        <v>45540</v>
      </c>
      <c r="C1083" s="1" t="s">
        <v>2099</v>
      </c>
      <c r="D1083" s="1" t="s">
        <v>30</v>
      </c>
      <c r="E1083" s="1" t="s">
        <v>248</v>
      </c>
      <c r="F1083" s="1" t="s">
        <v>26</v>
      </c>
      <c r="G1083" s="1" t="s">
        <v>69</v>
      </c>
      <c r="H1083" s="1" t="s">
        <v>196</v>
      </c>
      <c r="I1083" s="1">
        <v>2</v>
      </c>
      <c r="J1083" s="1">
        <v>12.3</v>
      </c>
      <c r="K1083" s="1">
        <v>0</v>
      </c>
      <c r="L1083" s="1">
        <v>24.6</v>
      </c>
      <c r="M1083" s="1">
        <v>11.2</v>
      </c>
      <c r="N1083" s="1">
        <v>1.1000000000000001</v>
      </c>
      <c r="O1083" s="6" t="s">
        <v>34</v>
      </c>
      <c r="P1083" s="8">
        <f>Table1[Quantity]*Table1[Unit_Price]</f>
        <v>24.6</v>
      </c>
      <c r="Q1083" s="1">
        <f>Table1[Profit]/Table1[Total_Sales]</f>
        <v>4.4715447154471545E-2</v>
      </c>
      <c r="R1083" s="14">
        <f>Table1[Total_Sales]+Table1[Shipping_Cost]</f>
        <v>35.799999999999997</v>
      </c>
    </row>
    <row r="1084" spans="1:18" x14ac:dyDescent="0.35">
      <c r="A1084" s="3" t="s">
        <v>2100</v>
      </c>
      <c r="B1084" s="2">
        <v>45540</v>
      </c>
      <c r="C1084" s="1" t="s">
        <v>2101</v>
      </c>
      <c r="D1084" s="1" t="s">
        <v>30</v>
      </c>
      <c r="E1084" s="1" t="s">
        <v>18</v>
      </c>
      <c r="F1084" s="1" t="s">
        <v>19</v>
      </c>
      <c r="G1084" s="1" t="s">
        <v>20</v>
      </c>
      <c r="H1084" s="1" t="s">
        <v>264</v>
      </c>
      <c r="I1084" s="1">
        <v>1</v>
      </c>
      <c r="J1084" s="1">
        <v>30.33</v>
      </c>
      <c r="K1084" s="1">
        <v>5</v>
      </c>
      <c r="L1084" s="1">
        <v>28.81</v>
      </c>
      <c r="M1084" s="1">
        <v>6.89</v>
      </c>
      <c r="N1084" s="1">
        <v>5.24</v>
      </c>
      <c r="O1084" s="6" t="s">
        <v>56</v>
      </c>
      <c r="P1084" s="8">
        <f>Table1[Quantity]*Table1[Unit_Price]</f>
        <v>30.33</v>
      </c>
      <c r="Q1084" s="1">
        <f>Table1[Profit]/Table1[Total_Sales]</f>
        <v>0.181881291218327</v>
      </c>
      <c r="R1084" s="14">
        <f>Table1[Total_Sales]+Table1[Shipping_Cost]</f>
        <v>35.699999999999996</v>
      </c>
    </row>
    <row r="1085" spans="1:18" x14ac:dyDescent="0.35">
      <c r="A1085" s="3" t="s">
        <v>2102</v>
      </c>
      <c r="B1085" s="2">
        <v>45541</v>
      </c>
      <c r="C1085" s="1" t="s">
        <v>2103</v>
      </c>
      <c r="D1085" s="1" t="s">
        <v>17</v>
      </c>
      <c r="E1085" s="1" t="s">
        <v>169</v>
      </c>
      <c r="F1085" s="1" t="s">
        <v>68</v>
      </c>
      <c r="G1085" s="1" t="s">
        <v>32</v>
      </c>
      <c r="H1085" s="1" t="s">
        <v>149</v>
      </c>
      <c r="I1085" s="1">
        <v>6</v>
      </c>
      <c r="J1085" s="1">
        <v>13.5</v>
      </c>
      <c r="K1085" s="1">
        <v>15</v>
      </c>
      <c r="L1085" s="1">
        <v>68.849999999999994</v>
      </c>
      <c r="M1085" s="1">
        <v>14.12</v>
      </c>
      <c r="N1085" s="1">
        <v>18.28</v>
      </c>
      <c r="O1085" s="6" t="s">
        <v>34</v>
      </c>
      <c r="P1085" s="8">
        <f>Table1[Quantity]*Table1[Unit_Price]</f>
        <v>81</v>
      </c>
      <c r="Q1085" s="1">
        <f>Table1[Profit]/Table1[Total_Sales]</f>
        <v>0.26550472040668122</v>
      </c>
      <c r="R1085" s="14">
        <f>Table1[Total_Sales]+Table1[Shipping_Cost]</f>
        <v>82.97</v>
      </c>
    </row>
    <row r="1086" spans="1:18" x14ac:dyDescent="0.35">
      <c r="A1086" s="3" t="s">
        <v>2104</v>
      </c>
      <c r="B1086" s="2">
        <v>45541</v>
      </c>
      <c r="C1086" s="1" t="s">
        <v>2105</v>
      </c>
      <c r="D1086" s="1" t="s">
        <v>30</v>
      </c>
      <c r="E1086" s="1" t="s">
        <v>135</v>
      </c>
      <c r="F1086" s="1" t="s">
        <v>26</v>
      </c>
      <c r="G1086" s="1" t="s">
        <v>69</v>
      </c>
      <c r="H1086" s="1" t="s">
        <v>139</v>
      </c>
      <c r="I1086" s="1">
        <v>3</v>
      </c>
      <c r="J1086" s="1">
        <v>68.42</v>
      </c>
      <c r="K1086" s="1">
        <v>10</v>
      </c>
      <c r="L1086" s="1">
        <v>184.73</v>
      </c>
      <c r="M1086" s="1">
        <v>12.09</v>
      </c>
      <c r="N1086" s="1">
        <v>70.010000000000005</v>
      </c>
      <c r="O1086" s="6" t="s">
        <v>39</v>
      </c>
      <c r="P1086" s="8">
        <f>Table1[Quantity]*Table1[Unit_Price]</f>
        <v>205.26</v>
      </c>
      <c r="Q1086" s="1">
        <f>Table1[Profit]/Table1[Total_Sales]</f>
        <v>0.37898554647323124</v>
      </c>
      <c r="R1086" s="14">
        <f>Table1[Total_Sales]+Table1[Shipping_Cost]</f>
        <v>196.82</v>
      </c>
    </row>
    <row r="1087" spans="1:18" x14ac:dyDescent="0.35">
      <c r="A1087" s="3" t="s">
        <v>2106</v>
      </c>
      <c r="B1087" s="2">
        <v>45541</v>
      </c>
      <c r="C1087" s="1" t="s">
        <v>2107</v>
      </c>
      <c r="D1087" s="1" t="s">
        <v>49</v>
      </c>
      <c r="E1087" s="1" t="s">
        <v>18</v>
      </c>
      <c r="F1087" s="1" t="s">
        <v>19</v>
      </c>
      <c r="G1087" s="1" t="s">
        <v>32</v>
      </c>
      <c r="H1087" s="1" t="s">
        <v>115</v>
      </c>
      <c r="I1087" s="1">
        <v>8</v>
      </c>
      <c r="J1087" s="1">
        <v>7.55</v>
      </c>
      <c r="K1087" s="1">
        <v>20</v>
      </c>
      <c r="L1087" s="1">
        <v>48.32</v>
      </c>
      <c r="M1087" s="1">
        <v>12.15</v>
      </c>
      <c r="N1087" s="1">
        <v>8.99</v>
      </c>
      <c r="O1087" s="6" t="s">
        <v>39</v>
      </c>
      <c r="P1087" s="8">
        <f>Table1[Quantity]*Table1[Unit_Price]</f>
        <v>60.4</v>
      </c>
      <c r="Q1087" s="1">
        <f>Table1[Profit]/Table1[Total_Sales]</f>
        <v>0.18605132450331127</v>
      </c>
      <c r="R1087" s="14">
        <f>Table1[Total_Sales]+Table1[Shipping_Cost]</f>
        <v>60.47</v>
      </c>
    </row>
    <row r="1088" spans="1:18" x14ac:dyDescent="0.35">
      <c r="A1088" s="3" t="s">
        <v>2108</v>
      </c>
      <c r="B1088" s="2">
        <v>45541</v>
      </c>
      <c r="C1088" s="1" t="s">
        <v>2109</v>
      </c>
      <c r="D1088" s="1" t="s">
        <v>30</v>
      </c>
      <c r="E1088" s="1" t="s">
        <v>109</v>
      </c>
      <c r="F1088" s="1" t="s">
        <v>54</v>
      </c>
      <c r="G1088" s="1" t="s">
        <v>20</v>
      </c>
      <c r="H1088" s="1" t="s">
        <v>55</v>
      </c>
      <c r="I1088" s="1">
        <v>5</v>
      </c>
      <c r="J1088" s="1">
        <v>57.26</v>
      </c>
      <c r="K1088" s="1">
        <v>10</v>
      </c>
      <c r="L1088" s="1">
        <v>257.67</v>
      </c>
      <c r="M1088" s="1">
        <v>17.079999999999998</v>
      </c>
      <c r="N1088" s="1">
        <v>83.12</v>
      </c>
      <c r="O1088" s="6" t="s">
        <v>56</v>
      </c>
      <c r="P1088" s="8">
        <f>Table1[Quantity]*Table1[Unit_Price]</f>
        <v>286.3</v>
      </c>
      <c r="Q1088" s="1">
        <f>Table1[Profit]/Table1[Total_Sales]</f>
        <v>0.32258314898901697</v>
      </c>
      <c r="R1088" s="14">
        <f>Table1[Total_Sales]+Table1[Shipping_Cost]</f>
        <v>274.75</v>
      </c>
    </row>
    <row r="1089" spans="1:18" x14ac:dyDescent="0.35">
      <c r="A1089" s="3" t="s">
        <v>2110</v>
      </c>
      <c r="B1089" s="2">
        <v>45541</v>
      </c>
      <c r="C1089" s="1" t="s">
        <v>2111</v>
      </c>
      <c r="D1089" s="1" t="s">
        <v>30</v>
      </c>
      <c r="E1089" s="1" t="s">
        <v>31</v>
      </c>
      <c r="F1089" s="1" t="s">
        <v>19</v>
      </c>
      <c r="G1089" s="1" t="s">
        <v>42</v>
      </c>
      <c r="H1089" s="1" t="s">
        <v>93</v>
      </c>
      <c r="I1089" s="1">
        <v>1</v>
      </c>
      <c r="J1089" s="1">
        <v>187.47</v>
      </c>
      <c r="K1089" s="1">
        <v>0</v>
      </c>
      <c r="L1089" s="1">
        <v>187.47</v>
      </c>
      <c r="M1089" s="1">
        <v>6.23</v>
      </c>
      <c r="N1089" s="1">
        <v>68.760000000000005</v>
      </c>
      <c r="O1089" s="6" t="s">
        <v>56</v>
      </c>
      <c r="P1089" s="8">
        <f>Table1[Quantity]*Table1[Unit_Price]</f>
        <v>187.47</v>
      </c>
      <c r="Q1089" s="1">
        <f>Table1[Profit]/Table1[Total_Sales]</f>
        <v>0.36677868458953433</v>
      </c>
      <c r="R1089" s="14">
        <f>Table1[Total_Sales]+Table1[Shipping_Cost]</f>
        <v>193.7</v>
      </c>
    </row>
    <row r="1090" spans="1:18" x14ac:dyDescent="0.35">
      <c r="A1090" s="3" t="s">
        <v>2112</v>
      </c>
      <c r="B1090" s="2">
        <v>45542</v>
      </c>
      <c r="C1090" s="1" t="s">
        <v>2113</v>
      </c>
      <c r="D1090" s="1" t="s">
        <v>30</v>
      </c>
      <c r="E1090" s="1" t="s">
        <v>129</v>
      </c>
      <c r="F1090" s="1" t="s">
        <v>19</v>
      </c>
      <c r="G1090" s="1" t="s">
        <v>20</v>
      </c>
      <c r="H1090" s="1" t="s">
        <v>170</v>
      </c>
      <c r="I1090" s="1">
        <v>2</v>
      </c>
      <c r="J1090" s="1">
        <v>50.79</v>
      </c>
      <c r="K1090" s="1">
        <v>0</v>
      </c>
      <c r="L1090" s="1">
        <v>101.58</v>
      </c>
      <c r="M1090" s="1">
        <v>7.71</v>
      </c>
      <c r="N1090" s="1">
        <v>38</v>
      </c>
      <c r="O1090" s="6" t="s">
        <v>39</v>
      </c>
      <c r="P1090" s="8">
        <f>Table1[Quantity]*Table1[Unit_Price]</f>
        <v>101.58</v>
      </c>
      <c r="Q1090" s="1">
        <f>Table1[Profit]/Table1[Total_Sales]</f>
        <v>0.37408938767473915</v>
      </c>
      <c r="R1090" s="14">
        <f>Table1[Total_Sales]+Table1[Shipping_Cost]</f>
        <v>109.28999999999999</v>
      </c>
    </row>
    <row r="1091" spans="1:18" x14ac:dyDescent="0.35">
      <c r="A1091" s="3" t="s">
        <v>2114</v>
      </c>
      <c r="B1091" s="2">
        <v>45542</v>
      </c>
      <c r="C1091" s="1" t="s">
        <v>2115</v>
      </c>
      <c r="D1091" s="1" t="s">
        <v>49</v>
      </c>
      <c r="E1091" s="1" t="s">
        <v>169</v>
      </c>
      <c r="F1091" s="1" t="s">
        <v>68</v>
      </c>
      <c r="G1091" s="1" t="s">
        <v>69</v>
      </c>
      <c r="H1091" s="1" t="s">
        <v>139</v>
      </c>
      <c r="I1091" s="1">
        <v>1</v>
      </c>
      <c r="J1091" s="1">
        <v>31.92</v>
      </c>
      <c r="K1091" s="1">
        <v>0</v>
      </c>
      <c r="L1091" s="1">
        <v>31.92</v>
      </c>
      <c r="M1091" s="1">
        <v>12.07</v>
      </c>
      <c r="N1091" s="1">
        <v>3.89</v>
      </c>
      <c r="O1091" s="6" t="s">
        <v>22</v>
      </c>
      <c r="P1091" s="8">
        <f>Table1[Quantity]*Table1[Unit_Price]</f>
        <v>31.92</v>
      </c>
      <c r="Q1091" s="1">
        <f>Table1[Profit]/Table1[Total_Sales]</f>
        <v>0.1218671679197995</v>
      </c>
      <c r="R1091" s="14">
        <f>Table1[Total_Sales]+Table1[Shipping_Cost]</f>
        <v>43.99</v>
      </c>
    </row>
    <row r="1092" spans="1:18" x14ac:dyDescent="0.35">
      <c r="A1092" s="3" t="s">
        <v>2116</v>
      </c>
      <c r="B1092" s="2">
        <v>45544</v>
      </c>
      <c r="C1092" s="1" t="s">
        <v>2117</v>
      </c>
      <c r="D1092" s="1" t="s">
        <v>30</v>
      </c>
      <c r="E1092" s="1" t="s">
        <v>18</v>
      </c>
      <c r="F1092" s="1" t="s">
        <v>19</v>
      </c>
      <c r="G1092" s="1" t="s">
        <v>32</v>
      </c>
      <c r="H1092" s="1" t="s">
        <v>149</v>
      </c>
      <c r="I1092" s="1">
        <v>8</v>
      </c>
      <c r="J1092" s="1">
        <v>15.17</v>
      </c>
      <c r="K1092" s="1">
        <v>0</v>
      </c>
      <c r="L1092" s="1">
        <v>121.36</v>
      </c>
      <c r="M1092" s="1">
        <v>23.42</v>
      </c>
      <c r="N1092" s="1">
        <v>43.33</v>
      </c>
      <c r="O1092" s="6" t="s">
        <v>34</v>
      </c>
      <c r="P1092" s="8">
        <f>Table1[Quantity]*Table1[Unit_Price]</f>
        <v>121.36</v>
      </c>
      <c r="Q1092" s="1">
        <f>Table1[Profit]/Table1[Total_Sales]</f>
        <v>0.35703691496374423</v>
      </c>
      <c r="R1092" s="14">
        <f>Table1[Total_Sales]+Table1[Shipping_Cost]</f>
        <v>144.78</v>
      </c>
    </row>
    <row r="1093" spans="1:18" x14ac:dyDescent="0.35">
      <c r="A1093" s="3" t="s">
        <v>2118</v>
      </c>
      <c r="B1093" s="2">
        <v>45545</v>
      </c>
      <c r="C1093" s="1" t="s">
        <v>2119</v>
      </c>
      <c r="D1093" s="1" t="s">
        <v>49</v>
      </c>
      <c r="E1093" s="1" t="s">
        <v>67</v>
      </c>
      <c r="F1093" s="1" t="s">
        <v>68</v>
      </c>
      <c r="G1093" s="1" t="s">
        <v>20</v>
      </c>
      <c r="H1093" s="1" t="s">
        <v>122</v>
      </c>
      <c r="I1093" s="1">
        <v>2</v>
      </c>
      <c r="J1093" s="1">
        <v>68.400000000000006</v>
      </c>
      <c r="K1093" s="1">
        <v>0</v>
      </c>
      <c r="L1093" s="1">
        <v>136.80000000000001</v>
      </c>
      <c r="M1093" s="1">
        <v>13.66</v>
      </c>
      <c r="N1093" s="1">
        <v>47.9</v>
      </c>
      <c r="O1093" s="6" t="s">
        <v>39</v>
      </c>
      <c r="P1093" s="8">
        <f>Table1[Quantity]*Table1[Unit_Price]</f>
        <v>136.80000000000001</v>
      </c>
      <c r="Q1093" s="1">
        <f>Table1[Profit]/Table1[Total_Sales]</f>
        <v>0.35014619883040932</v>
      </c>
      <c r="R1093" s="14">
        <f>Table1[Total_Sales]+Table1[Shipping_Cost]</f>
        <v>150.46</v>
      </c>
    </row>
    <row r="1094" spans="1:18" x14ac:dyDescent="0.35">
      <c r="A1094" s="3" t="s">
        <v>2120</v>
      </c>
      <c r="B1094" s="2">
        <v>45545</v>
      </c>
      <c r="C1094" s="1" t="s">
        <v>1100</v>
      </c>
      <c r="D1094" s="1" t="s">
        <v>30</v>
      </c>
      <c r="E1094" s="1" t="s">
        <v>85</v>
      </c>
      <c r="F1094" s="1" t="s">
        <v>60</v>
      </c>
      <c r="G1094" s="1" t="s">
        <v>69</v>
      </c>
      <c r="H1094" s="1" t="s">
        <v>139</v>
      </c>
      <c r="I1094" s="1">
        <v>5</v>
      </c>
      <c r="J1094" s="1">
        <v>57.12</v>
      </c>
      <c r="K1094" s="1">
        <v>0</v>
      </c>
      <c r="L1094" s="1">
        <v>285.60000000000002</v>
      </c>
      <c r="M1094" s="1">
        <v>19.41</v>
      </c>
      <c r="N1094" s="1">
        <v>123.39</v>
      </c>
      <c r="O1094" s="6" t="s">
        <v>34</v>
      </c>
      <c r="P1094" s="8">
        <f>Table1[Quantity]*Table1[Unit_Price]</f>
        <v>285.59999999999997</v>
      </c>
      <c r="Q1094" s="1">
        <f>Table1[Profit]/Table1[Total_Sales]</f>
        <v>0.43203781512605038</v>
      </c>
      <c r="R1094" s="14">
        <f>Table1[Total_Sales]+Table1[Shipping_Cost]</f>
        <v>305.01000000000005</v>
      </c>
    </row>
    <row r="1095" spans="1:18" x14ac:dyDescent="0.35">
      <c r="A1095" s="3" t="s">
        <v>2121</v>
      </c>
      <c r="B1095" s="2">
        <v>45545</v>
      </c>
      <c r="C1095" s="1" t="s">
        <v>2122</v>
      </c>
      <c r="D1095" s="1" t="s">
        <v>30</v>
      </c>
      <c r="E1095" s="1" t="s">
        <v>76</v>
      </c>
      <c r="F1095" s="1" t="s">
        <v>26</v>
      </c>
      <c r="G1095" s="1" t="s">
        <v>20</v>
      </c>
      <c r="H1095" s="1" t="s">
        <v>27</v>
      </c>
      <c r="I1095" s="1">
        <v>10</v>
      </c>
      <c r="J1095" s="1">
        <v>62.96</v>
      </c>
      <c r="K1095" s="1">
        <v>10</v>
      </c>
      <c r="L1095" s="1">
        <v>566.64</v>
      </c>
      <c r="M1095" s="1">
        <v>19.53</v>
      </c>
      <c r="N1095" s="1">
        <v>200.83</v>
      </c>
      <c r="O1095" s="6" t="s">
        <v>39</v>
      </c>
      <c r="P1095" s="8">
        <f>Table1[Quantity]*Table1[Unit_Price]</f>
        <v>629.6</v>
      </c>
      <c r="Q1095" s="1">
        <f>Table1[Profit]/Table1[Total_Sales]</f>
        <v>0.35442256106169706</v>
      </c>
      <c r="R1095" s="14">
        <f>Table1[Total_Sales]+Table1[Shipping_Cost]</f>
        <v>586.16999999999996</v>
      </c>
    </row>
    <row r="1096" spans="1:18" x14ac:dyDescent="0.35">
      <c r="A1096" s="3" t="s">
        <v>2123</v>
      </c>
      <c r="B1096" s="2">
        <v>45545</v>
      </c>
      <c r="C1096" s="1" t="s">
        <v>899</v>
      </c>
      <c r="D1096" s="1" t="s">
        <v>17</v>
      </c>
      <c r="E1096" s="1" t="s">
        <v>166</v>
      </c>
      <c r="F1096" s="1" t="s">
        <v>60</v>
      </c>
      <c r="G1096" s="1" t="s">
        <v>42</v>
      </c>
      <c r="H1096" s="1" t="s">
        <v>93</v>
      </c>
      <c r="I1096" s="1">
        <v>5</v>
      </c>
      <c r="J1096" s="1">
        <v>214.38</v>
      </c>
      <c r="K1096" s="1">
        <v>15</v>
      </c>
      <c r="L1096" s="1">
        <v>911.12</v>
      </c>
      <c r="M1096" s="1">
        <v>18.93</v>
      </c>
      <c r="N1096" s="1">
        <v>249.05</v>
      </c>
      <c r="O1096" s="6" t="s">
        <v>34</v>
      </c>
      <c r="P1096" s="8">
        <f>Table1[Quantity]*Table1[Unit_Price]</f>
        <v>1071.9000000000001</v>
      </c>
      <c r="Q1096" s="1">
        <f>Table1[Profit]/Table1[Total_Sales]</f>
        <v>0.27334489419615421</v>
      </c>
      <c r="R1096" s="14">
        <f>Table1[Total_Sales]+Table1[Shipping_Cost]</f>
        <v>930.05</v>
      </c>
    </row>
    <row r="1097" spans="1:18" x14ac:dyDescent="0.35">
      <c r="A1097" s="3" t="s">
        <v>2124</v>
      </c>
      <c r="B1097" s="2">
        <v>45546</v>
      </c>
      <c r="C1097" s="1" t="s">
        <v>1162</v>
      </c>
      <c r="D1097" s="1" t="s">
        <v>30</v>
      </c>
      <c r="E1097" s="1" t="s">
        <v>169</v>
      </c>
      <c r="F1097" s="1" t="s">
        <v>68</v>
      </c>
      <c r="G1097" s="1" t="s">
        <v>32</v>
      </c>
      <c r="H1097" s="1" t="s">
        <v>348</v>
      </c>
      <c r="I1097" s="1">
        <v>2</v>
      </c>
      <c r="J1097" s="1">
        <v>8.93</v>
      </c>
      <c r="K1097" s="1">
        <v>10</v>
      </c>
      <c r="L1097" s="1">
        <v>16.07</v>
      </c>
      <c r="M1097" s="1">
        <v>14.32</v>
      </c>
      <c r="N1097" s="1">
        <v>-6.29</v>
      </c>
      <c r="O1097" s="6" t="s">
        <v>34</v>
      </c>
      <c r="P1097" s="8">
        <f>Table1[Quantity]*Table1[Unit_Price]</f>
        <v>17.86</v>
      </c>
      <c r="Q1097" s="1">
        <f>Table1[Profit]/Table1[Total_Sales]</f>
        <v>-0.39141257000622276</v>
      </c>
      <c r="R1097" s="14">
        <f>Table1[Total_Sales]+Table1[Shipping_Cost]</f>
        <v>30.39</v>
      </c>
    </row>
    <row r="1098" spans="1:18" x14ac:dyDescent="0.35">
      <c r="A1098" s="3" t="s">
        <v>2125</v>
      </c>
      <c r="B1098" s="2">
        <v>45546</v>
      </c>
      <c r="C1098" s="1" t="s">
        <v>2126</v>
      </c>
      <c r="D1098" s="1" t="s">
        <v>49</v>
      </c>
      <c r="E1098" s="1" t="s">
        <v>76</v>
      </c>
      <c r="F1098" s="1" t="s">
        <v>26</v>
      </c>
      <c r="G1098" s="1" t="s">
        <v>32</v>
      </c>
      <c r="H1098" s="1" t="s">
        <v>115</v>
      </c>
      <c r="I1098" s="1">
        <v>4</v>
      </c>
      <c r="J1098" s="1">
        <v>17.600000000000001</v>
      </c>
      <c r="K1098" s="1">
        <v>0</v>
      </c>
      <c r="L1098" s="1">
        <v>70.400000000000006</v>
      </c>
      <c r="M1098" s="1">
        <v>14.18</v>
      </c>
      <c r="N1098" s="1">
        <v>24.54</v>
      </c>
      <c r="O1098" s="6" t="s">
        <v>39</v>
      </c>
      <c r="P1098" s="8">
        <f>Table1[Quantity]*Table1[Unit_Price]</f>
        <v>70.400000000000006</v>
      </c>
      <c r="Q1098" s="1">
        <f>Table1[Profit]/Table1[Total_Sales]</f>
        <v>0.34857954545454539</v>
      </c>
      <c r="R1098" s="14">
        <f>Table1[Total_Sales]+Table1[Shipping_Cost]</f>
        <v>84.580000000000013</v>
      </c>
    </row>
    <row r="1099" spans="1:18" x14ac:dyDescent="0.35">
      <c r="A1099" s="3" t="s">
        <v>2127</v>
      </c>
      <c r="B1099" s="2">
        <v>45547</v>
      </c>
      <c r="C1099" s="1" t="s">
        <v>2128</v>
      </c>
      <c r="D1099" s="1" t="s">
        <v>49</v>
      </c>
      <c r="E1099" s="1" t="s">
        <v>129</v>
      </c>
      <c r="F1099" s="1" t="s">
        <v>19</v>
      </c>
      <c r="G1099" s="1" t="s">
        <v>69</v>
      </c>
      <c r="H1099" s="1" t="s">
        <v>196</v>
      </c>
      <c r="I1099" s="1">
        <v>9</v>
      </c>
      <c r="J1099" s="1">
        <v>22.04</v>
      </c>
      <c r="K1099" s="1">
        <v>0</v>
      </c>
      <c r="L1099" s="1">
        <v>198.36</v>
      </c>
      <c r="M1099" s="1">
        <v>9.7899999999999991</v>
      </c>
      <c r="N1099" s="1">
        <v>89.39</v>
      </c>
      <c r="O1099" s="6" t="s">
        <v>34</v>
      </c>
      <c r="P1099" s="8">
        <f>Table1[Quantity]*Table1[Unit_Price]</f>
        <v>198.35999999999999</v>
      </c>
      <c r="Q1099" s="1">
        <f>Table1[Profit]/Table1[Total_Sales]</f>
        <v>0.45064529138939302</v>
      </c>
      <c r="R1099" s="14">
        <f>Table1[Total_Sales]+Table1[Shipping_Cost]</f>
        <v>208.15</v>
      </c>
    </row>
    <row r="1100" spans="1:18" x14ac:dyDescent="0.35">
      <c r="A1100" s="3" t="s">
        <v>2129</v>
      </c>
      <c r="B1100" s="2">
        <v>45548</v>
      </c>
      <c r="C1100" s="1" t="s">
        <v>1207</v>
      </c>
      <c r="D1100" s="1" t="s">
        <v>17</v>
      </c>
      <c r="E1100" s="1" t="s">
        <v>31</v>
      </c>
      <c r="F1100" s="1" t="s">
        <v>19</v>
      </c>
      <c r="G1100" s="1" t="s">
        <v>42</v>
      </c>
      <c r="H1100" s="1" t="s">
        <v>93</v>
      </c>
      <c r="I1100" s="1">
        <v>1</v>
      </c>
      <c r="J1100" s="1">
        <v>376.74</v>
      </c>
      <c r="K1100" s="1">
        <v>20</v>
      </c>
      <c r="L1100" s="1">
        <v>301.39</v>
      </c>
      <c r="M1100" s="1">
        <v>7.19</v>
      </c>
      <c r="N1100" s="1">
        <v>68.16</v>
      </c>
      <c r="O1100" s="6" t="s">
        <v>34</v>
      </c>
      <c r="P1100" s="8">
        <f>Table1[Quantity]*Table1[Unit_Price]</f>
        <v>376.74</v>
      </c>
      <c r="Q1100" s="1">
        <f>Table1[Profit]/Table1[Total_Sales]</f>
        <v>0.22615216165101695</v>
      </c>
      <c r="R1100" s="14">
        <f>Table1[Total_Sales]+Table1[Shipping_Cost]</f>
        <v>308.58</v>
      </c>
    </row>
    <row r="1101" spans="1:18" x14ac:dyDescent="0.35">
      <c r="A1101" s="3" t="s">
        <v>2130</v>
      </c>
      <c r="B1101" s="2">
        <v>45549</v>
      </c>
      <c r="C1101" s="1" t="s">
        <v>2131</v>
      </c>
      <c r="D1101" s="1" t="s">
        <v>17</v>
      </c>
      <c r="E1101" s="1" t="s">
        <v>76</v>
      </c>
      <c r="F1101" s="1" t="s">
        <v>26</v>
      </c>
      <c r="G1101" s="1" t="s">
        <v>20</v>
      </c>
      <c r="H1101" s="1" t="s">
        <v>27</v>
      </c>
      <c r="I1101" s="1">
        <v>1</v>
      </c>
      <c r="J1101" s="1">
        <v>174.88</v>
      </c>
      <c r="K1101" s="1">
        <v>15</v>
      </c>
      <c r="L1101" s="1">
        <v>148.65</v>
      </c>
      <c r="M1101" s="1">
        <v>8.56</v>
      </c>
      <c r="N1101" s="1">
        <v>43.91</v>
      </c>
      <c r="O1101" s="6" t="s">
        <v>34</v>
      </c>
      <c r="P1101" s="8">
        <f>Table1[Quantity]*Table1[Unit_Price]</f>
        <v>174.88</v>
      </c>
      <c r="Q1101" s="1">
        <f>Table1[Profit]/Table1[Total_Sales]</f>
        <v>0.29539186007399931</v>
      </c>
      <c r="R1101" s="14">
        <f>Table1[Total_Sales]+Table1[Shipping_Cost]</f>
        <v>157.21</v>
      </c>
    </row>
    <row r="1102" spans="1:18" x14ac:dyDescent="0.35">
      <c r="A1102" s="3" t="s">
        <v>2132</v>
      </c>
      <c r="B1102" s="2">
        <v>45549</v>
      </c>
      <c r="C1102" s="1" t="s">
        <v>2133</v>
      </c>
      <c r="D1102" s="1" t="s">
        <v>30</v>
      </c>
      <c r="E1102" s="1" t="s">
        <v>92</v>
      </c>
      <c r="F1102" s="1" t="s">
        <v>60</v>
      </c>
      <c r="G1102" s="1" t="s">
        <v>32</v>
      </c>
      <c r="H1102" s="1" t="s">
        <v>348</v>
      </c>
      <c r="I1102" s="1">
        <v>1</v>
      </c>
      <c r="J1102" s="1">
        <v>13.21</v>
      </c>
      <c r="K1102" s="1">
        <v>5</v>
      </c>
      <c r="L1102" s="1">
        <v>12.55</v>
      </c>
      <c r="M1102" s="1">
        <v>10.34</v>
      </c>
      <c r="N1102" s="1">
        <v>-3.73</v>
      </c>
      <c r="O1102" s="6" t="s">
        <v>34</v>
      </c>
      <c r="P1102" s="8">
        <f>Table1[Quantity]*Table1[Unit_Price]</f>
        <v>13.21</v>
      </c>
      <c r="Q1102" s="1">
        <f>Table1[Profit]/Table1[Total_Sales]</f>
        <v>-0.29721115537848602</v>
      </c>
      <c r="R1102" s="14">
        <f>Table1[Total_Sales]+Table1[Shipping_Cost]</f>
        <v>22.89</v>
      </c>
    </row>
    <row r="1103" spans="1:18" x14ac:dyDescent="0.35">
      <c r="A1103" s="3" t="s">
        <v>2134</v>
      </c>
      <c r="B1103" s="2">
        <v>45549</v>
      </c>
      <c r="C1103" s="1" t="s">
        <v>2135</v>
      </c>
      <c r="D1103" s="1" t="s">
        <v>49</v>
      </c>
      <c r="E1103" s="1" t="s">
        <v>166</v>
      </c>
      <c r="F1103" s="1" t="s">
        <v>60</v>
      </c>
      <c r="G1103" s="1" t="s">
        <v>20</v>
      </c>
      <c r="H1103" s="1" t="s">
        <v>38</v>
      </c>
      <c r="I1103" s="1">
        <v>2</v>
      </c>
      <c r="J1103" s="1">
        <v>43.13</v>
      </c>
      <c r="K1103" s="1">
        <v>0</v>
      </c>
      <c r="L1103" s="1">
        <v>86.26</v>
      </c>
      <c r="M1103" s="1">
        <v>11.52</v>
      </c>
      <c r="N1103" s="1">
        <v>27.3</v>
      </c>
      <c r="O1103" s="6" t="s">
        <v>39</v>
      </c>
      <c r="P1103" s="8">
        <f>Table1[Quantity]*Table1[Unit_Price]</f>
        <v>86.26</v>
      </c>
      <c r="Q1103" s="1">
        <f>Table1[Profit]/Table1[Total_Sales]</f>
        <v>0.31648504521214932</v>
      </c>
      <c r="R1103" s="14">
        <f>Table1[Total_Sales]+Table1[Shipping_Cost]</f>
        <v>97.78</v>
      </c>
    </row>
    <row r="1104" spans="1:18" x14ac:dyDescent="0.35">
      <c r="A1104" s="3" t="s">
        <v>2136</v>
      </c>
      <c r="B1104" s="2">
        <v>45550</v>
      </c>
      <c r="C1104" s="1" t="s">
        <v>2137</v>
      </c>
      <c r="D1104" s="1" t="s">
        <v>17</v>
      </c>
      <c r="E1104" s="1" t="s">
        <v>135</v>
      </c>
      <c r="F1104" s="1" t="s">
        <v>26</v>
      </c>
      <c r="G1104" s="1" t="s">
        <v>20</v>
      </c>
      <c r="H1104" s="1" t="s">
        <v>106</v>
      </c>
      <c r="I1104" s="1">
        <v>4</v>
      </c>
      <c r="J1104" s="1">
        <v>41.61</v>
      </c>
      <c r="K1104" s="1">
        <v>20</v>
      </c>
      <c r="L1104" s="1">
        <v>133.15</v>
      </c>
      <c r="M1104" s="1">
        <v>11.64</v>
      </c>
      <c r="N1104" s="1">
        <v>29.97</v>
      </c>
      <c r="O1104" s="6" t="s">
        <v>34</v>
      </c>
      <c r="P1104" s="8">
        <f>Table1[Quantity]*Table1[Unit_Price]</f>
        <v>166.44</v>
      </c>
      <c r="Q1104" s="1">
        <f>Table1[Profit]/Table1[Total_Sales]</f>
        <v>0.22508449117536611</v>
      </c>
      <c r="R1104" s="14">
        <f>Table1[Total_Sales]+Table1[Shipping_Cost]</f>
        <v>144.79000000000002</v>
      </c>
    </row>
    <row r="1105" spans="1:18" x14ac:dyDescent="0.35">
      <c r="A1105" s="3" t="s">
        <v>2138</v>
      </c>
      <c r="B1105" s="2">
        <v>45550</v>
      </c>
      <c r="C1105" s="1" t="s">
        <v>2139</v>
      </c>
      <c r="D1105" s="1" t="s">
        <v>49</v>
      </c>
      <c r="E1105" s="1" t="s">
        <v>31</v>
      </c>
      <c r="F1105" s="1" t="s">
        <v>19</v>
      </c>
      <c r="G1105" s="1" t="s">
        <v>69</v>
      </c>
      <c r="H1105" s="1" t="s">
        <v>79</v>
      </c>
      <c r="I1105" s="1">
        <v>6</v>
      </c>
      <c r="J1105" s="1">
        <v>33.229999999999997</v>
      </c>
      <c r="K1105" s="1">
        <v>5</v>
      </c>
      <c r="L1105" s="1">
        <v>189.41</v>
      </c>
      <c r="M1105" s="1">
        <v>9.09</v>
      </c>
      <c r="N1105" s="1">
        <v>80.63</v>
      </c>
      <c r="O1105" s="6" t="s">
        <v>34</v>
      </c>
      <c r="P1105" s="8">
        <f>Table1[Quantity]*Table1[Unit_Price]</f>
        <v>199.38</v>
      </c>
      <c r="Q1105" s="1">
        <f>Table1[Profit]/Table1[Total_Sales]</f>
        <v>0.42569030146243597</v>
      </c>
      <c r="R1105" s="14">
        <f>Table1[Total_Sales]+Table1[Shipping_Cost]</f>
        <v>198.5</v>
      </c>
    </row>
    <row r="1106" spans="1:18" x14ac:dyDescent="0.35">
      <c r="A1106" s="3" t="s">
        <v>2140</v>
      </c>
      <c r="B1106" s="2">
        <v>45550</v>
      </c>
      <c r="C1106" s="1" t="s">
        <v>2141</v>
      </c>
      <c r="D1106" s="1" t="s">
        <v>17</v>
      </c>
      <c r="E1106" s="1" t="s">
        <v>18</v>
      </c>
      <c r="F1106" s="1" t="s">
        <v>19</v>
      </c>
      <c r="G1106" s="1" t="s">
        <v>69</v>
      </c>
      <c r="H1106" s="1" t="s">
        <v>196</v>
      </c>
      <c r="I1106" s="1">
        <v>4</v>
      </c>
      <c r="J1106" s="1">
        <v>12.55</v>
      </c>
      <c r="K1106" s="1">
        <v>25</v>
      </c>
      <c r="L1106" s="1">
        <v>37.65</v>
      </c>
      <c r="M1106" s="1">
        <v>9.91</v>
      </c>
      <c r="N1106" s="1">
        <v>2.64</v>
      </c>
      <c r="O1106" s="6" t="s">
        <v>34</v>
      </c>
      <c r="P1106" s="8">
        <f>Table1[Quantity]*Table1[Unit_Price]</f>
        <v>50.2</v>
      </c>
      <c r="Q1106" s="1">
        <f>Table1[Profit]/Table1[Total_Sales]</f>
        <v>7.0119521912350602E-2</v>
      </c>
      <c r="R1106" s="14">
        <f>Table1[Total_Sales]+Table1[Shipping_Cost]</f>
        <v>47.56</v>
      </c>
    </row>
    <row r="1107" spans="1:18" x14ac:dyDescent="0.35">
      <c r="A1107" s="3" t="s">
        <v>2142</v>
      </c>
      <c r="B1107" s="2">
        <v>45550</v>
      </c>
      <c r="C1107" s="1" t="s">
        <v>2143</v>
      </c>
      <c r="D1107" s="1" t="s">
        <v>30</v>
      </c>
      <c r="E1107" s="1" t="s">
        <v>138</v>
      </c>
      <c r="F1107" s="1" t="s">
        <v>54</v>
      </c>
      <c r="G1107" s="1" t="s">
        <v>69</v>
      </c>
      <c r="H1107" s="1" t="s">
        <v>305</v>
      </c>
      <c r="I1107" s="1">
        <v>8</v>
      </c>
      <c r="J1107" s="1">
        <v>62.5</v>
      </c>
      <c r="K1107" s="1">
        <v>25</v>
      </c>
      <c r="L1107" s="1">
        <v>375</v>
      </c>
      <c r="M1107" s="1">
        <v>24.32</v>
      </c>
      <c r="N1107" s="1">
        <v>100.68</v>
      </c>
      <c r="O1107" s="6" t="s">
        <v>39</v>
      </c>
      <c r="P1107" s="8">
        <f>Table1[Quantity]*Table1[Unit_Price]</f>
        <v>500</v>
      </c>
      <c r="Q1107" s="1">
        <f>Table1[Profit]/Table1[Total_Sales]</f>
        <v>0.26848</v>
      </c>
      <c r="R1107" s="14">
        <f>Table1[Total_Sales]+Table1[Shipping_Cost]</f>
        <v>399.32</v>
      </c>
    </row>
    <row r="1108" spans="1:18" x14ac:dyDescent="0.35">
      <c r="A1108" s="3" t="s">
        <v>2144</v>
      </c>
      <c r="B1108" s="2">
        <v>45550</v>
      </c>
      <c r="C1108" s="1" t="s">
        <v>2145</v>
      </c>
      <c r="D1108" s="1" t="s">
        <v>30</v>
      </c>
      <c r="E1108" s="1" t="s">
        <v>18</v>
      </c>
      <c r="F1108" s="1" t="s">
        <v>19</v>
      </c>
      <c r="G1108" s="1" t="s">
        <v>20</v>
      </c>
      <c r="H1108" s="1" t="s">
        <v>106</v>
      </c>
      <c r="I1108" s="1">
        <v>2</v>
      </c>
      <c r="J1108" s="1">
        <v>31.01</v>
      </c>
      <c r="K1108" s="1">
        <v>10</v>
      </c>
      <c r="L1108" s="1">
        <v>55.82</v>
      </c>
      <c r="M1108" s="1">
        <v>6.85</v>
      </c>
      <c r="N1108" s="1">
        <v>14.86</v>
      </c>
      <c r="O1108" s="6" t="s">
        <v>56</v>
      </c>
      <c r="P1108" s="8">
        <f>Table1[Quantity]*Table1[Unit_Price]</f>
        <v>62.02</v>
      </c>
      <c r="Q1108" s="1">
        <f>Table1[Profit]/Table1[Total_Sales]</f>
        <v>0.26621282694374776</v>
      </c>
      <c r="R1108" s="14">
        <f>Table1[Total_Sales]+Table1[Shipping_Cost]</f>
        <v>62.67</v>
      </c>
    </row>
    <row r="1109" spans="1:18" x14ac:dyDescent="0.35">
      <c r="A1109" s="3" t="s">
        <v>2146</v>
      </c>
      <c r="B1109" s="2">
        <v>45550</v>
      </c>
      <c r="C1109" s="1" t="s">
        <v>2147</v>
      </c>
      <c r="D1109" s="1" t="s">
        <v>30</v>
      </c>
      <c r="E1109" s="1" t="s">
        <v>129</v>
      </c>
      <c r="F1109" s="1" t="s">
        <v>19</v>
      </c>
      <c r="G1109" s="1" t="s">
        <v>42</v>
      </c>
      <c r="H1109" s="1" t="s">
        <v>255</v>
      </c>
      <c r="I1109" s="1">
        <v>4</v>
      </c>
      <c r="J1109" s="1">
        <v>29.07</v>
      </c>
      <c r="K1109" s="1">
        <v>10</v>
      </c>
      <c r="L1109" s="1">
        <v>104.65</v>
      </c>
      <c r="M1109" s="1">
        <v>12.59</v>
      </c>
      <c r="N1109" s="1">
        <v>22.29</v>
      </c>
      <c r="O1109" s="6" t="s">
        <v>22</v>
      </c>
      <c r="P1109" s="8">
        <f>Table1[Quantity]*Table1[Unit_Price]</f>
        <v>116.28</v>
      </c>
      <c r="Q1109" s="1">
        <f>Table1[Profit]/Table1[Total_Sales]</f>
        <v>0.21299569995222167</v>
      </c>
      <c r="R1109" s="14">
        <f>Table1[Total_Sales]+Table1[Shipping_Cost]</f>
        <v>117.24000000000001</v>
      </c>
    </row>
    <row r="1110" spans="1:18" x14ac:dyDescent="0.35">
      <c r="A1110" s="3" t="s">
        <v>2148</v>
      </c>
      <c r="B1110" s="2">
        <v>45551</v>
      </c>
      <c r="C1110" s="1" t="s">
        <v>2149</v>
      </c>
      <c r="D1110" s="1" t="s">
        <v>17</v>
      </c>
      <c r="E1110" s="1" t="s">
        <v>129</v>
      </c>
      <c r="F1110" s="1" t="s">
        <v>19</v>
      </c>
      <c r="G1110" s="1" t="s">
        <v>20</v>
      </c>
      <c r="H1110" s="1" t="s">
        <v>264</v>
      </c>
      <c r="I1110" s="1">
        <v>5</v>
      </c>
      <c r="J1110" s="1">
        <v>62.9</v>
      </c>
      <c r="K1110" s="1">
        <v>0</v>
      </c>
      <c r="L1110" s="1">
        <v>314.5</v>
      </c>
      <c r="M1110" s="1">
        <v>12.05</v>
      </c>
      <c r="N1110" s="1">
        <v>129.47</v>
      </c>
      <c r="O1110" s="6" t="s">
        <v>56</v>
      </c>
      <c r="P1110" s="8">
        <f>Table1[Quantity]*Table1[Unit_Price]</f>
        <v>314.5</v>
      </c>
      <c r="Q1110" s="1">
        <f>Table1[Profit]/Table1[Total_Sales]</f>
        <v>0.41166931637519871</v>
      </c>
      <c r="R1110" s="14">
        <f>Table1[Total_Sales]+Table1[Shipping_Cost]</f>
        <v>326.55</v>
      </c>
    </row>
    <row r="1111" spans="1:18" x14ac:dyDescent="0.35">
      <c r="A1111" s="3" t="s">
        <v>2150</v>
      </c>
      <c r="B1111" s="2">
        <v>45551</v>
      </c>
      <c r="C1111" s="1" t="s">
        <v>2151</v>
      </c>
      <c r="D1111" s="1" t="s">
        <v>30</v>
      </c>
      <c r="E1111" s="1" t="s">
        <v>25</v>
      </c>
      <c r="F1111" s="1" t="s">
        <v>26</v>
      </c>
      <c r="G1111" s="1" t="s">
        <v>32</v>
      </c>
      <c r="H1111" s="1" t="s">
        <v>82</v>
      </c>
      <c r="I1111" s="1">
        <v>1</v>
      </c>
      <c r="J1111" s="1">
        <v>13.51</v>
      </c>
      <c r="K1111" s="1">
        <v>10</v>
      </c>
      <c r="L1111" s="1">
        <v>12.16</v>
      </c>
      <c r="M1111" s="1">
        <v>7.94</v>
      </c>
      <c r="N1111" s="1">
        <v>-1.86</v>
      </c>
      <c r="O1111" s="6" t="s">
        <v>34</v>
      </c>
      <c r="P1111" s="8">
        <f>Table1[Quantity]*Table1[Unit_Price]</f>
        <v>13.51</v>
      </c>
      <c r="Q1111" s="1">
        <f>Table1[Profit]/Table1[Total_Sales]</f>
        <v>-0.15296052631578949</v>
      </c>
      <c r="R1111" s="14">
        <f>Table1[Total_Sales]+Table1[Shipping_Cost]</f>
        <v>20.100000000000001</v>
      </c>
    </row>
    <row r="1112" spans="1:18" x14ac:dyDescent="0.35">
      <c r="A1112" s="3" t="s">
        <v>2152</v>
      </c>
      <c r="B1112" s="2">
        <v>45551</v>
      </c>
      <c r="C1112" s="1" t="s">
        <v>2153</v>
      </c>
      <c r="D1112" s="1" t="s">
        <v>30</v>
      </c>
      <c r="E1112" s="1" t="s">
        <v>169</v>
      </c>
      <c r="F1112" s="1" t="s">
        <v>68</v>
      </c>
      <c r="G1112" s="1" t="s">
        <v>42</v>
      </c>
      <c r="H1112" s="1" t="s">
        <v>118</v>
      </c>
      <c r="I1112" s="1">
        <v>3</v>
      </c>
      <c r="J1112" s="1">
        <v>64.94</v>
      </c>
      <c r="K1112" s="1">
        <v>20</v>
      </c>
      <c r="L1112" s="1">
        <v>155.86000000000001</v>
      </c>
      <c r="M1112" s="1">
        <v>11.57</v>
      </c>
      <c r="N1112" s="1">
        <v>27.4</v>
      </c>
      <c r="O1112" s="6" t="s">
        <v>39</v>
      </c>
      <c r="P1112" s="8">
        <f>Table1[Quantity]*Table1[Unit_Price]</f>
        <v>194.82</v>
      </c>
      <c r="Q1112" s="1">
        <f>Table1[Profit]/Table1[Total_Sales]</f>
        <v>0.17579879378929805</v>
      </c>
      <c r="R1112" s="14">
        <f>Table1[Total_Sales]+Table1[Shipping_Cost]</f>
        <v>167.43</v>
      </c>
    </row>
    <row r="1113" spans="1:18" x14ac:dyDescent="0.35">
      <c r="A1113" s="3" t="s">
        <v>2154</v>
      </c>
      <c r="B1113" s="2">
        <v>45551</v>
      </c>
      <c r="C1113" s="1" t="s">
        <v>2155</v>
      </c>
      <c r="D1113" s="1" t="s">
        <v>30</v>
      </c>
      <c r="E1113" s="1" t="s">
        <v>31</v>
      </c>
      <c r="F1113" s="1" t="s">
        <v>19</v>
      </c>
      <c r="G1113" s="1" t="s">
        <v>69</v>
      </c>
      <c r="H1113" s="1" t="s">
        <v>163</v>
      </c>
      <c r="I1113" s="1">
        <v>1</v>
      </c>
      <c r="J1113" s="1">
        <v>20.04</v>
      </c>
      <c r="K1113" s="1">
        <v>0</v>
      </c>
      <c r="L1113" s="1">
        <v>20.04</v>
      </c>
      <c r="M1113" s="1">
        <v>6.51</v>
      </c>
      <c r="N1113" s="1">
        <v>3.51</v>
      </c>
      <c r="O1113" s="6" t="s">
        <v>34</v>
      </c>
      <c r="P1113" s="8">
        <f>Table1[Quantity]*Table1[Unit_Price]</f>
        <v>20.04</v>
      </c>
      <c r="Q1113" s="1">
        <f>Table1[Profit]/Table1[Total_Sales]</f>
        <v>0.17514970059880239</v>
      </c>
      <c r="R1113" s="14">
        <f>Table1[Total_Sales]+Table1[Shipping_Cost]</f>
        <v>26.549999999999997</v>
      </c>
    </row>
    <row r="1114" spans="1:18" x14ac:dyDescent="0.35">
      <c r="A1114" s="3" t="s">
        <v>2156</v>
      </c>
      <c r="B1114" s="2">
        <v>45551</v>
      </c>
      <c r="C1114" s="1" t="s">
        <v>2157</v>
      </c>
      <c r="D1114" s="1" t="s">
        <v>17</v>
      </c>
      <c r="E1114" s="1" t="s">
        <v>129</v>
      </c>
      <c r="F1114" s="1" t="s">
        <v>19</v>
      </c>
      <c r="G1114" s="1" t="s">
        <v>32</v>
      </c>
      <c r="H1114" s="1" t="s">
        <v>82</v>
      </c>
      <c r="I1114" s="1">
        <v>4</v>
      </c>
      <c r="J1114" s="1">
        <v>17.37</v>
      </c>
      <c r="K1114" s="1">
        <v>15</v>
      </c>
      <c r="L1114" s="1">
        <v>59.06</v>
      </c>
      <c r="M1114" s="1">
        <v>9.1</v>
      </c>
      <c r="N1114" s="1">
        <v>18.690000000000001</v>
      </c>
      <c r="O1114" s="6" t="s">
        <v>22</v>
      </c>
      <c r="P1114" s="8">
        <f>Table1[Quantity]*Table1[Unit_Price]</f>
        <v>69.48</v>
      </c>
      <c r="Q1114" s="1">
        <f>Table1[Profit]/Table1[Total_Sales]</f>
        <v>0.31645783948526923</v>
      </c>
      <c r="R1114" s="14">
        <f>Table1[Total_Sales]+Table1[Shipping_Cost]</f>
        <v>68.16</v>
      </c>
    </row>
    <row r="1115" spans="1:18" x14ac:dyDescent="0.35">
      <c r="A1115" s="3" t="s">
        <v>2158</v>
      </c>
      <c r="B1115" s="2">
        <v>45551</v>
      </c>
      <c r="C1115" s="1" t="s">
        <v>1298</v>
      </c>
      <c r="D1115" s="1" t="s">
        <v>17</v>
      </c>
      <c r="E1115" s="1" t="s">
        <v>138</v>
      </c>
      <c r="F1115" s="1" t="s">
        <v>54</v>
      </c>
      <c r="G1115" s="1" t="s">
        <v>42</v>
      </c>
      <c r="H1115" s="1" t="s">
        <v>64</v>
      </c>
      <c r="I1115" s="1">
        <v>2</v>
      </c>
      <c r="J1115" s="1">
        <v>73.069999999999993</v>
      </c>
      <c r="K1115" s="1">
        <v>15</v>
      </c>
      <c r="L1115" s="1">
        <v>124.22</v>
      </c>
      <c r="M1115" s="1">
        <v>13.98</v>
      </c>
      <c r="N1115" s="1">
        <v>22.56</v>
      </c>
      <c r="O1115" s="6" t="s">
        <v>34</v>
      </c>
      <c r="P1115" s="8">
        <f>Table1[Quantity]*Table1[Unit_Price]</f>
        <v>146.13999999999999</v>
      </c>
      <c r="Q1115" s="1">
        <f>Table1[Profit]/Table1[Total_Sales]</f>
        <v>0.18161326678473674</v>
      </c>
      <c r="R1115" s="14">
        <f>Table1[Total_Sales]+Table1[Shipping_Cost]</f>
        <v>138.19999999999999</v>
      </c>
    </row>
    <row r="1116" spans="1:18" x14ac:dyDescent="0.35">
      <c r="A1116" s="3" t="s">
        <v>2159</v>
      </c>
      <c r="B1116" s="2">
        <v>45552</v>
      </c>
      <c r="C1116" s="1" t="s">
        <v>2160</v>
      </c>
      <c r="D1116" s="1" t="s">
        <v>49</v>
      </c>
      <c r="E1116" s="1" t="s">
        <v>31</v>
      </c>
      <c r="F1116" s="1" t="s">
        <v>19</v>
      </c>
      <c r="G1116" s="1" t="s">
        <v>32</v>
      </c>
      <c r="H1116" s="1" t="s">
        <v>73</v>
      </c>
      <c r="I1116" s="1">
        <v>2</v>
      </c>
      <c r="J1116" s="1">
        <v>5.97</v>
      </c>
      <c r="K1116" s="1">
        <v>5</v>
      </c>
      <c r="L1116" s="1">
        <v>11.34</v>
      </c>
      <c r="M1116" s="1">
        <v>7.01</v>
      </c>
      <c r="N1116" s="1">
        <v>-1.04</v>
      </c>
      <c r="O1116" s="6" t="s">
        <v>39</v>
      </c>
      <c r="P1116" s="8">
        <f>Table1[Quantity]*Table1[Unit_Price]</f>
        <v>11.94</v>
      </c>
      <c r="Q1116" s="1">
        <f>Table1[Profit]/Table1[Total_Sales]</f>
        <v>-9.1710758377425053E-2</v>
      </c>
      <c r="R1116" s="14">
        <f>Table1[Total_Sales]+Table1[Shipping_Cost]</f>
        <v>18.350000000000001</v>
      </c>
    </row>
    <row r="1117" spans="1:18" x14ac:dyDescent="0.35">
      <c r="A1117" s="3" t="s">
        <v>2161</v>
      </c>
      <c r="B1117" s="2">
        <v>45553</v>
      </c>
      <c r="C1117" s="1" t="s">
        <v>2162</v>
      </c>
      <c r="D1117" s="1" t="s">
        <v>30</v>
      </c>
      <c r="E1117" s="1" t="s">
        <v>37</v>
      </c>
      <c r="F1117" s="1" t="s">
        <v>26</v>
      </c>
      <c r="G1117" s="1" t="s">
        <v>42</v>
      </c>
      <c r="H1117" s="1" t="s">
        <v>234</v>
      </c>
      <c r="I1117" s="1">
        <v>4</v>
      </c>
      <c r="J1117" s="1">
        <v>67.400000000000006</v>
      </c>
      <c r="K1117" s="1">
        <v>5</v>
      </c>
      <c r="L1117" s="1">
        <v>256.12</v>
      </c>
      <c r="M1117" s="1">
        <v>9.33</v>
      </c>
      <c r="N1117" s="1">
        <v>85.03</v>
      </c>
      <c r="O1117" s="6" t="s">
        <v>22</v>
      </c>
      <c r="P1117" s="8">
        <f>Table1[Quantity]*Table1[Unit_Price]</f>
        <v>269.60000000000002</v>
      </c>
      <c r="Q1117" s="1">
        <f>Table1[Profit]/Table1[Total_Sales]</f>
        <v>0.33199281586756207</v>
      </c>
      <c r="R1117" s="14">
        <f>Table1[Total_Sales]+Table1[Shipping_Cost]</f>
        <v>265.45</v>
      </c>
    </row>
    <row r="1118" spans="1:18" x14ac:dyDescent="0.35">
      <c r="A1118" s="3" t="s">
        <v>2163</v>
      </c>
      <c r="B1118" s="2">
        <v>45554</v>
      </c>
      <c r="C1118" s="1" t="s">
        <v>2164</v>
      </c>
      <c r="D1118" s="1" t="s">
        <v>30</v>
      </c>
      <c r="E1118" s="1" t="s">
        <v>135</v>
      </c>
      <c r="F1118" s="1" t="s">
        <v>26</v>
      </c>
      <c r="G1118" s="1" t="s">
        <v>32</v>
      </c>
      <c r="H1118" s="1" t="s">
        <v>101</v>
      </c>
      <c r="I1118" s="1">
        <v>3</v>
      </c>
      <c r="J1118" s="1">
        <v>13.57</v>
      </c>
      <c r="K1118" s="1">
        <v>5</v>
      </c>
      <c r="L1118" s="1">
        <v>38.67</v>
      </c>
      <c r="M1118" s="1">
        <v>12.98</v>
      </c>
      <c r="N1118" s="1">
        <v>7.37</v>
      </c>
      <c r="O1118" s="6" t="s">
        <v>34</v>
      </c>
      <c r="P1118" s="8">
        <f>Table1[Quantity]*Table1[Unit_Price]</f>
        <v>40.71</v>
      </c>
      <c r="Q1118" s="1">
        <f>Table1[Profit]/Table1[Total_Sales]</f>
        <v>0.19058701836048617</v>
      </c>
      <c r="R1118" s="14">
        <f>Table1[Total_Sales]+Table1[Shipping_Cost]</f>
        <v>51.650000000000006</v>
      </c>
    </row>
    <row r="1119" spans="1:18" x14ac:dyDescent="0.35">
      <c r="A1119" s="3" t="s">
        <v>2165</v>
      </c>
      <c r="B1119" s="2">
        <v>45554</v>
      </c>
      <c r="C1119" s="1" t="s">
        <v>2166</v>
      </c>
      <c r="D1119" s="1" t="s">
        <v>49</v>
      </c>
      <c r="E1119" s="1" t="s">
        <v>25</v>
      </c>
      <c r="F1119" s="1" t="s">
        <v>26</v>
      </c>
      <c r="G1119" s="1" t="s">
        <v>32</v>
      </c>
      <c r="H1119" s="1" t="s">
        <v>110</v>
      </c>
      <c r="I1119" s="1">
        <v>2</v>
      </c>
      <c r="J1119" s="1">
        <v>6.44</v>
      </c>
      <c r="K1119" s="1">
        <v>0</v>
      </c>
      <c r="L1119" s="1">
        <v>12.88</v>
      </c>
      <c r="M1119" s="1">
        <v>9.7100000000000009</v>
      </c>
      <c r="N1119" s="1">
        <v>-2.63</v>
      </c>
      <c r="O1119" s="6" t="s">
        <v>34</v>
      </c>
      <c r="P1119" s="8">
        <f>Table1[Quantity]*Table1[Unit_Price]</f>
        <v>12.88</v>
      </c>
      <c r="Q1119" s="1">
        <f>Table1[Profit]/Table1[Total_Sales]</f>
        <v>-0.20419254658385091</v>
      </c>
      <c r="R1119" s="14">
        <f>Table1[Total_Sales]+Table1[Shipping_Cost]</f>
        <v>22.590000000000003</v>
      </c>
    </row>
    <row r="1120" spans="1:18" x14ac:dyDescent="0.35">
      <c r="A1120" s="3" t="s">
        <v>2167</v>
      </c>
      <c r="B1120" s="2">
        <v>45555</v>
      </c>
      <c r="C1120" s="1" t="s">
        <v>1326</v>
      </c>
      <c r="D1120" s="1" t="s">
        <v>30</v>
      </c>
      <c r="E1120" s="1" t="s">
        <v>166</v>
      </c>
      <c r="F1120" s="1" t="s">
        <v>60</v>
      </c>
      <c r="G1120" s="1" t="s">
        <v>32</v>
      </c>
      <c r="H1120" s="1" t="s">
        <v>33</v>
      </c>
      <c r="I1120" s="1">
        <v>6</v>
      </c>
      <c r="J1120" s="1">
        <v>13.09</v>
      </c>
      <c r="K1120" s="1">
        <v>10</v>
      </c>
      <c r="L1120" s="1">
        <v>70.69</v>
      </c>
      <c r="M1120" s="1">
        <v>20.97</v>
      </c>
      <c r="N1120" s="1">
        <v>14.38</v>
      </c>
      <c r="O1120" s="6" t="s">
        <v>39</v>
      </c>
      <c r="P1120" s="8">
        <f>Table1[Quantity]*Table1[Unit_Price]</f>
        <v>78.539999999999992</v>
      </c>
      <c r="Q1120" s="1">
        <f>Table1[Profit]/Table1[Total_Sales]</f>
        <v>0.20342339793464423</v>
      </c>
      <c r="R1120" s="14">
        <f>Table1[Total_Sales]+Table1[Shipping_Cost]</f>
        <v>91.66</v>
      </c>
    </row>
    <row r="1121" spans="1:18" x14ac:dyDescent="0.35">
      <c r="A1121" s="3" t="s">
        <v>2168</v>
      </c>
      <c r="B1121" s="2">
        <v>45556</v>
      </c>
      <c r="C1121" s="1" t="s">
        <v>1341</v>
      </c>
      <c r="D1121" s="1" t="s">
        <v>30</v>
      </c>
      <c r="E1121" s="1" t="s">
        <v>129</v>
      </c>
      <c r="F1121" s="1" t="s">
        <v>19</v>
      </c>
      <c r="G1121" s="1" t="s">
        <v>20</v>
      </c>
      <c r="H1121" s="1" t="s">
        <v>27</v>
      </c>
      <c r="I1121" s="1">
        <v>9</v>
      </c>
      <c r="J1121" s="1">
        <v>164.14</v>
      </c>
      <c r="K1121" s="1">
        <v>0</v>
      </c>
      <c r="L1121" s="1">
        <v>1477.26</v>
      </c>
      <c r="M1121" s="1">
        <v>18.25</v>
      </c>
      <c r="N1121" s="1">
        <v>646.52</v>
      </c>
      <c r="O1121" s="6" t="s">
        <v>34</v>
      </c>
      <c r="P1121" s="8">
        <f>Table1[Quantity]*Table1[Unit_Price]</f>
        <v>1477.2599999999998</v>
      </c>
      <c r="Q1121" s="1">
        <f>Table1[Profit]/Table1[Total_Sales]</f>
        <v>0.43764807819882756</v>
      </c>
      <c r="R1121" s="14">
        <f>Table1[Total_Sales]+Table1[Shipping_Cost]</f>
        <v>1495.51</v>
      </c>
    </row>
    <row r="1122" spans="1:18" x14ac:dyDescent="0.35">
      <c r="A1122" s="3" t="s">
        <v>2169</v>
      </c>
      <c r="B1122" s="2">
        <v>45556</v>
      </c>
      <c r="C1122" s="1" t="s">
        <v>2170</v>
      </c>
      <c r="D1122" s="1" t="s">
        <v>17</v>
      </c>
      <c r="E1122" s="1" t="s">
        <v>59</v>
      </c>
      <c r="F1122" s="1" t="s">
        <v>60</v>
      </c>
      <c r="G1122" s="1" t="s">
        <v>42</v>
      </c>
      <c r="H1122" s="1" t="s">
        <v>255</v>
      </c>
      <c r="I1122" s="1">
        <v>3</v>
      </c>
      <c r="J1122" s="1">
        <v>49.49</v>
      </c>
      <c r="K1122" s="1">
        <v>15</v>
      </c>
      <c r="L1122" s="1">
        <v>126.2</v>
      </c>
      <c r="M1122" s="1">
        <v>16.07</v>
      </c>
      <c r="N1122" s="1">
        <v>21.05</v>
      </c>
      <c r="O1122" s="6" t="s">
        <v>34</v>
      </c>
      <c r="P1122" s="8">
        <f>Table1[Quantity]*Table1[Unit_Price]</f>
        <v>148.47</v>
      </c>
      <c r="Q1122" s="1">
        <f>Table1[Profit]/Table1[Total_Sales]</f>
        <v>0.1667987321711569</v>
      </c>
      <c r="R1122" s="14">
        <f>Table1[Total_Sales]+Table1[Shipping_Cost]</f>
        <v>142.27000000000001</v>
      </c>
    </row>
    <row r="1123" spans="1:18" x14ac:dyDescent="0.35">
      <c r="A1123" s="3" t="s">
        <v>2171</v>
      </c>
      <c r="B1123" s="2">
        <v>45557</v>
      </c>
      <c r="C1123" s="1" t="s">
        <v>233</v>
      </c>
      <c r="D1123" s="1" t="s">
        <v>17</v>
      </c>
      <c r="E1123" s="1" t="s">
        <v>67</v>
      </c>
      <c r="F1123" s="1" t="s">
        <v>68</v>
      </c>
      <c r="G1123" s="1" t="s">
        <v>32</v>
      </c>
      <c r="H1123" s="1" t="s">
        <v>50</v>
      </c>
      <c r="I1123" s="1">
        <v>2</v>
      </c>
      <c r="J1123" s="1">
        <v>18.149999999999999</v>
      </c>
      <c r="K1123" s="1">
        <v>15</v>
      </c>
      <c r="L1123" s="1">
        <v>30.85</v>
      </c>
      <c r="M1123" s="1">
        <v>14.89</v>
      </c>
      <c r="N1123" s="1">
        <v>-0.38</v>
      </c>
      <c r="O1123" s="6" t="s">
        <v>39</v>
      </c>
      <c r="P1123" s="8">
        <f>Table1[Quantity]*Table1[Unit_Price]</f>
        <v>36.299999999999997</v>
      </c>
      <c r="Q1123" s="1">
        <f>Table1[Profit]/Table1[Total_Sales]</f>
        <v>-1.2317666126418152E-2</v>
      </c>
      <c r="R1123" s="14">
        <f>Table1[Total_Sales]+Table1[Shipping_Cost]</f>
        <v>45.74</v>
      </c>
    </row>
    <row r="1124" spans="1:18" x14ac:dyDescent="0.35">
      <c r="A1124" s="3" t="s">
        <v>2172</v>
      </c>
      <c r="B1124" s="2">
        <v>45557</v>
      </c>
      <c r="C1124" s="1" t="s">
        <v>2173</v>
      </c>
      <c r="D1124" s="1" t="s">
        <v>49</v>
      </c>
      <c r="E1124" s="1" t="s">
        <v>92</v>
      </c>
      <c r="F1124" s="1" t="s">
        <v>60</v>
      </c>
      <c r="G1124" s="1" t="s">
        <v>32</v>
      </c>
      <c r="H1124" s="1" t="s">
        <v>149</v>
      </c>
      <c r="I1124" s="1">
        <v>3</v>
      </c>
      <c r="J1124" s="1">
        <v>6.42</v>
      </c>
      <c r="K1124" s="1">
        <v>15</v>
      </c>
      <c r="L1124" s="1">
        <v>16.37</v>
      </c>
      <c r="M1124" s="1">
        <v>15.39</v>
      </c>
      <c r="N1124" s="1">
        <v>-7.69</v>
      </c>
      <c r="O1124" s="6" t="s">
        <v>34</v>
      </c>
      <c r="P1124" s="8">
        <f>Table1[Quantity]*Table1[Unit_Price]</f>
        <v>19.259999999999998</v>
      </c>
      <c r="Q1124" s="1">
        <f>Table1[Profit]/Table1[Total_Sales]</f>
        <v>-0.46976175931582165</v>
      </c>
      <c r="R1124" s="14">
        <f>Table1[Total_Sales]+Table1[Shipping_Cost]</f>
        <v>31.76</v>
      </c>
    </row>
    <row r="1125" spans="1:18" x14ac:dyDescent="0.35">
      <c r="A1125" s="3" t="s">
        <v>2174</v>
      </c>
      <c r="B1125" s="2">
        <v>45558</v>
      </c>
      <c r="C1125" s="1" t="s">
        <v>2175</v>
      </c>
      <c r="D1125" s="1" t="s">
        <v>17</v>
      </c>
      <c r="E1125" s="1" t="s">
        <v>67</v>
      </c>
      <c r="F1125" s="1" t="s">
        <v>68</v>
      </c>
      <c r="G1125" s="1" t="s">
        <v>20</v>
      </c>
      <c r="H1125" s="1" t="s">
        <v>106</v>
      </c>
      <c r="I1125" s="1">
        <v>3</v>
      </c>
      <c r="J1125" s="1">
        <v>55.32</v>
      </c>
      <c r="K1125" s="1">
        <v>10</v>
      </c>
      <c r="L1125" s="1">
        <v>149.36000000000001</v>
      </c>
      <c r="M1125" s="1">
        <v>16.68</v>
      </c>
      <c r="N1125" s="1">
        <v>41.4</v>
      </c>
      <c r="O1125" s="6" t="s">
        <v>39</v>
      </c>
      <c r="P1125" s="8">
        <f>Table1[Quantity]*Table1[Unit_Price]</f>
        <v>165.96</v>
      </c>
      <c r="Q1125" s="1">
        <f>Table1[Profit]/Table1[Total_Sales]</f>
        <v>0.27718264595607922</v>
      </c>
      <c r="R1125" s="14">
        <f>Table1[Total_Sales]+Table1[Shipping_Cost]</f>
        <v>166.04000000000002</v>
      </c>
    </row>
    <row r="1126" spans="1:18" x14ac:dyDescent="0.35">
      <c r="A1126" s="3" t="s">
        <v>2176</v>
      </c>
      <c r="B1126" s="2">
        <v>45559</v>
      </c>
      <c r="C1126" s="1" t="s">
        <v>2041</v>
      </c>
      <c r="D1126" s="1" t="s">
        <v>30</v>
      </c>
      <c r="E1126" s="1" t="s">
        <v>85</v>
      </c>
      <c r="F1126" s="1" t="s">
        <v>60</v>
      </c>
      <c r="G1126" s="1" t="s">
        <v>32</v>
      </c>
      <c r="H1126" s="1" t="s">
        <v>50</v>
      </c>
      <c r="I1126" s="1">
        <v>5</v>
      </c>
      <c r="J1126" s="1">
        <v>17.850000000000001</v>
      </c>
      <c r="K1126" s="1">
        <v>0</v>
      </c>
      <c r="L1126" s="1">
        <v>89.25</v>
      </c>
      <c r="M1126" s="1">
        <v>14.45</v>
      </c>
      <c r="N1126" s="1">
        <v>34.64</v>
      </c>
      <c r="O1126" s="6" t="s">
        <v>56</v>
      </c>
      <c r="P1126" s="8">
        <f>Table1[Quantity]*Table1[Unit_Price]</f>
        <v>89.25</v>
      </c>
      <c r="Q1126" s="1">
        <f>Table1[Profit]/Table1[Total_Sales]</f>
        <v>0.38812324929971992</v>
      </c>
      <c r="R1126" s="14">
        <f>Table1[Total_Sales]+Table1[Shipping_Cost]</f>
        <v>103.7</v>
      </c>
    </row>
    <row r="1127" spans="1:18" x14ac:dyDescent="0.35">
      <c r="A1127" s="3" t="s">
        <v>2177</v>
      </c>
      <c r="B1127" s="2">
        <v>45559</v>
      </c>
      <c r="C1127" s="1" t="s">
        <v>1738</v>
      </c>
      <c r="D1127" s="1" t="s">
        <v>17</v>
      </c>
      <c r="E1127" s="1" t="s">
        <v>67</v>
      </c>
      <c r="F1127" s="1" t="s">
        <v>68</v>
      </c>
      <c r="G1127" s="1" t="s">
        <v>20</v>
      </c>
      <c r="H1127" s="1" t="s">
        <v>175</v>
      </c>
      <c r="I1127" s="1">
        <v>5</v>
      </c>
      <c r="J1127" s="1">
        <v>18.670000000000002</v>
      </c>
      <c r="K1127" s="1">
        <v>5</v>
      </c>
      <c r="L1127" s="1">
        <v>88.68</v>
      </c>
      <c r="M1127" s="1">
        <v>14.38</v>
      </c>
      <c r="N1127" s="1">
        <v>22.96</v>
      </c>
      <c r="O1127" s="6" t="s">
        <v>22</v>
      </c>
      <c r="P1127" s="8">
        <f>Table1[Quantity]*Table1[Unit_Price]</f>
        <v>93.350000000000009</v>
      </c>
      <c r="Q1127" s="1">
        <f>Table1[Profit]/Table1[Total_Sales]</f>
        <v>0.25890843482183129</v>
      </c>
      <c r="R1127" s="14">
        <f>Table1[Total_Sales]+Table1[Shipping_Cost]</f>
        <v>103.06</v>
      </c>
    </row>
    <row r="1128" spans="1:18" x14ac:dyDescent="0.35">
      <c r="A1128" s="3" t="s">
        <v>2178</v>
      </c>
      <c r="B1128" s="2">
        <v>45559</v>
      </c>
      <c r="C1128" s="1" t="s">
        <v>2179</v>
      </c>
      <c r="D1128" s="1" t="s">
        <v>30</v>
      </c>
      <c r="E1128" s="1" t="s">
        <v>25</v>
      </c>
      <c r="F1128" s="1" t="s">
        <v>26</v>
      </c>
      <c r="G1128" s="1" t="s">
        <v>20</v>
      </c>
      <c r="H1128" s="1" t="s">
        <v>21</v>
      </c>
      <c r="I1128" s="1">
        <v>2</v>
      </c>
      <c r="J1128" s="1">
        <v>83.77</v>
      </c>
      <c r="K1128" s="1">
        <v>15</v>
      </c>
      <c r="L1128" s="1">
        <v>142.41</v>
      </c>
      <c r="M1128" s="1">
        <v>8.0500000000000007</v>
      </c>
      <c r="N1128" s="1">
        <v>42.21</v>
      </c>
      <c r="O1128" s="6" t="s">
        <v>34</v>
      </c>
      <c r="P1128" s="8">
        <f>Table1[Quantity]*Table1[Unit_Price]</f>
        <v>167.54</v>
      </c>
      <c r="Q1128" s="1">
        <f>Table1[Profit]/Table1[Total_Sales]</f>
        <v>0.29639772487887089</v>
      </c>
      <c r="R1128" s="14">
        <f>Table1[Total_Sales]+Table1[Shipping_Cost]</f>
        <v>150.46</v>
      </c>
    </row>
    <row r="1129" spans="1:18" x14ac:dyDescent="0.35">
      <c r="A1129" s="3" t="s">
        <v>2180</v>
      </c>
      <c r="B1129" s="2">
        <v>45560</v>
      </c>
      <c r="C1129" s="1" t="s">
        <v>2181</v>
      </c>
      <c r="D1129" s="1" t="s">
        <v>17</v>
      </c>
      <c r="E1129" s="1" t="s">
        <v>25</v>
      </c>
      <c r="F1129" s="1" t="s">
        <v>26</v>
      </c>
      <c r="G1129" s="1" t="s">
        <v>20</v>
      </c>
      <c r="H1129" s="1" t="s">
        <v>264</v>
      </c>
      <c r="I1129" s="1">
        <v>4</v>
      </c>
      <c r="J1129" s="1">
        <v>48.97</v>
      </c>
      <c r="K1129" s="1">
        <v>20</v>
      </c>
      <c r="L1129" s="1">
        <v>156.69999999999999</v>
      </c>
      <c r="M1129" s="1">
        <v>10.82</v>
      </c>
      <c r="N1129" s="1">
        <v>38.15</v>
      </c>
      <c r="O1129" s="6" t="s">
        <v>34</v>
      </c>
      <c r="P1129" s="8">
        <f>Table1[Quantity]*Table1[Unit_Price]</f>
        <v>195.88</v>
      </c>
      <c r="Q1129" s="1">
        <f>Table1[Profit]/Table1[Total_Sales]</f>
        <v>0.24345883854499042</v>
      </c>
      <c r="R1129" s="14">
        <f>Table1[Total_Sales]+Table1[Shipping_Cost]</f>
        <v>167.51999999999998</v>
      </c>
    </row>
    <row r="1130" spans="1:18" x14ac:dyDescent="0.35">
      <c r="A1130" s="3" t="s">
        <v>2182</v>
      </c>
      <c r="B1130" s="2">
        <v>45561</v>
      </c>
      <c r="C1130" s="1" t="s">
        <v>2183</v>
      </c>
      <c r="D1130" s="1" t="s">
        <v>17</v>
      </c>
      <c r="E1130" s="1" t="s">
        <v>76</v>
      </c>
      <c r="F1130" s="1" t="s">
        <v>26</v>
      </c>
      <c r="G1130" s="1" t="s">
        <v>69</v>
      </c>
      <c r="H1130" s="1" t="s">
        <v>196</v>
      </c>
      <c r="I1130" s="1">
        <v>1</v>
      </c>
      <c r="J1130" s="1">
        <v>29.28</v>
      </c>
      <c r="K1130" s="1">
        <v>15</v>
      </c>
      <c r="L1130" s="1">
        <v>24.89</v>
      </c>
      <c r="M1130" s="1">
        <v>9.4</v>
      </c>
      <c r="N1130" s="1">
        <v>0.85</v>
      </c>
      <c r="O1130" s="6" t="s">
        <v>34</v>
      </c>
      <c r="P1130" s="8">
        <f>Table1[Quantity]*Table1[Unit_Price]</f>
        <v>29.28</v>
      </c>
      <c r="Q1130" s="1">
        <f>Table1[Profit]/Table1[Total_Sales]</f>
        <v>3.4150261149055845E-2</v>
      </c>
      <c r="R1130" s="14">
        <f>Table1[Total_Sales]+Table1[Shipping_Cost]</f>
        <v>34.29</v>
      </c>
    </row>
    <row r="1131" spans="1:18" x14ac:dyDescent="0.35">
      <c r="A1131" s="3" t="s">
        <v>2184</v>
      </c>
      <c r="B1131" s="2">
        <v>45562</v>
      </c>
      <c r="C1131" s="1" t="s">
        <v>2185</v>
      </c>
      <c r="D1131" s="1" t="s">
        <v>30</v>
      </c>
      <c r="E1131" s="1" t="s">
        <v>166</v>
      </c>
      <c r="F1131" s="1" t="s">
        <v>60</v>
      </c>
      <c r="G1131" s="1" t="s">
        <v>69</v>
      </c>
      <c r="H1131" s="1" t="s">
        <v>305</v>
      </c>
      <c r="I1131" s="1">
        <v>4</v>
      </c>
      <c r="J1131" s="1">
        <v>26</v>
      </c>
      <c r="K1131" s="1">
        <v>0</v>
      </c>
      <c r="L1131" s="1">
        <v>104</v>
      </c>
      <c r="M1131" s="1">
        <v>15.47</v>
      </c>
      <c r="N1131" s="1">
        <v>36.53</v>
      </c>
      <c r="O1131" s="6" t="s">
        <v>39</v>
      </c>
      <c r="P1131" s="8">
        <f>Table1[Quantity]*Table1[Unit_Price]</f>
        <v>104</v>
      </c>
      <c r="Q1131" s="1">
        <f>Table1[Profit]/Table1[Total_Sales]</f>
        <v>0.35125000000000001</v>
      </c>
      <c r="R1131" s="14">
        <f>Table1[Total_Sales]+Table1[Shipping_Cost]</f>
        <v>119.47</v>
      </c>
    </row>
    <row r="1132" spans="1:18" x14ac:dyDescent="0.35">
      <c r="A1132" s="3" t="s">
        <v>2186</v>
      </c>
      <c r="B1132" s="2">
        <v>45562</v>
      </c>
      <c r="C1132" s="1" t="s">
        <v>2187</v>
      </c>
      <c r="D1132" s="1" t="s">
        <v>17</v>
      </c>
      <c r="E1132" s="1" t="s">
        <v>76</v>
      </c>
      <c r="F1132" s="1" t="s">
        <v>26</v>
      </c>
      <c r="G1132" s="1" t="s">
        <v>20</v>
      </c>
      <c r="H1132" s="1" t="s">
        <v>106</v>
      </c>
      <c r="I1132" s="1">
        <v>4</v>
      </c>
      <c r="J1132" s="1">
        <v>31.83</v>
      </c>
      <c r="K1132" s="1">
        <v>5</v>
      </c>
      <c r="L1132" s="1">
        <v>120.95</v>
      </c>
      <c r="M1132" s="1">
        <v>12.01</v>
      </c>
      <c r="N1132" s="1">
        <v>38.909999999999997</v>
      </c>
      <c r="O1132" s="6" t="s">
        <v>56</v>
      </c>
      <c r="P1132" s="8">
        <f>Table1[Quantity]*Table1[Unit_Price]</f>
        <v>127.32</v>
      </c>
      <c r="Q1132" s="1">
        <f>Table1[Profit]/Table1[Total_Sales]</f>
        <v>0.32170318313352619</v>
      </c>
      <c r="R1132" s="14">
        <f>Table1[Total_Sales]+Table1[Shipping_Cost]</f>
        <v>132.96</v>
      </c>
    </row>
    <row r="1133" spans="1:18" x14ac:dyDescent="0.35">
      <c r="A1133" s="3" t="s">
        <v>2188</v>
      </c>
      <c r="B1133" s="2">
        <v>45563</v>
      </c>
      <c r="C1133" s="1" t="s">
        <v>2189</v>
      </c>
      <c r="D1133" s="1" t="s">
        <v>30</v>
      </c>
      <c r="E1133" s="1" t="s">
        <v>248</v>
      </c>
      <c r="F1133" s="1" t="s">
        <v>26</v>
      </c>
      <c r="G1133" s="1" t="s">
        <v>42</v>
      </c>
      <c r="H1133" s="1" t="s">
        <v>118</v>
      </c>
      <c r="I1133" s="1">
        <v>2</v>
      </c>
      <c r="J1133" s="1">
        <v>61.97</v>
      </c>
      <c r="K1133" s="1">
        <v>0</v>
      </c>
      <c r="L1133" s="1">
        <v>123.94</v>
      </c>
      <c r="M1133" s="1">
        <v>11.14</v>
      </c>
      <c r="N1133" s="1">
        <v>38.44</v>
      </c>
      <c r="O1133" s="6" t="s">
        <v>56</v>
      </c>
      <c r="P1133" s="8">
        <f>Table1[Quantity]*Table1[Unit_Price]</f>
        <v>123.94</v>
      </c>
      <c r="Q1133" s="1">
        <f>Table1[Profit]/Table1[Total_Sales]</f>
        <v>0.31015007261578181</v>
      </c>
      <c r="R1133" s="14">
        <f>Table1[Total_Sales]+Table1[Shipping_Cost]</f>
        <v>135.07999999999998</v>
      </c>
    </row>
    <row r="1134" spans="1:18" x14ac:dyDescent="0.35">
      <c r="A1134" s="3" t="s">
        <v>2190</v>
      </c>
      <c r="B1134" s="2">
        <v>45563</v>
      </c>
      <c r="C1134" s="1" t="s">
        <v>2191</v>
      </c>
      <c r="D1134" s="1" t="s">
        <v>30</v>
      </c>
      <c r="E1134" s="1" t="s">
        <v>76</v>
      </c>
      <c r="F1134" s="1" t="s">
        <v>26</v>
      </c>
      <c r="G1134" s="1" t="s">
        <v>42</v>
      </c>
      <c r="H1134" s="1" t="s">
        <v>255</v>
      </c>
      <c r="I1134" s="1">
        <v>6</v>
      </c>
      <c r="J1134" s="1">
        <v>47.45</v>
      </c>
      <c r="K1134" s="1">
        <v>5</v>
      </c>
      <c r="L1134" s="1">
        <v>270.47000000000003</v>
      </c>
      <c r="M1134" s="1">
        <v>21.01</v>
      </c>
      <c r="N1134" s="1">
        <v>78.64</v>
      </c>
      <c r="O1134" s="6" t="s">
        <v>34</v>
      </c>
      <c r="P1134" s="8">
        <f>Table1[Quantity]*Table1[Unit_Price]</f>
        <v>284.70000000000005</v>
      </c>
      <c r="Q1134" s="1">
        <f>Table1[Profit]/Table1[Total_Sales]</f>
        <v>0.29075313343439196</v>
      </c>
      <c r="R1134" s="14">
        <f>Table1[Total_Sales]+Table1[Shipping_Cost]</f>
        <v>291.48</v>
      </c>
    </row>
    <row r="1135" spans="1:18" x14ac:dyDescent="0.35">
      <c r="A1135" s="3" t="s">
        <v>2192</v>
      </c>
      <c r="B1135" s="2">
        <v>45564</v>
      </c>
      <c r="C1135" s="1" t="s">
        <v>329</v>
      </c>
      <c r="D1135" s="1" t="s">
        <v>30</v>
      </c>
      <c r="E1135" s="1" t="s">
        <v>85</v>
      </c>
      <c r="F1135" s="1" t="s">
        <v>60</v>
      </c>
      <c r="G1135" s="1" t="s">
        <v>32</v>
      </c>
      <c r="H1135" s="1" t="s">
        <v>33</v>
      </c>
      <c r="I1135" s="1">
        <v>6</v>
      </c>
      <c r="J1135" s="1">
        <v>6.49</v>
      </c>
      <c r="K1135" s="1">
        <v>15</v>
      </c>
      <c r="L1135" s="1">
        <v>33.1</v>
      </c>
      <c r="M1135" s="1">
        <v>12.35</v>
      </c>
      <c r="N1135" s="1">
        <v>3.23</v>
      </c>
      <c r="O1135" s="6" t="s">
        <v>34</v>
      </c>
      <c r="P1135" s="8">
        <f>Table1[Quantity]*Table1[Unit_Price]</f>
        <v>38.94</v>
      </c>
      <c r="Q1135" s="1">
        <f>Table1[Profit]/Table1[Total_Sales]</f>
        <v>9.7583081570996974E-2</v>
      </c>
      <c r="R1135" s="14">
        <f>Table1[Total_Sales]+Table1[Shipping_Cost]</f>
        <v>45.45</v>
      </c>
    </row>
    <row r="1136" spans="1:18" x14ac:dyDescent="0.35">
      <c r="A1136" s="3" t="s">
        <v>2193</v>
      </c>
      <c r="B1136" s="2">
        <v>45564</v>
      </c>
      <c r="C1136" s="1" t="s">
        <v>2194</v>
      </c>
      <c r="D1136" s="1" t="s">
        <v>17</v>
      </c>
      <c r="E1136" s="1" t="s">
        <v>109</v>
      </c>
      <c r="F1136" s="1" t="s">
        <v>54</v>
      </c>
      <c r="G1136" s="1" t="s">
        <v>20</v>
      </c>
      <c r="H1136" s="1" t="s">
        <v>38</v>
      </c>
      <c r="I1136" s="1">
        <v>3</v>
      </c>
      <c r="J1136" s="1">
        <v>37.06</v>
      </c>
      <c r="K1136" s="1">
        <v>20</v>
      </c>
      <c r="L1136" s="1">
        <v>88.94</v>
      </c>
      <c r="M1136" s="1">
        <v>13.02</v>
      </c>
      <c r="N1136" s="1">
        <v>14.77</v>
      </c>
      <c r="O1136" s="6" t="s">
        <v>22</v>
      </c>
      <c r="P1136" s="8">
        <f>Table1[Quantity]*Table1[Unit_Price]</f>
        <v>111.18</v>
      </c>
      <c r="Q1136" s="1">
        <f>Table1[Profit]/Table1[Total_Sales]</f>
        <v>0.16606701146840566</v>
      </c>
      <c r="R1136" s="14">
        <f>Table1[Total_Sales]+Table1[Shipping_Cost]</f>
        <v>101.96</v>
      </c>
    </row>
    <row r="1137" spans="1:18" x14ac:dyDescent="0.35">
      <c r="A1137" s="3" t="s">
        <v>2195</v>
      </c>
      <c r="B1137" s="2">
        <v>45565</v>
      </c>
      <c r="C1137" s="1" t="s">
        <v>2196</v>
      </c>
      <c r="D1137" s="1" t="s">
        <v>17</v>
      </c>
      <c r="E1137" s="1" t="s">
        <v>169</v>
      </c>
      <c r="F1137" s="1" t="s">
        <v>68</v>
      </c>
      <c r="G1137" s="1" t="s">
        <v>20</v>
      </c>
      <c r="H1137" s="1" t="s">
        <v>27</v>
      </c>
      <c r="I1137" s="1">
        <v>1</v>
      </c>
      <c r="J1137" s="1">
        <v>165.01</v>
      </c>
      <c r="K1137" s="1">
        <v>10</v>
      </c>
      <c r="L1137" s="1">
        <v>148.51</v>
      </c>
      <c r="M1137" s="1">
        <v>11.03</v>
      </c>
      <c r="N1137" s="1">
        <v>46.72</v>
      </c>
      <c r="O1137" s="6" t="s">
        <v>39</v>
      </c>
      <c r="P1137" s="8">
        <f>Table1[Quantity]*Table1[Unit_Price]</f>
        <v>165.01</v>
      </c>
      <c r="Q1137" s="1">
        <f>Table1[Profit]/Table1[Total_Sales]</f>
        <v>0.31459160999259311</v>
      </c>
      <c r="R1137" s="14">
        <f>Table1[Total_Sales]+Table1[Shipping_Cost]</f>
        <v>159.54</v>
      </c>
    </row>
    <row r="1138" spans="1:18" x14ac:dyDescent="0.35">
      <c r="A1138" s="3" t="s">
        <v>2197</v>
      </c>
      <c r="B1138" s="2">
        <v>45566</v>
      </c>
      <c r="C1138" s="1" t="s">
        <v>2198</v>
      </c>
      <c r="D1138" s="1" t="s">
        <v>49</v>
      </c>
      <c r="E1138" s="1" t="s">
        <v>248</v>
      </c>
      <c r="F1138" s="1" t="s">
        <v>26</v>
      </c>
      <c r="G1138" s="1" t="s">
        <v>69</v>
      </c>
      <c r="H1138" s="1" t="s">
        <v>305</v>
      </c>
      <c r="I1138" s="1">
        <v>3</v>
      </c>
      <c r="J1138" s="1">
        <v>66.59</v>
      </c>
      <c r="K1138" s="1">
        <v>5</v>
      </c>
      <c r="L1138" s="1">
        <v>189.78</v>
      </c>
      <c r="M1138" s="1">
        <v>13.14</v>
      </c>
      <c r="N1138" s="1">
        <v>76.75</v>
      </c>
      <c r="O1138" s="6" t="s">
        <v>34</v>
      </c>
      <c r="P1138" s="8">
        <f>Table1[Quantity]*Table1[Unit_Price]</f>
        <v>199.77</v>
      </c>
      <c r="Q1138" s="1">
        <f>Table1[Profit]/Table1[Total_Sales]</f>
        <v>0.40441563916113393</v>
      </c>
      <c r="R1138" s="14">
        <f>Table1[Total_Sales]+Table1[Shipping_Cost]</f>
        <v>202.92000000000002</v>
      </c>
    </row>
    <row r="1139" spans="1:18" x14ac:dyDescent="0.35">
      <c r="A1139" s="3" t="s">
        <v>2199</v>
      </c>
      <c r="B1139" s="2">
        <v>45567</v>
      </c>
      <c r="C1139" s="1" t="s">
        <v>2200</v>
      </c>
      <c r="D1139" s="1" t="s">
        <v>30</v>
      </c>
      <c r="E1139" s="1" t="s">
        <v>67</v>
      </c>
      <c r="F1139" s="1" t="s">
        <v>68</v>
      </c>
      <c r="G1139" s="1" t="s">
        <v>69</v>
      </c>
      <c r="H1139" s="1" t="s">
        <v>86</v>
      </c>
      <c r="I1139" s="1">
        <v>1</v>
      </c>
      <c r="J1139" s="1">
        <v>41.43</v>
      </c>
      <c r="K1139" s="1">
        <v>10</v>
      </c>
      <c r="L1139" s="1">
        <v>37.29</v>
      </c>
      <c r="M1139" s="1">
        <v>12.06</v>
      </c>
      <c r="N1139" s="1">
        <v>4.51</v>
      </c>
      <c r="O1139" s="6" t="s">
        <v>22</v>
      </c>
      <c r="P1139" s="8">
        <f>Table1[Quantity]*Table1[Unit_Price]</f>
        <v>41.43</v>
      </c>
      <c r="Q1139" s="1">
        <f>Table1[Profit]/Table1[Total_Sales]</f>
        <v>0.12094395280235988</v>
      </c>
      <c r="R1139" s="14">
        <f>Table1[Total_Sales]+Table1[Shipping_Cost]</f>
        <v>49.35</v>
      </c>
    </row>
    <row r="1140" spans="1:18" x14ac:dyDescent="0.35">
      <c r="A1140" s="3" t="s">
        <v>2201</v>
      </c>
      <c r="B1140" s="2">
        <v>45567</v>
      </c>
      <c r="C1140" s="1" t="s">
        <v>375</v>
      </c>
      <c r="D1140" s="1" t="s">
        <v>49</v>
      </c>
      <c r="E1140" s="1" t="s">
        <v>31</v>
      </c>
      <c r="F1140" s="1" t="s">
        <v>19</v>
      </c>
      <c r="G1140" s="1" t="s">
        <v>42</v>
      </c>
      <c r="H1140" s="1" t="s">
        <v>294</v>
      </c>
      <c r="I1140" s="1">
        <v>1</v>
      </c>
      <c r="J1140" s="1">
        <v>160.44999999999999</v>
      </c>
      <c r="K1140" s="1">
        <v>5</v>
      </c>
      <c r="L1140" s="1">
        <v>152.43</v>
      </c>
      <c r="M1140" s="1">
        <v>5.89</v>
      </c>
      <c r="N1140" s="1">
        <v>50.27</v>
      </c>
      <c r="O1140" s="6" t="s">
        <v>39</v>
      </c>
      <c r="P1140" s="8">
        <f>Table1[Quantity]*Table1[Unit_Price]</f>
        <v>160.44999999999999</v>
      </c>
      <c r="Q1140" s="1">
        <f>Table1[Profit]/Table1[Total_Sales]</f>
        <v>0.32979072361083778</v>
      </c>
      <c r="R1140" s="14">
        <f>Table1[Total_Sales]+Table1[Shipping_Cost]</f>
        <v>158.32</v>
      </c>
    </row>
    <row r="1141" spans="1:18" x14ac:dyDescent="0.35">
      <c r="A1141" s="3" t="s">
        <v>2202</v>
      </c>
      <c r="B1141" s="2">
        <v>45568</v>
      </c>
      <c r="C1141" s="1" t="s">
        <v>2203</v>
      </c>
      <c r="D1141" s="1" t="s">
        <v>30</v>
      </c>
      <c r="E1141" s="1" t="s">
        <v>76</v>
      </c>
      <c r="F1141" s="1" t="s">
        <v>26</v>
      </c>
      <c r="G1141" s="1" t="s">
        <v>20</v>
      </c>
      <c r="H1141" s="1" t="s">
        <v>27</v>
      </c>
      <c r="I1141" s="1">
        <v>4</v>
      </c>
      <c r="J1141" s="1">
        <v>142.59</v>
      </c>
      <c r="K1141" s="1">
        <v>0</v>
      </c>
      <c r="L1141" s="1">
        <v>570.36</v>
      </c>
      <c r="M1141" s="1">
        <v>11.88</v>
      </c>
      <c r="N1141" s="1">
        <v>244.78</v>
      </c>
      <c r="O1141" s="6" t="s">
        <v>39</v>
      </c>
      <c r="P1141" s="8">
        <f>Table1[Quantity]*Table1[Unit_Price]</f>
        <v>570.36</v>
      </c>
      <c r="Q1141" s="1">
        <f>Table1[Profit]/Table1[Total_Sales]</f>
        <v>0.42916754330598217</v>
      </c>
      <c r="R1141" s="14">
        <f>Table1[Total_Sales]+Table1[Shipping_Cost]</f>
        <v>582.24</v>
      </c>
    </row>
    <row r="1142" spans="1:18" x14ac:dyDescent="0.35">
      <c r="A1142" s="3" t="s">
        <v>2204</v>
      </c>
      <c r="B1142" s="2">
        <v>45568</v>
      </c>
      <c r="C1142" s="1" t="s">
        <v>2173</v>
      </c>
      <c r="D1142" s="1" t="s">
        <v>49</v>
      </c>
      <c r="E1142" s="1" t="s">
        <v>25</v>
      </c>
      <c r="F1142" s="1" t="s">
        <v>26</v>
      </c>
      <c r="G1142" s="1" t="s">
        <v>20</v>
      </c>
      <c r="H1142" s="1" t="s">
        <v>106</v>
      </c>
      <c r="I1142" s="1">
        <v>3</v>
      </c>
      <c r="J1142" s="1">
        <v>37.56</v>
      </c>
      <c r="K1142" s="1">
        <v>10</v>
      </c>
      <c r="L1142" s="1">
        <v>101.41</v>
      </c>
      <c r="M1142" s="1">
        <v>11.79</v>
      </c>
      <c r="N1142" s="1">
        <v>27.65</v>
      </c>
      <c r="O1142" s="6" t="s">
        <v>22</v>
      </c>
      <c r="P1142" s="8">
        <f>Table1[Quantity]*Table1[Unit_Price]</f>
        <v>112.68</v>
      </c>
      <c r="Q1142" s="1">
        <f>Table1[Profit]/Table1[Total_Sales]</f>
        <v>0.27265555665121782</v>
      </c>
      <c r="R1142" s="14">
        <f>Table1[Total_Sales]+Table1[Shipping_Cost]</f>
        <v>113.19999999999999</v>
      </c>
    </row>
    <row r="1143" spans="1:18" x14ac:dyDescent="0.35">
      <c r="A1143" s="3" t="s">
        <v>2205</v>
      </c>
      <c r="B1143" s="2">
        <v>45568</v>
      </c>
      <c r="C1143" s="1" t="s">
        <v>2206</v>
      </c>
      <c r="D1143" s="1" t="s">
        <v>30</v>
      </c>
      <c r="E1143" s="1" t="s">
        <v>76</v>
      </c>
      <c r="F1143" s="1" t="s">
        <v>26</v>
      </c>
      <c r="G1143" s="1" t="s">
        <v>42</v>
      </c>
      <c r="H1143" s="1" t="s">
        <v>93</v>
      </c>
      <c r="I1143" s="1">
        <v>4</v>
      </c>
      <c r="J1143" s="1">
        <v>287.66000000000003</v>
      </c>
      <c r="K1143" s="1">
        <v>5</v>
      </c>
      <c r="L1143" s="1">
        <v>1093.1099999999999</v>
      </c>
      <c r="M1143" s="1">
        <v>15.79</v>
      </c>
      <c r="N1143" s="1">
        <v>386.94</v>
      </c>
      <c r="O1143" s="6" t="s">
        <v>22</v>
      </c>
      <c r="P1143" s="8">
        <f>Table1[Quantity]*Table1[Unit_Price]</f>
        <v>1150.6400000000001</v>
      </c>
      <c r="Q1143" s="1">
        <f>Table1[Profit]/Table1[Total_Sales]</f>
        <v>0.3539808436479403</v>
      </c>
      <c r="R1143" s="14">
        <f>Table1[Total_Sales]+Table1[Shipping_Cost]</f>
        <v>1108.8999999999999</v>
      </c>
    </row>
    <row r="1144" spans="1:18" x14ac:dyDescent="0.35">
      <c r="A1144" s="3" t="s">
        <v>2207</v>
      </c>
      <c r="B1144" s="2">
        <v>45568</v>
      </c>
      <c r="C1144" s="1" t="s">
        <v>2208</v>
      </c>
      <c r="D1144" s="1" t="s">
        <v>49</v>
      </c>
      <c r="E1144" s="1" t="s">
        <v>59</v>
      </c>
      <c r="F1144" s="1" t="s">
        <v>60</v>
      </c>
      <c r="G1144" s="1" t="s">
        <v>69</v>
      </c>
      <c r="H1144" s="1" t="s">
        <v>98</v>
      </c>
      <c r="I1144" s="1">
        <v>3</v>
      </c>
      <c r="J1144" s="1">
        <v>55.82</v>
      </c>
      <c r="K1144" s="1">
        <v>5</v>
      </c>
      <c r="L1144" s="1">
        <v>159.09</v>
      </c>
      <c r="M1144" s="1">
        <v>12.34</v>
      </c>
      <c r="N1144" s="1">
        <v>63.02</v>
      </c>
      <c r="O1144" s="6" t="s">
        <v>56</v>
      </c>
      <c r="P1144" s="8">
        <f>Table1[Quantity]*Table1[Unit_Price]</f>
        <v>167.46</v>
      </c>
      <c r="Q1144" s="1">
        <f>Table1[Profit]/Table1[Total_Sales]</f>
        <v>0.39612797787415926</v>
      </c>
      <c r="R1144" s="14">
        <f>Table1[Total_Sales]+Table1[Shipping_Cost]</f>
        <v>171.43</v>
      </c>
    </row>
    <row r="1145" spans="1:18" x14ac:dyDescent="0.35">
      <c r="A1145" s="3" t="s">
        <v>2209</v>
      </c>
      <c r="B1145" s="2">
        <v>45568</v>
      </c>
      <c r="C1145" s="1" t="s">
        <v>134</v>
      </c>
      <c r="D1145" s="1" t="s">
        <v>30</v>
      </c>
      <c r="E1145" s="1" t="s">
        <v>18</v>
      </c>
      <c r="F1145" s="1" t="s">
        <v>19</v>
      </c>
      <c r="G1145" s="1" t="s">
        <v>32</v>
      </c>
      <c r="H1145" s="1" t="s">
        <v>110</v>
      </c>
      <c r="I1145" s="1">
        <v>6</v>
      </c>
      <c r="J1145" s="1">
        <v>7.06</v>
      </c>
      <c r="K1145" s="1">
        <v>20</v>
      </c>
      <c r="L1145" s="1">
        <v>33.89</v>
      </c>
      <c r="M1145" s="1">
        <v>9.61</v>
      </c>
      <c r="N1145" s="1">
        <v>5.22</v>
      </c>
      <c r="O1145" s="6" t="s">
        <v>56</v>
      </c>
      <c r="P1145" s="8">
        <f>Table1[Quantity]*Table1[Unit_Price]</f>
        <v>42.36</v>
      </c>
      <c r="Q1145" s="1">
        <f>Table1[Profit]/Table1[Total_Sales]</f>
        <v>0.1540277367955149</v>
      </c>
      <c r="R1145" s="14">
        <f>Table1[Total_Sales]+Table1[Shipping_Cost]</f>
        <v>43.5</v>
      </c>
    </row>
    <row r="1146" spans="1:18" x14ac:dyDescent="0.35">
      <c r="A1146" s="3" t="s">
        <v>2210</v>
      </c>
      <c r="B1146" s="2">
        <v>45569</v>
      </c>
      <c r="C1146" s="1" t="s">
        <v>417</v>
      </c>
      <c r="D1146" s="1" t="s">
        <v>30</v>
      </c>
      <c r="E1146" s="1" t="s">
        <v>109</v>
      </c>
      <c r="F1146" s="1" t="s">
        <v>54</v>
      </c>
      <c r="G1146" s="1" t="s">
        <v>32</v>
      </c>
      <c r="H1146" s="1" t="s">
        <v>149</v>
      </c>
      <c r="I1146" s="1">
        <v>2</v>
      </c>
      <c r="J1146" s="1">
        <v>16.71</v>
      </c>
      <c r="K1146" s="1">
        <v>5</v>
      </c>
      <c r="L1146" s="1">
        <v>31.75</v>
      </c>
      <c r="M1146" s="1">
        <v>14.63</v>
      </c>
      <c r="N1146" s="1">
        <v>2.08</v>
      </c>
      <c r="O1146" s="6" t="s">
        <v>34</v>
      </c>
      <c r="P1146" s="8">
        <f>Table1[Quantity]*Table1[Unit_Price]</f>
        <v>33.42</v>
      </c>
      <c r="Q1146" s="1">
        <f>Table1[Profit]/Table1[Total_Sales]</f>
        <v>6.5511811023622052E-2</v>
      </c>
      <c r="R1146" s="14">
        <f>Table1[Total_Sales]+Table1[Shipping_Cost]</f>
        <v>46.38</v>
      </c>
    </row>
    <row r="1147" spans="1:18" x14ac:dyDescent="0.35">
      <c r="A1147" s="3" t="s">
        <v>2211</v>
      </c>
      <c r="B1147" s="2">
        <v>45569</v>
      </c>
      <c r="C1147" s="1" t="s">
        <v>2212</v>
      </c>
      <c r="D1147" s="1" t="s">
        <v>17</v>
      </c>
      <c r="E1147" s="1" t="s">
        <v>59</v>
      </c>
      <c r="F1147" s="1" t="s">
        <v>60</v>
      </c>
      <c r="G1147" s="1" t="s">
        <v>32</v>
      </c>
      <c r="H1147" s="1" t="s">
        <v>82</v>
      </c>
      <c r="I1147" s="1">
        <v>10</v>
      </c>
      <c r="J1147" s="1">
        <v>8.48</v>
      </c>
      <c r="K1147" s="1">
        <v>10</v>
      </c>
      <c r="L1147" s="1">
        <v>76.319999999999993</v>
      </c>
      <c r="M1147" s="1">
        <v>21.04</v>
      </c>
      <c r="N1147" s="1">
        <v>17.12</v>
      </c>
      <c r="O1147" s="6" t="s">
        <v>39</v>
      </c>
      <c r="P1147" s="8">
        <f>Table1[Quantity]*Table1[Unit_Price]</f>
        <v>84.800000000000011</v>
      </c>
      <c r="Q1147" s="1">
        <f>Table1[Profit]/Table1[Total_Sales]</f>
        <v>0.22431865828092246</v>
      </c>
      <c r="R1147" s="14">
        <f>Table1[Total_Sales]+Table1[Shipping_Cost]</f>
        <v>97.359999999999985</v>
      </c>
    </row>
    <row r="1148" spans="1:18" x14ac:dyDescent="0.35">
      <c r="A1148" s="3" t="s">
        <v>2213</v>
      </c>
      <c r="B1148" s="2">
        <v>45569</v>
      </c>
      <c r="C1148" s="1" t="s">
        <v>2214</v>
      </c>
      <c r="D1148" s="1" t="s">
        <v>17</v>
      </c>
      <c r="E1148" s="1" t="s">
        <v>166</v>
      </c>
      <c r="F1148" s="1" t="s">
        <v>60</v>
      </c>
      <c r="G1148" s="1" t="s">
        <v>20</v>
      </c>
      <c r="H1148" s="1" t="s">
        <v>122</v>
      </c>
      <c r="I1148" s="1">
        <v>5</v>
      </c>
      <c r="J1148" s="1">
        <v>113.75</v>
      </c>
      <c r="K1148" s="1">
        <v>5</v>
      </c>
      <c r="L1148" s="1">
        <v>540.30999999999995</v>
      </c>
      <c r="M1148" s="1">
        <v>19.739999999999998</v>
      </c>
      <c r="N1148" s="1">
        <v>207.76</v>
      </c>
      <c r="O1148" s="6" t="s">
        <v>56</v>
      </c>
      <c r="P1148" s="8">
        <f>Table1[Quantity]*Table1[Unit_Price]</f>
        <v>568.75</v>
      </c>
      <c r="Q1148" s="1">
        <f>Table1[Profit]/Table1[Total_Sales]</f>
        <v>0.38451999777905277</v>
      </c>
      <c r="R1148" s="14">
        <f>Table1[Total_Sales]+Table1[Shipping_Cost]</f>
        <v>560.04999999999995</v>
      </c>
    </row>
    <row r="1149" spans="1:18" x14ac:dyDescent="0.35">
      <c r="A1149" s="3" t="s">
        <v>2215</v>
      </c>
      <c r="B1149" s="2">
        <v>45570</v>
      </c>
      <c r="C1149" s="1" t="s">
        <v>189</v>
      </c>
      <c r="D1149" s="1" t="s">
        <v>30</v>
      </c>
      <c r="E1149" s="1" t="s">
        <v>18</v>
      </c>
      <c r="F1149" s="1" t="s">
        <v>19</v>
      </c>
      <c r="G1149" s="1" t="s">
        <v>42</v>
      </c>
      <c r="H1149" s="1" t="s">
        <v>46</v>
      </c>
      <c r="I1149" s="1">
        <v>8</v>
      </c>
      <c r="J1149" s="1">
        <v>88.37</v>
      </c>
      <c r="K1149" s="1">
        <v>5</v>
      </c>
      <c r="L1149" s="1">
        <v>671.61</v>
      </c>
      <c r="M1149" s="1">
        <v>16.48</v>
      </c>
      <c r="N1149" s="1">
        <v>230.95</v>
      </c>
      <c r="O1149" s="6" t="s">
        <v>22</v>
      </c>
      <c r="P1149" s="8">
        <f>Table1[Quantity]*Table1[Unit_Price]</f>
        <v>706.96</v>
      </c>
      <c r="Q1149" s="1">
        <f>Table1[Profit]/Table1[Total_Sales]</f>
        <v>0.34387516564672949</v>
      </c>
      <c r="R1149" s="14">
        <f>Table1[Total_Sales]+Table1[Shipping_Cost]</f>
        <v>688.09</v>
      </c>
    </row>
    <row r="1150" spans="1:18" x14ac:dyDescent="0.35">
      <c r="A1150" s="3" t="s">
        <v>2216</v>
      </c>
      <c r="B1150" s="2">
        <v>45571</v>
      </c>
      <c r="C1150" s="1" t="s">
        <v>2217</v>
      </c>
      <c r="D1150" s="1" t="s">
        <v>17</v>
      </c>
      <c r="E1150" s="1" t="s">
        <v>138</v>
      </c>
      <c r="F1150" s="1" t="s">
        <v>54</v>
      </c>
      <c r="G1150" s="1" t="s">
        <v>32</v>
      </c>
      <c r="H1150" s="1" t="s">
        <v>73</v>
      </c>
      <c r="I1150" s="1">
        <v>3</v>
      </c>
      <c r="J1150" s="1">
        <v>5.9</v>
      </c>
      <c r="K1150" s="1">
        <v>5</v>
      </c>
      <c r="L1150" s="1">
        <v>16.82</v>
      </c>
      <c r="M1150" s="1">
        <v>15.21</v>
      </c>
      <c r="N1150" s="1">
        <v>-6.36</v>
      </c>
      <c r="O1150" s="6" t="s">
        <v>22</v>
      </c>
      <c r="P1150" s="8">
        <f>Table1[Quantity]*Table1[Unit_Price]</f>
        <v>17.700000000000003</v>
      </c>
      <c r="Q1150" s="1">
        <f>Table1[Profit]/Table1[Total_Sales]</f>
        <v>-0.37812128418549346</v>
      </c>
      <c r="R1150" s="14">
        <f>Table1[Total_Sales]+Table1[Shipping_Cost]</f>
        <v>32.03</v>
      </c>
    </row>
    <row r="1151" spans="1:18" x14ac:dyDescent="0.35">
      <c r="A1151" s="3" t="s">
        <v>2218</v>
      </c>
      <c r="B1151" s="2">
        <v>45571</v>
      </c>
      <c r="C1151" s="1" t="s">
        <v>2219</v>
      </c>
      <c r="D1151" s="1" t="s">
        <v>49</v>
      </c>
      <c r="E1151" s="1" t="s">
        <v>129</v>
      </c>
      <c r="F1151" s="1" t="s">
        <v>19</v>
      </c>
      <c r="G1151" s="1" t="s">
        <v>69</v>
      </c>
      <c r="H1151" s="1" t="s">
        <v>70</v>
      </c>
      <c r="I1151" s="1">
        <v>1</v>
      </c>
      <c r="J1151" s="1">
        <v>37.979999999999997</v>
      </c>
      <c r="K1151" s="1">
        <v>10</v>
      </c>
      <c r="L1151" s="1">
        <v>34.18</v>
      </c>
      <c r="M1151" s="1">
        <v>7.22</v>
      </c>
      <c r="N1151" s="1">
        <v>7.97</v>
      </c>
      <c r="O1151" s="6" t="s">
        <v>34</v>
      </c>
      <c r="P1151" s="8">
        <f>Table1[Quantity]*Table1[Unit_Price]</f>
        <v>37.979999999999997</v>
      </c>
      <c r="Q1151" s="1">
        <f>Table1[Profit]/Table1[Total_Sales]</f>
        <v>0.2331772966647162</v>
      </c>
      <c r="R1151" s="14">
        <f>Table1[Total_Sales]+Table1[Shipping_Cost]</f>
        <v>41.4</v>
      </c>
    </row>
    <row r="1152" spans="1:18" x14ac:dyDescent="0.35">
      <c r="A1152" s="3" t="s">
        <v>2220</v>
      </c>
      <c r="B1152" s="2">
        <v>45571</v>
      </c>
      <c r="C1152" s="1" t="s">
        <v>1292</v>
      </c>
      <c r="D1152" s="1" t="s">
        <v>17</v>
      </c>
      <c r="E1152" s="1" t="s">
        <v>67</v>
      </c>
      <c r="F1152" s="1" t="s">
        <v>68</v>
      </c>
      <c r="G1152" s="1" t="s">
        <v>69</v>
      </c>
      <c r="H1152" s="1" t="s">
        <v>79</v>
      </c>
      <c r="I1152" s="1">
        <v>5</v>
      </c>
      <c r="J1152" s="1">
        <v>34.24</v>
      </c>
      <c r="K1152" s="1">
        <v>10</v>
      </c>
      <c r="L1152" s="1">
        <v>154.08000000000001</v>
      </c>
      <c r="M1152" s="1">
        <v>20.25</v>
      </c>
      <c r="N1152" s="1">
        <v>48.23</v>
      </c>
      <c r="O1152" s="6" t="s">
        <v>34</v>
      </c>
      <c r="P1152" s="8">
        <f>Table1[Quantity]*Table1[Unit_Price]</f>
        <v>171.20000000000002</v>
      </c>
      <c r="Q1152" s="1">
        <f>Table1[Profit]/Table1[Total_Sales]</f>
        <v>0.31301921079958461</v>
      </c>
      <c r="R1152" s="14">
        <f>Table1[Total_Sales]+Table1[Shipping_Cost]</f>
        <v>174.33</v>
      </c>
    </row>
    <row r="1153" spans="1:18" x14ac:dyDescent="0.35">
      <c r="A1153" s="3" t="s">
        <v>2221</v>
      </c>
      <c r="B1153" s="2">
        <v>45571</v>
      </c>
      <c r="C1153" s="1" t="s">
        <v>2222</v>
      </c>
      <c r="D1153" s="1" t="s">
        <v>30</v>
      </c>
      <c r="E1153" s="1" t="s">
        <v>37</v>
      </c>
      <c r="F1153" s="1" t="s">
        <v>26</v>
      </c>
      <c r="G1153" s="1" t="s">
        <v>69</v>
      </c>
      <c r="H1153" s="1" t="s">
        <v>79</v>
      </c>
      <c r="I1153" s="1">
        <v>1</v>
      </c>
      <c r="J1153" s="1">
        <v>99.45</v>
      </c>
      <c r="K1153" s="1">
        <v>15</v>
      </c>
      <c r="L1153" s="1">
        <v>84.53</v>
      </c>
      <c r="M1153" s="1">
        <v>7.83</v>
      </c>
      <c r="N1153" s="1">
        <v>26.98</v>
      </c>
      <c r="O1153" s="6" t="s">
        <v>34</v>
      </c>
      <c r="P1153" s="8">
        <f>Table1[Quantity]*Table1[Unit_Price]</f>
        <v>99.45</v>
      </c>
      <c r="Q1153" s="1">
        <f>Table1[Profit]/Table1[Total_Sales]</f>
        <v>0.31917662368389921</v>
      </c>
      <c r="R1153" s="14">
        <f>Table1[Total_Sales]+Table1[Shipping_Cost]</f>
        <v>92.36</v>
      </c>
    </row>
    <row r="1154" spans="1:18" x14ac:dyDescent="0.35">
      <c r="A1154" s="3" t="s">
        <v>2223</v>
      </c>
      <c r="B1154" s="2">
        <v>45571</v>
      </c>
      <c r="C1154" s="1" t="s">
        <v>2224</v>
      </c>
      <c r="D1154" s="1" t="s">
        <v>30</v>
      </c>
      <c r="E1154" s="1" t="s">
        <v>135</v>
      </c>
      <c r="F1154" s="1" t="s">
        <v>26</v>
      </c>
      <c r="G1154" s="1" t="s">
        <v>20</v>
      </c>
      <c r="H1154" s="1" t="s">
        <v>106</v>
      </c>
      <c r="I1154" s="1">
        <v>10</v>
      </c>
      <c r="J1154" s="1">
        <v>53.93</v>
      </c>
      <c r="K1154" s="1">
        <v>5</v>
      </c>
      <c r="L1154" s="1">
        <v>512.33000000000004</v>
      </c>
      <c r="M1154" s="1">
        <v>19.66</v>
      </c>
      <c r="N1154" s="1">
        <v>196.06</v>
      </c>
      <c r="O1154" s="6" t="s">
        <v>22</v>
      </c>
      <c r="P1154" s="8">
        <f>Table1[Quantity]*Table1[Unit_Price]</f>
        <v>539.29999999999995</v>
      </c>
      <c r="Q1154" s="1">
        <f>Table1[Profit]/Table1[Total_Sales]</f>
        <v>0.38268303632424411</v>
      </c>
      <c r="R1154" s="14">
        <f>Table1[Total_Sales]+Table1[Shipping_Cost]</f>
        <v>531.99</v>
      </c>
    </row>
    <row r="1155" spans="1:18" x14ac:dyDescent="0.35">
      <c r="A1155" s="3" t="s">
        <v>2225</v>
      </c>
      <c r="B1155" s="2">
        <v>45573</v>
      </c>
      <c r="C1155" s="1" t="s">
        <v>2226</v>
      </c>
      <c r="D1155" s="1" t="s">
        <v>30</v>
      </c>
      <c r="E1155" s="1" t="s">
        <v>18</v>
      </c>
      <c r="F1155" s="1" t="s">
        <v>19</v>
      </c>
      <c r="G1155" s="1" t="s">
        <v>69</v>
      </c>
      <c r="H1155" s="1" t="s">
        <v>196</v>
      </c>
      <c r="I1155" s="1">
        <v>6</v>
      </c>
      <c r="J1155" s="1">
        <v>16.760000000000002</v>
      </c>
      <c r="K1155" s="1">
        <v>5</v>
      </c>
      <c r="L1155" s="1">
        <v>95.53</v>
      </c>
      <c r="M1155" s="1">
        <v>8.44</v>
      </c>
      <c r="N1155" s="1">
        <v>36.81</v>
      </c>
      <c r="O1155" s="6" t="s">
        <v>39</v>
      </c>
      <c r="P1155" s="8">
        <f>Table1[Quantity]*Table1[Unit_Price]</f>
        <v>100.56</v>
      </c>
      <c r="Q1155" s="1">
        <f>Table1[Profit]/Table1[Total_Sales]</f>
        <v>0.38532398199518481</v>
      </c>
      <c r="R1155" s="14">
        <f>Table1[Total_Sales]+Table1[Shipping_Cost]</f>
        <v>103.97</v>
      </c>
    </row>
    <row r="1156" spans="1:18" x14ac:dyDescent="0.35">
      <c r="A1156" s="3" t="s">
        <v>2227</v>
      </c>
      <c r="B1156" s="2">
        <v>45574</v>
      </c>
      <c r="C1156" s="1" t="s">
        <v>2228</v>
      </c>
      <c r="D1156" s="1" t="s">
        <v>30</v>
      </c>
      <c r="E1156" s="1" t="s">
        <v>92</v>
      </c>
      <c r="F1156" s="1" t="s">
        <v>60</v>
      </c>
      <c r="G1156" s="1" t="s">
        <v>69</v>
      </c>
      <c r="H1156" s="1" t="s">
        <v>163</v>
      </c>
      <c r="I1156" s="1">
        <v>4</v>
      </c>
      <c r="J1156" s="1">
        <v>20.47</v>
      </c>
      <c r="K1156" s="1">
        <v>10</v>
      </c>
      <c r="L1156" s="1">
        <v>73.69</v>
      </c>
      <c r="M1156" s="1">
        <v>11.8</v>
      </c>
      <c r="N1156" s="1">
        <v>20.95</v>
      </c>
      <c r="O1156" s="6" t="s">
        <v>39</v>
      </c>
      <c r="P1156" s="8">
        <f>Table1[Quantity]*Table1[Unit_Price]</f>
        <v>81.88</v>
      </c>
      <c r="Q1156" s="1">
        <f>Table1[Profit]/Table1[Total_Sales]</f>
        <v>0.28429909078572396</v>
      </c>
      <c r="R1156" s="14">
        <f>Table1[Total_Sales]+Table1[Shipping_Cost]</f>
        <v>85.49</v>
      </c>
    </row>
    <row r="1157" spans="1:18" x14ac:dyDescent="0.35">
      <c r="A1157" s="3" t="s">
        <v>2229</v>
      </c>
      <c r="B1157" s="2">
        <v>45574</v>
      </c>
      <c r="C1157" s="1" t="s">
        <v>2230</v>
      </c>
      <c r="D1157" s="1" t="s">
        <v>30</v>
      </c>
      <c r="E1157" s="1" t="s">
        <v>37</v>
      </c>
      <c r="F1157" s="1" t="s">
        <v>26</v>
      </c>
      <c r="G1157" s="1" t="s">
        <v>20</v>
      </c>
      <c r="H1157" s="1" t="s">
        <v>122</v>
      </c>
      <c r="I1157" s="1">
        <v>3</v>
      </c>
      <c r="J1157" s="1">
        <v>135.35</v>
      </c>
      <c r="K1157" s="1">
        <v>5</v>
      </c>
      <c r="L1157" s="1">
        <v>385.75</v>
      </c>
      <c r="M1157" s="1">
        <v>12.11</v>
      </c>
      <c r="N1157" s="1">
        <v>150.31</v>
      </c>
      <c r="O1157" s="6" t="s">
        <v>34</v>
      </c>
      <c r="P1157" s="8">
        <f>Table1[Quantity]*Table1[Unit_Price]</f>
        <v>406.04999999999995</v>
      </c>
      <c r="Q1157" s="1">
        <f>Table1[Profit]/Table1[Total_Sales]</f>
        <v>0.38965651328580686</v>
      </c>
      <c r="R1157" s="14">
        <f>Table1[Total_Sales]+Table1[Shipping_Cost]</f>
        <v>397.86</v>
      </c>
    </row>
    <row r="1158" spans="1:18" x14ac:dyDescent="0.35">
      <c r="A1158" s="3" t="s">
        <v>2231</v>
      </c>
      <c r="B1158" s="2">
        <v>45574</v>
      </c>
      <c r="C1158" s="1" t="s">
        <v>2232</v>
      </c>
      <c r="D1158" s="1" t="s">
        <v>30</v>
      </c>
      <c r="E1158" s="1" t="s">
        <v>92</v>
      </c>
      <c r="F1158" s="1" t="s">
        <v>60</v>
      </c>
      <c r="G1158" s="1" t="s">
        <v>32</v>
      </c>
      <c r="H1158" s="1" t="s">
        <v>132</v>
      </c>
      <c r="I1158" s="1">
        <v>4</v>
      </c>
      <c r="J1158" s="1">
        <v>13.9</v>
      </c>
      <c r="K1158" s="1">
        <v>0</v>
      </c>
      <c r="L1158" s="1">
        <v>55.6</v>
      </c>
      <c r="M1158" s="1">
        <v>11.78</v>
      </c>
      <c r="N1158" s="1">
        <v>18.8</v>
      </c>
      <c r="O1158" s="6" t="s">
        <v>34</v>
      </c>
      <c r="P1158" s="8">
        <f>Table1[Quantity]*Table1[Unit_Price]</f>
        <v>55.6</v>
      </c>
      <c r="Q1158" s="1">
        <f>Table1[Profit]/Table1[Total_Sales]</f>
        <v>0.33812949640287771</v>
      </c>
      <c r="R1158" s="14">
        <f>Table1[Total_Sales]+Table1[Shipping_Cost]</f>
        <v>67.38</v>
      </c>
    </row>
    <row r="1159" spans="1:18" x14ac:dyDescent="0.35">
      <c r="A1159" s="3" t="s">
        <v>2233</v>
      </c>
      <c r="B1159" s="2">
        <v>45574</v>
      </c>
      <c r="C1159" s="1" t="s">
        <v>784</v>
      </c>
      <c r="D1159" s="1" t="s">
        <v>30</v>
      </c>
      <c r="E1159" s="1" t="s">
        <v>31</v>
      </c>
      <c r="F1159" s="1" t="s">
        <v>19</v>
      </c>
      <c r="G1159" s="1" t="s">
        <v>20</v>
      </c>
      <c r="H1159" s="1" t="s">
        <v>21</v>
      </c>
      <c r="I1159" s="1">
        <v>4</v>
      </c>
      <c r="J1159" s="1">
        <v>58.38</v>
      </c>
      <c r="K1159" s="1">
        <v>0</v>
      </c>
      <c r="L1159" s="1">
        <v>233.52</v>
      </c>
      <c r="M1159" s="1">
        <v>13.39</v>
      </c>
      <c r="N1159" s="1">
        <v>91.69</v>
      </c>
      <c r="O1159" s="6" t="s">
        <v>39</v>
      </c>
      <c r="P1159" s="8">
        <f>Table1[Quantity]*Table1[Unit_Price]</f>
        <v>233.52</v>
      </c>
      <c r="Q1159" s="1">
        <f>Table1[Profit]/Table1[Total_Sales]</f>
        <v>0.3926430284343953</v>
      </c>
      <c r="R1159" s="14">
        <f>Table1[Total_Sales]+Table1[Shipping_Cost]</f>
        <v>246.91000000000003</v>
      </c>
    </row>
    <row r="1160" spans="1:18" x14ac:dyDescent="0.35">
      <c r="A1160" s="3" t="s">
        <v>2234</v>
      </c>
      <c r="B1160" s="2">
        <v>45574</v>
      </c>
      <c r="C1160" s="1" t="s">
        <v>2235</v>
      </c>
      <c r="D1160" s="1" t="s">
        <v>49</v>
      </c>
      <c r="E1160" s="1" t="s">
        <v>92</v>
      </c>
      <c r="F1160" s="1" t="s">
        <v>60</v>
      </c>
      <c r="G1160" s="1" t="s">
        <v>69</v>
      </c>
      <c r="H1160" s="1" t="s">
        <v>196</v>
      </c>
      <c r="I1160" s="1">
        <v>2</v>
      </c>
      <c r="J1160" s="1">
        <v>21.81</v>
      </c>
      <c r="K1160" s="1">
        <v>10</v>
      </c>
      <c r="L1160" s="1">
        <v>39.26</v>
      </c>
      <c r="M1160" s="1">
        <v>12.21</v>
      </c>
      <c r="N1160" s="1">
        <v>5.24</v>
      </c>
      <c r="O1160" s="6" t="s">
        <v>56</v>
      </c>
      <c r="P1160" s="8">
        <f>Table1[Quantity]*Table1[Unit_Price]</f>
        <v>43.62</v>
      </c>
      <c r="Q1160" s="1">
        <f>Table1[Profit]/Table1[Total_Sales]</f>
        <v>0.13346917982679574</v>
      </c>
      <c r="R1160" s="14">
        <f>Table1[Total_Sales]+Table1[Shipping_Cost]</f>
        <v>51.47</v>
      </c>
    </row>
    <row r="1161" spans="1:18" x14ac:dyDescent="0.35">
      <c r="A1161" s="3" t="s">
        <v>2236</v>
      </c>
      <c r="B1161" s="2">
        <v>45574</v>
      </c>
      <c r="C1161" s="1" t="s">
        <v>1783</v>
      </c>
      <c r="D1161" s="1" t="s">
        <v>49</v>
      </c>
      <c r="E1161" s="1" t="s">
        <v>248</v>
      </c>
      <c r="F1161" s="1" t="s">
        <v>26</v>
      </c>
      <c r="G1161" s="1" t="s">
        <v>69</v>
      </c>
      <c r="H1161" s="1" t="s">
        <v>160</v>
      </c>
      <c r="I1161" s="1">
        <v>8</v>
      </c>
      <c r="J1161" s="1">
        <v>48.56</v>
      </c>
      <c r="K1161" s="1">
        <v>5</v>
      </c>
      <c r="L1161" s="1">
        <v>369.06</v>
      </c>
      <c r="M1161" s="1">
        <v>24.35</v>
      </c>
      <c r="N1161" s="1">
        <v>150.47</v>
      </c>
      <c r="O1161" s="6" t="s">
        <v>39</v>
      </c>
      <c r="P1161" s="8">
        <f>Table1[Quantity]*Table1[Unit_Price]</f>
        <v>388.48</v>
      </c>
      <c r="Q1161" s="1">
        <f>Table1[Profit]/Table1[Total_Sales]</f>
        <v>0.40771148322765943</v>
      </c>
      <c r="R1161" s="14">
        <f>Table1[Total_Sales]+Table1[Shipping_Cost]</f>
        <v>393.41</v>
      </c>
    </row>
    <row r="1162" spans="1:18" x14ac:dyDescent="0.35">
      <c r="A1162" s="3" t="s">
        <v>2237</v>
      </c>
      <c r="B1162" s="2">
        <v>45574</v>
      </c>
      <c r="C1162" s="1" t="s">
        <v>2238</v>
      </c>
      <c r="D1162" s="1" t="s">
        <v>30</v>
      </c>
      <c r="E1162" s="1" t="s">
        <v>31</v>
      </c>
      <c r="F1162" s="1" t="s">
        <v>19</v>
      </c>
      <c r="G1162" s="1" t="s">
        <v>42</v>
      </c>
      <c r="H1162" s="1" t="s">
        <v>89</v>
      </c>
      <c r="I1162" s="1">
        <v>1</v>
      </c>
      <c r="J1162" s="1">
        <v>371.21</v>
      </c>
      <c r="K1162" s="1">
        <v>10</v>
      </c>
      <c r="L1162" s="1">
        <v>334.09</v>
      </c>
      <c r="M1162" s="1">
        <v>5.6</v>
      </c>
      <c r="N1162" s="1">
        <v>105.76</v>
      </c>
      <c r="O1162" s="6" t="s">
        <v>34</v>
      </c>
      <c r="P1162" s="8">
        <f>Table1[Quantity]*Table1[Unit_Price]</f>
        <v>371.21</v>
      </c>
      <c r="Q1162" s="1">
        <f>Table1[Profit]/Table1[Total_Sales]</f>
        <v>0.31656140560926699</v>
      </c>
      <c r="R1162" s="14">
        <f>Table1[Total_Sales]+Table1[Shipping_Cost]</f>
        <v>339.69</v>
      </c>
    </row>
    <row r="1163" spans="1:18" x14ac:dyDescent="0.35">
      <c r="A1163" s="3" t="s">
        <v>2239</v>
      </c>
      <c r="B1163" s="2">
        <v>45575</v>
      </c>
      <c r="C1163" s="1" t="s">
        <v>2240</v>
      </c>
      <c r="D1163" s="1" t="s">
        <v>17</v>
      </c>
      <c r="E1163" s="1" t="s">
        <v>85</v>
      </c>
      <c r="F1163" s="1" t="s">
        <v>60</v>
      </c>
      <c r="G1163" s="1" t="s">
        <v>42</v>
      </c>
      <c r="H1163" s="1" t="s">
        <v>89</v>
      </c>
      <c r="I1163" s="1">
        <v>10</v>
      </c>
      <c r="J1163" s="1">
        <v>345.3</v>
      </c>
      <c r="K1163" s="1">
        <v>20</v>
      </c>
      <c r="L1163" s="1">
        <v>2762.4</v>
      </c>
      <c r="M1163" s="1">
        <v>32.74</v>
      </c>
      <c r="N1163" s="1">
        <v>657.86</v>
      </c>
      <c r="O1163" s="6" t="s">
        <v>34</v>
      </c>
      <c r="P1163" s="8">
        <f>Table1[Quantity]*Table1[Unit_Price]</f>
        <v>3453</v>
      </c>
      <c r="Q1163" s="1">
        <f>Table1[Profit]/Table1[Total_Sales]</f>
        <v>0.23814798725745728</v>
      </c>
      <c r="R1163" s="14">
        <f>Table1[Total_Sales]+Table1[Shipping_Cost]</f>
        <v>2795.14</v>
      </c>
    </row>
    <row r="1164" spans="1:18" x14ac:dyDescent="0.35">
      <c r="A1164" s="3" t="s">
        <v>2241</v>
      </c>
      <c r="B1164" s="2">
        <v>45575</v>
      </c>
      <c r="C1164" s="1" t="s">
        <v>2242</v>
      </c>
      <c r="D1164" s="1" t="s">
        <v>17</v>
      </c>
      <c r="E1164" s="1" t="s">
        <v>31</v>
      </c>
      <c r="F1164" s="1" t="s">
        <v>19</v>
      </c>
      <c r="G1164" s="1" t="s">
        <v>69</v>
      </c>
      <c r="H1164" s="1" t="s">
        <v>243</v>
      </c>
      <c r="I1164" s="1">
        <v>3</v>
      </c>
      <c r="J1164" s="1">
        <v>51.23</v>
      </c>
      <c r="K1164" s="1">
        <v>25</v>
      </c>
      <c r="L1164" s="1">
        <v>115.27</v>
      </c>
      <c r="M1164" s="1">
        <v>9.6</v>
      </c>
      <c r="N1164" s="1">
        <v>28.82</v>
      </c>
      <c r="O1164" s="6" t="s">
        <v>22</v>
      </c>
      <c r="P1164" s="8">
        <f>Table1[Quantity]*Table1[Unit_Price]</f>
        <v>153.69</v>
      </c>
      <c r="Q1164" s="1">
        <f>Table1[Profit]/Table1[Total_Sales]</f>
        <v>0.25002168821028892</v>
      </c>
      <c r="R1164" s="14">
        <f>Table1[Total_Sales]+Table1[Shipping_Cost]</f>
        <v>124.86999999999999</v>
      </c>
    </row>
    <row r="1165" spans="1:18" x14ac:dyDescent="0.35">
      <c r="A1165" s="3" t="s">
        <v>2243</v>
      </c>
      <c r="B1165" s="2">
        <v>45575</v>
      </c>
      <c r="C1165" s="1" t="s">
        <v>2244</v>
      </c>
      <c r="D1165" s="1" t="s">
        <v>30</v>
      </c>
      <c r="E1165" s="1" t="s">
        <v>59</v>
      </c>
      <c r="F1165" s="1" t="s">
        <v>60</v>
      </c>
      <c r="G1165" s="1" t="s">
        <v>42</v>
      </c>
      <c r="H1165" s="1" t="s">
        <v>234</v>
      </c>
      <c r="I1165" s="1">
        <v>8</v>
      </c>
      <c r="J1165" s="1">
        <v>35.17</v>
      </c>
      <c r="K1165" s="1">
        <v>5</v>
      </c>
      <c r="L1165" s="1">
        <v>267.29000000000002</v>
      </c>
      <c r="M1165" s="1">
        <v>25.72</v>
      </c>
      <c r="N1165" s="1">
        <v>72.75</v>
      </c>
      <c r="O1165" s="6" t="s">
        <v>34</v>
      </c>
      <c r="P1165" s="8">
        <f>Table1[Quantity]*Table1[Unit_Price]</f>
        <v>281.36</v>
      </c>
      <c r="Q1165" s="1">
        <f>Table1[Profit]/Table1[Total_Sales]</f>
        <v>0.27217628792697068</v>
      </c>
      <c r="R1165" s="14">
        <f>Table1[Total_Sales]+Table1[Shipping_Cost]</f>
        <v>293.01</v>
      </c>
    </row>
    <row r="1166" spans="1:18" x14ac:dyDescent="0.35">
      <c r="A1166" s="3" t="s">
        <v>2245</v>
      </c>
      <c r="B1166" s="2">
        <v>45576</v>
      </c>
      <c r="C1166" s="1" t="s">
        <v>2246</v>
      </c>
      <c r="D1166" s="1" t="s">
        <v>49</v>
      </c>
      <c r="E1166" s="1" t="s">
        <v>129</v>
      </c>
      <c r="F1166" s="1" t="s">
        <v>19</v>
      </c>
      <c r="G1166" s="1" t="s">
        <v>69</v>
      </c>
      <c r="H1166" s="1" t="s">
        <v>305</v>
      </c>
      <c r="I1166" s="1">
        <v>2</v>
      </c>
      <c r="J1166" s="1">
        <v>66.94</v>
      </c>
      <c r="K1166" s="1">
        <v>0</v>
      </c>
      <c r="L1166" s="1">
        <v>133.88</v>
      </c>
      <c r="M1166" s="1">
        <v>9.1199999999999992</v>
      </c>
      <c r="N1166" s="1">
        <v>57.82</v>
      </c>
      <c r="O1166" s="6" t="s">
        <v>39</v>
      </c>
      <c r="P1166" s="8">
        <f>Table1[Quantity]*Table1[Unit_Price]</f>
        <v>133.88</v>
      </c>
      <c r="Q1166" s="1">
        <f>Table1[Profit]/Table1[Total_Sales]</f>
        <v>0.43187929489094712</v>
      </c>
      <c r="R1166" s="14">
        <f>Table1[Total_Sales]+Table1[Shipping_Cost]</f>
        <v>143</v>
      </c>
    </row>
    <row r="1167" spans="1:18" x14ac:dyDescent="0.35">
      <c r="A1167" s="3" t="s">
        <v>2247</v>
      </c>
      <c r="B1167" s="2">
        <v>45576</v>
      </c>
      <c r="C1167" s="1" t="s">
        <v>427</v>
      </c>
      <c r="D1167" s="1" t="s">
        <v>30</v>
      </c>
      <c r="E1167" s="1" t="s">
        <v>37</v>
      </c>
      <c r="F1167" s="1" t="s">
        <v>26</v>
      </c>
      <c r="G1167" s="1" t="s">
        <v>20</v>
      </c>
      <c r="H1167" s="1" t="s">
        <v>175</v>
      </c>
      <c r="I1167" s="1">
        <v>1</v>
      </c>
      <c r="J1167" s="1">
        <v>26.72</v>
      </c>
      <c r="K1167" s="1">
        <v>0</v>
      </c>
      <c r="L1167" s="1">
        <v>26.72</v>
      </c>
      <c r="M1167" s="1">
        <v>9.0399999999999991</v>
      </c>
      <c r="N1167" s="1">
        <v>2.98</v>
      </c>
      <c r="O1167" s="6" t="s">
        <v>34</v>
      </c>
      <c r="P1167" s="8">
        <f>Table1[Quantity]*Table1[Unit_Price]</f>
        <v>26.72</v>
      </c>
      <c r="Q1167" s="1">
        <f>Table1[Profit]/Table1[Total_Sales]</f>
        <v>0.11152694610778444</v>
      </c>
      <c r="R1167" s="14">
        <f>Table1[Total_Sales]+Table1[Shipping_Cost]</f>
        <v>35.76</v>
      </c>
    </row>
    <row r="1168" spans="1:18" x14ac:dyDescent="0.35">
      <c r="A1168" s="3" t="s">
        <v>2248</v>
      </c>
      <c r="B1168" s="2">
        <v>45576</v>
      </c>
      <c r="C1168" s="1" t="s">
        <v>2024</v>
      </c>
      <c r="D1168" s="1" t="s">
        <v>30</v>
      </c>
      <c r="E1168" s="1" t="s">
        <v>25</v>
      </c>
      <c r="F1168" s="1" t="s">
        <v>26</v>
      </c>
      <c r="G1168" s="1" t="s">
        <v>42</v>
      </c>
      <c r="H1168" s="1" t="s">
        <v>64</v>
      </c>
      <c r="I1168" s="1">
        <v>9</v>
      </c>
      <c r="J1168" s="1">
        <v>115.8</v>
      </c>
      <c r="K1168" s="1">
        <v>20</v>
      </c>
      <c r="L1168" s="1">
        <v>833.76</v>
      </c>
      <c r="M1168" s="1">
        <v>26.5</v>
      </c>
      <c r="N1168" s="1">
        <v>181.94</v>
      </c>
      <c r="O1168" s="6" t="s">
        <v>56</v>
      </c>
      <c r="P1168" s="8">
        <f>Table1[Quantity]*Table1[Unit_Price]</f>
        <v>1042.2</v>
      </c>
      <c r="Q1168" s="1">
        <f>Table1[Profit]/Table1[Total_Sales]</f>
        <v>0.21821627326808674</v>
      </c>
      <c r="R1168" s="14">
        <f>Table1[Total_Sales]+Table1[Shipping_Cost]</f>
        <v>860.26</v>
      </c>
    </row>
    <row r="1169" spans="1:18" x14ac:dyDescent="0.35">
      <c r="A1169" s="3" t="s">
        <v>2249</v>
      </c>
      <c r="B1169" s="2">
        <v>45576</v>
      </c>
      <c r="C1169" s="1" t="s">
        <v>2250</v>
      </c>
      <c r="D1169" s="1" t="s">
        <v>17</v>
      </c>
      <c r="E1169" s="1" t="s">
        <v>31</v>
      </c>
      <c r="F1169" s="1" t="s">
        <v>19</v>
      </c>
      <c r="G1169" s="1" t="s">
        <v>32</v>
      </c>
      <c r="H1169" s="1" t="s">
        <v>73</v>
      </c>
      <c r="I1169" s="1">
        <v>2</v>
      </c>
      <c r="J1169" s="1">
        <v>9.2799999999999994</v>
      </c>
      <c r="K1169" s="1">
        <v>20</v>
      </c>
      <c r="L1169" s="1">
        <v>14.85</v>
      </c>
      <c r="M1169" s="1">
        <v>8.0399999999999991</v>
      </c>
      <c r="N1169" s="1">
        <v>-1.54</v>
      </c>
      <c r="O1169" s="6" t="s">
        <v>34</v>
      </c>
      <c r="P1169" s="8">
        <f>Table1[Quantity]*Table1[Unit_Price]</f>
        <v>18.559999999999999</v>
      </c>
      <c r="Q1169" s="1">
        <f>Table1[Profit]/Table1[Total_Sales]</f>
        <v>-0.10370370370370371</v>
      </c>
      <c r="R1169" s="14">
        <f>Table1[Total_Sales]+Table1[Shipping_Cost]</f>
        <v>22.89</v>
      </c>
    </row>
    <row r="1170" spans="1:18" x14ac:dyDescent="0.35">
      <c r="A1170" s="3" t="s">
        <v>2251</v>
      </c>
      <c r="B1170" s="2">
        <v>45576</v>
      </c>
      <c r="C1170" s="1" t="s">
        <v>2252</v>
      </c>
      <c r="D1170" s="1" t="s">
        <v>30</v>
      </c>
      <c r="E1170" s="1" t="s">
        <v>59</v>
      </c>
      <c r="F1170" s="1" t="s">
        <v>60</v>
      </c>
      <c r="G1170" s="1" t="s">
        <v>32</v>
      </c>
      <c r="H1170" s="1" t="s">
        <v>50</v>
      </c>
      <c r="I1170" s="1">
        <v>3</v>
      </c>
      <c r="J1170" s="1">
        <v>17.78</v>
      </c>
      <c r="K1170" s="1">
        <v>0</v>
      </c>
      <c r="L1170" s="1">
        <v>53.34</v>
      </c>
      <c r="M1170" s="1">
        <v>13.47</v>
      </c>
      <c r="N1170" s="1">
        <v>15.87</v>
      </c>
      <c r="O1170" s="6" t="s">
        <v>34</v>
      </c>
      <c r="P1170" s="8">
        <f>Table1[Quantity]*Table1[Unit_Price]</f>
        <v>53.34</v>
      </c>
      <c r="Q1170" s="1">
        <f>Table1[Profit]/Table1[Total_Sales]</f>
        <v>0.29752530933633292</v>
      </c>
      <c r="R1170" s="14">
        <f>Table1[Total_Sales]+Table1[Shipping_Cost]</f>
        <v>66.81</v>
      </c>
    </row>
    <row r="1171" spans="1:18" x14ac:dyDescent="0.35">
      <c r="A1171" s="3" t="s">
        <v>2253</v>
      </c>
      <c r="B1171" s="2">
        <v>45578</v>
      </c>
      <c r="C1171" s="1" t="s">
        <v>2254</v>
      </c>
      <c r="D1171" s="1" t="s">
        <v>30</v>
      </c>
      <c r="E1171" s="1" t="s">
        <v>76</v>
      </c>
      <c r="F1171" s="1" t="s">
        <v>26</v>
      </c>
      <c r="G1171" s="1" t="s">
        <v>42</v>
      </c>
      <c r="H1171" s="1" t="s">
        <v>93</v>
      </c>
      <c r="I1171" s="1">
        <v>4</v>
      </c>
      <c r="J1171" s="1">
        <v>275.12</v>
      </c>
      <c r="K1171" s="1">
        <v>5</v>
      </c>
      <c r="L1171" s="1">
        <v>1045.46</v>
      </c>
      <c r="M1171" s="1">
        <v>13.94</v>
      </c>
      <c r="N1171" s="1">
        <v>371.23</v>
      </c>
      <c r="O1171" s="6" t="s">
        <v>39</v>
      </c>
      <c r="P1171" s="8">
        <f>Table1[Quantity]*Table1[Unit_Price]</f>
        <v>1100.48</v>
      </c>
      <c r="Q1171" s="1">
        <f>Table1[Profit]/Table1[Total_Sales]</f>
        <v>0.35508771258584737</v>
      </c>
      <c r="R1171" s="14">
        <f>Table1[Total_Sales]+Table1[Shipping_Cost]</f>
        <v>1059.4000000000001</v>
      </c>
    </row>
    <row r="1172" spans="1:18" x14ac:dyDescent="0.35">
      <c r="A1172" s="3" t="s">
        <v>2255</v>
      </c>
      <c r="B1172" s="2">
        <v>45578</v>
      </c>
      <c r="C1172" s="1" t="s">
        <v>2256</v>
      </c>
      <c r="D1172" s="1" t="s">
        <v>30</v>
      </c>
      <c r="E1172" s="1" t="s">
        <v>166</v>
      </c>
      <c r="F1172" s="1" t="s">
        <v>60</v>
      </c>
      <c r="G1172" s="1" t="s">
        <v>20</v>
      </c>
      <c r="H1172" s="1" t="s">
        <v>38</v>
      </c>
      <c r="I1172" s="1">
        <v>5</v>
      </c>
      <c r="J1172" s="1">
        <v>53.38</v>
      </c>
      <c r="K1172" s="1">
        <v>10</v>
      </c>
      <c r="L1172" s="1">
        <v>240.21</v>
      </c>
      <c r="M1172" s="1">
        <v>11.59</v>
      </c>
      <c r="N1172" s="1">
        <v>81.819999999999993</v>
      </c>
      <c r="O1172" s="6" t="s">
        <v>56</v>
      </c>
      <c r="P1172" s="8">
        <f>Table1[Quantity]*Table1[Unit_Price]</f>
        <v>266.90000000000003</v>
      </c>
      <c r="Q1172" s="1">
        <f>Table1[Profit]/Table1[Total_Sales]</f>
        <v>0.34061862536946835</v>
      </c>
      <c r="R1172" s="14">
        <f>Table1[Total_Sales]+Table1[Shipping_Cost]</f>
        <v>251.8</v>
      </c>
    </row>
    <row r="1173" spans="1:18" x14ac:dyDescent="0.35">
      <c r="A1173" s="3" t="s">
        <v>2257</v>
      </c>
      <c r="B1173" s="2">
        <v>45579</v>
      </c>
      <c r="C1173" s="1" t="s">
        <v>2258</v>
      </c>
      <c r="D1173" s="1" t="s">
        <v>30</v>
      </c>
      <c r="E1173" s="1" t="s">
        <v>109</v>
      </c>
      <c r="F1173" s="1" t="s">
        <v>54</v>
      </c>
      <c r="G1173" s="1" t="s">
        <v>69</v>
      </c>
      <c r="H1173" s="1" t="s">
        <v>305</v>
      </c>
      <c r="I1173" s="1">
        <v>2</v>
      </c>
      <c r="J1173" s="1">
        <v>77.59</v>
      </c>
      <c r="K1173" s="1">
        <v>10</v>
      </c>
      <c r="L1173" s="1">
        <v>139.66</v>
      </c>
      <c r="M1173" s="1">
        <v>15.29</v>
      </c>
      <c r="N1173" s="1">
        <v>46.78</v>
      </c>
      <c r="O1173" s="6" t="s">
        <v>39</v>
      </c>
      <c r="P1173" s="8">
        <f>Table1[Quantity]*Table1[Unit_Price]</f>
        <v>155.18</v>
      </c>
      <c r="Q1173" s="1">
        <f>Table1[Profit]/Table1[Total_Sales]</f>
        <v>0.33495632249749391</v>
      </c>
      <c r="R1173" s="14">
        <f>Table1[Total_Sales]+Table1[Shipping_Cost]</f>
        <v>154.94999999999999</v>
      </c>
    </row>
    <row r="1174" spans="1:18" x14ac:dyDescent="0.35">
      <c r="A1174" s="3" t="s">
        <v>2259</v>
      </c>
      <c r="B1174" s="2">
        <v>45579</v>
      </c>
      <c r="C1174" s="1" t="s">
        <v>805</v>
      </c>
      <c r="D1174" s="1" t="s">
        <v>30</v>
      </c>
      <c r="E1174" s="1" t="s">
        <v>59</v>
      </c>
      <c r="F1174" s="1" t="s">
        <v>60</v>
      </c>
      <c r="G1174" s="1" t="s">
        <v>32</v>
      </c>
      <c r="H1174" s="1" t="s">
        <v>348</v>
      </c>
      <c r="I1174" s="1">
        <v>6</v>
      </c>
      <c r="J1174" s="1">
        <v>7</v>
      </c>
      <c r="K1174" s="1">
        <v>5</v>
      </c>
      <c r="L1174" s="1">
        <v>39.9</v>
      </c>
      <c r="M1174" s="1">
        <v>18.09</v>
      </c>
      <c r="N1174" s="1">
        <v>2.91</v>
      </c>
      <c r="O1174" s="6" t="s">
        <v>34</v>
      </c>
      <c r="P1174" s="8">
        <f>Table1[Quantity]*Table1[Unit_Price]</f>
        <v>42</v>
      </c>
      <c r="Q1174" s="1">
        <f>Table1[Profit]/Table1[Total_Sales]</f>
        <v>7.2932330827067682E-2</v>
      </c>
      <c r="R1174" s="14">
        <f>Table1[Total_Sales]+Table1[Shipping_Cost]</f>
        <v>57.989999999999995</v>
      </c>
    </row>
    <row r="1175" spans="1:18" x14ac:dyDescent="0.35">
      <c r="A1175" s="3" t="s">
        <v>2260</v>
      </c>
      <c r="B1175" s="2">
        <v>45579</v>
      </c>
      <c r="C1175" s="1" t="s">
        <v>2261</v>
      </c>
      <c r="D1175" s="1" t="s">
        <v>49</v>
      </c>
      <c r="E1175" s="1" t="s">
        <v>59</v>
      </c>
      <c r="F1175" s="1" t="s">
        <v>60</v>
      </c>
      <c r="G1175" s="1" t="s">
        <v>69</v>
      </c>
      <c r="H1175" s="1" t="s">
        <v>70</v>
      </c>
      <c r="I1175" s="1">
        <v>1</v>
      </c>
      <c r="J1175" s="1">
        <v>61.38</v>
      </c>
      <c r="K1175" s="1">
        <v>10</v>
      </c>
      <c r="L1175" s="1">
        <v>55.24</v>
      </c>
      <c r="M1175" s="1">
        <v>10.68</v>
      </c>
      <c r="N1175" s="1">
        <v>13.87</v>
      </c>
      <c r="O1175" s="6" t="s">
        <v>22</v>
      </c>
      <c r="P1175" s="8">
        <f>Table1[Quantity]*Table1[Unit_Price]</f>
        <v>61.38</v>
      </c>
      <c r="Q1175" s="1">
        <f>Table1[Profit]/Table1[Total_Sales]</f>
        <v>0.251086169442433</v>
      </c>
      <c r="R1175" s="14">
        <f>Table1[Total_Sales]+Table1[Shipping_Cost]</f>
        <v>65.92</v>
      </c>
    </row>
    <row r="1176" spans="1:18" x14ac:dyDescent="0.35">
      <c r="A1176" s="3" t="s">
        <v>2262</v>
      </c>
      <c r="B1176" s="2">
        <v>45580</v>
      </c>
      <c r="C1176" s="1" t="s">
        <v>2263</v>
      </c>
      <c r="D1176" s="1" t="s">
        <v>17</v>
      </c>
      <c r="E1176" s="1" t="s">
        <v>31</v>
      </c>
      <c r="F1176" s="1" t="s">
        <v>19</v>
      </c>
      <c r="G1176" s="1" t="s">
        <v>32</v>
      </c>
      <c r="H1176" s="1" t="s">
        <v>101</v>
      </c>
      <c r="I1176" s="1">
        <v>7</v>
      </c>
      <c r="J1176" s="1">
        <v>9.7899999999999991</v>
      </c>
      <c r="K1176" s="1">
        <v>30</v>
      </c>
      <c r="L1176" s="1">
        <v>47.97</v>
      </c>
      <c r="M1176" s="1">
        <v>15.8</v>
      </c>
      <c r="N1176" s="1">
        <v>1.33</v>
      </c>
      <c r="O1176" s="6" t="s">
        <v>39</v>
      </c>
      <c r="P1176" s="8">
        <f>Table1[Quantity]*Table1[Unit_Price]</f>
        <v>68.53</v>
      </c>
      <c r="Q1176" s="1">
        <f>Table1[Profit]/Table1[Total_Sales]</f>
        <v>2.7725661872003336E-2</v>
      </c>
      <c r="R1176" s="14">
        <f>Table1[Total_Sales]+Table1[Shipping_Cost]</f>
        <v>63.769999999999996</v>
      </c>
    </row>
    <row r="1177" spans="1:18" x14ac:dyDescent="0.35">
      <c r="A1177" s="3" t="s">
        <v>2264</v>
      </c>
      <c r="B1177" s="2">
        <v>45580</v>
      </c>
      <c r="C1177" s="1" t="s">
        <v>2265</v>
      </c>
      <c r="D1177" s="1" t="s">
        <v>30</v>
      </c>
      <c r="E1177" s="1" t="s">
        <v>31</v>
      </c>
      <c r="F1177" s="1" t="s">
        <v>19</v>
      </c>
      <c r="G1177" s="1" t="s">
        <v>32</v>
      </c>
      <c r="H1177" s="1" t="s">
        <v>149</v>
      </c>
      <c r="I1177" s="1">
        <v>1</v>
      </c>
      <c r="J1177" s="1">
        <v>8.5399999999999991</v>
      </c>
      <c r="K1177" s="1">
        <v>0</v>
      </c>
      <c r="L1177" s="1">
        <v>8.5399999999999991</v>
      </c>
      <c r="M1177" s="1">
        <v>7.42</v>
      </c>
      <c r="N1177" s="1">
        <v>-2.72</v>
      </c>
      <c r="O1177" s="6" t="s">
        <v>39</v>
      </c>
      <c r="P1177" s="8">
        <f>Table1[Quantity]*Table1[Unit_Price]</f>
        <v>8.5399999999999991</v>
      </c>
      <c r="Q1177" s="1">
        <f>Table1[Profit]/Table1[Total_Sales]</f>
        <v>-0.31850117096018743</v>
      </c>
      <c r="R1177" s="14">
        <f>Table1[Total_Sales]+Table1[Shipping_Cost]</f>
        <v>15.959999999999999</v>
      </c>
    </row>
    <row r="1178" spans="1:18" x14ac:dyDescent="0.35">
      <c r="A1178" s="3" t="s">
        <v>2266</v>
      </c>
      <c r="B1178" s="2">
        <v>45581</v>
      </c>
      <c r="C1178" s="1" t="s">
        <v>479</v>
      </c>
      <c r="D1178" s="1" t="s">
        <v>17</v>
      </c>
      <c r="E1178" s="1" t="s">
        <v>129</v>
      </c>
      <c r="F1178" s="1" t="s">
        <v>19</v>
      </c>
      <c r="G1178" s="1" t="s">
        <v>69</v>
      </c>
      <c r="H1178" s="1" t="s">
        <v>163</v>
      </c>
      <c r="I1178" s="1">
        <v>1</v>
      </c>
      <c r="J1178" s="1">
        <v>26.92</v>
      </c>
      <c r="K1178" s="1">
        <v>15</v>
      </c>
      <c r="L1178" s="1">
        <v>22.88</v>
      </c>
      <c r="M1178" s="1">
        <v>6.91</v>
      </c>
      <c r="N1178" s="1">
        <v>2.5099999999999998</v>
      </c>
      <c r="O1178" s="6" t="s">
        <v>34</v>
      </c>
      <c r="P1178" s="8">
        <f>Table1[Quantity]*Table1[Unit_Price]</f>
        <v>26.92</v>
      </c>
      <c r="Q1178" s="1">
        <f>Table1[Profit]/Table1[Total_Sales]</f>
        <v>0.1097027972027972</v>
      </c>
      <c r="R1178" s="14">
        <f>Table1[Total_Sales]+Table1[Shipping_Cost]</f>
        <v>29.79</v>
      </c>
    </row>
    <row r="1179" spans="1:18" x14ac:dyDescent="0.35">
      <c r="A1179" s="3" t="s">
        <v>2267</v>
      </c>
      <c r="B1179" s="2">
        <v>45582</v>
      </c>
      <c r="C1179" s="1" t="s">
        <v>2268</v>
      </c>
      <c r="D1179" s="1" t="s">
        <v>30</v>
      </c>
      <c r="E1179" s="1" t="s">
        <v>121</v>
      </c>
      <c r="F1179" s="1" t="s">
        <v>68</v>
      </c>
      <c r="G1179" s="1" t="s">
        <v>69</v>
      </c>
      <c r="H1179" s="1" t="s">
        <v>98</v>
      </c>
      <c r="I1179" s="1">
        <v>1</v>
      </c>
      <c r="J1179" s="1">
        <v>29.08</v>
      </c>
      <c r="K1179" s="1">
        <v>15</v>
      </c>
      <c r="L1179" s="1">
        <v>24.72</v>
      </c>
      <c r="M1179" s="1">
        <v>11.98</v>
      </c>
      <c r="N1179" s="1">
        <v>-1.8</v>
      </c>
      <c r="O1179" s="6" t="s">
        <v>34</v>
      </c>
      <c r="P1179" s="8">
        <f>Table1[Quantity]*Table1[Unit_Price]</f>
        <v>29.08</v>
      </c>
      <c r="Q1179" s="1">
        <f>Table1[Profit]/Table1[Total_Sales]</f>
        <v>-7.2815533980582534E-2</v>
      </c>
      <c r="R1179" s="14">
        <f>Table1[Total_Sales]+Table1[Shipping_Cost]</f>
        <v>36.700000000000003</v>
      </c>
    </row>
    <row r="1180" spans="1:18" x14ac:dyDescent="0.35">
      <c r="A1180" s="3" t="s">
        <v>2269</v>
      </c>
      <c r="B1180" s="2">
        <v>45582</v>
      </c>
      <c r="C1180" s="1" t="s">
        <v>2270</v>
      </c>
      <c r="D1180" s="1" t="s">
        <v>17</v>
      </c>
      <c r="E1180" s="1" t="s">
        <v>18</v>
      </c>
      <c r="F1180" s="1" t="s">
        <v>19</v>
      </c>
      <c r="G1180" s="1" t="s">
        <v>20</v>
      </c>
      <c r="H1180" s="1" t="s">
        <v>38</v>
      </c>
      <c r="I1180" s="1">
        <v>9</v>
      </c>
      <c r="J1180" s="1">
        <v>45.48</v>
      </c>
      <c r="K1180" s="1">
        <v>20</v>
      </c>
      <c r="L1180" s="1">
        <v>327.45999999999998</v>
      </c>
      <c r="M1180" s="1">
        <v>10.43</v>
      </c>
      <c r="N1180" s="1">
        <v>91.9</v>
      </c>
      <c r="O1180" s="6" t="s">
        <v>34</v>
      </c>
      <c r="P1180" s="8">
        <f>Table1[Quantity]*Table1[Unit_Price]</f>
        <v>409.32</v>
      </c>
      <c r="Q1180" s="1">
        <f>Table1[Profit]/Table1[Total_Sales]</f>
        <v>0.28064496427044527</v>
      </c>
      <c r="R1180" s="14">
        <f>Table1[Total_Sales]+Table1[Shipping_Cost]</f>
        <v>337.89</v>
      </c>
    </row>
    <row r="1181" spans="1:18" x14ac:dyDescent="0.35">
      <c r="A1181" s="3" t="s">
        <v>2271</v>
      </c>
      <c r="B1181" s="2">
        <v>45582</v>
      </c>
      <c r="C1181" s="1" t="s">
        <v>2272</v>
      </c>
      <c r="D1181" s="1" t="s">
        <v>17</v>
      </c>
      <c r="E1181" s="1" t="s">
        <v>63</v>
      </c>
      <c r="F1181" s="1" t="s">
        <v>54</v>
      </c>
      <c r="G1181" s="1" t="s">
        <v>32</v>
      </c>
      <c r="H1181" s="1" t="s">
        <v>73</v>
      </c>
      <c r="I1181" s="1">
        <v>1</v>
      </c>
      <c r="J1181" s="1">
        <v>4.87</v>
      </c>
      <c r="K1181" s="1">
        <v>15</v>
      </c>
      <c r="L1181" s="1">
        <v>4.1399999999999997</v>
      </c>
      <c r="M1181" s="1">
        <v>12.43</v>
      </c>
      <c r="N1181" s="1">
        <v>-10.48</v>
      </c>
      <c r="O1181" s="6" t="s">
        <v>56</v>
      </c>
      <c r="P1181" s="8">
        <f>Table1[Quantity]*Table1[Unit_Price]</f>
        <v>4.87</v>
      </c>
      <c r="Q1181" s="1">
        <f>Table1[Profit]/Table1[Total_Sales]</f>
        <v>-2.531400966183575</v>
      </c>
      <c r="R1181" s="14">
        <f>Table1[Total_Sales]+Table1[Shipping_Cost]</f>
        <v>16.57</v>
      </c>
    </row>
    <row r="1182" spans="1:18" x14ac:dyDescent="0.35">
      <c r="A1182" s="3" t="s">
        <v>2273</v>
      </c>
      <c r="B1182" s="2">
        <v>45583</v>
      </c>
      <c r="C1182" s="1" t="s">
        <v>2274</v>
      </c>
      <c r="D1182" s="1" t="s">
        <v>17</v>
      </c>
      <c r="E1182" s="1" t="s">
        <v>85</v>
      </c>
      <c r="F1182" s="1" t="s">
        <v>60</v>
      </c>
      <c r="G1182" s="1" t="s">
        <v>20</v>
      </c>
      <c r="H1182" s="1" t="s">
        <v>175</v>
      </c>
      <c r="I1182" s="1">
        <v>3</v>
      </c>
      <c r="J1182" s="1">
        <v>19.93</v>
      </c>
      <c r="K1182" s="1">
        <v>25</v>
      </c>
      <c r="L1182" s="1">
        <v>44.84</v>
      </c>
      <c r="M1182" s="1">
        <v>13.57</v>
      </c>
      <c r="N1182" s="1">
        <v>-1.61</v>
      </c>
      <c r="O1182" s="6" t="s">
        <v>34</v>
      </c>
      <c r="P1182" s="8">
        <f>Table1[Quantity]*Table1[Unit_Price]</f>
        <v>59.79</v>
      </c>
      <c r="Q1182" s="1">
        <f>Table1[Profit]/Table1[Total_Sales]</f>
        <v>-3.5905441570026758E-2</v>
      </c>
      <c r="R1182" s="14">
        <f>Table1[Total_Sales]+Table1[Shipping_Cost]</f>
        <v>58.410000000000004</v>
      </c>
    </row>
    <row r="1183" spans="1:18" x14ac:dyDescent="0.35">
      <c r="A1183" s="3" t="s">
        <v>2275</v>
      </c>
      <c r="B1183" s="2">
        <v>45584</v>
      </c>
      <c r="C1183" s="1" t="s">
        <v>2276</v>
      </c>
      <c r="D1183" s="1" t="s">
        <v>30</v>
      </c>
      <c r="E1183" s="1" t="s">
        <v>63</v>
      </c>
      <c r="F1183" s="1" t="s">
        <v>54</v>
      </c>
      <c r="G1183" s="1" t="s">
        <v>42</v>
      </c>
      <c r="H1183" s="1" t="s">
        <v>89</v>
      </c>
      <c r="I1183" s="1">
        <v>1</v>
      </c>
      <c r="J1183" s="1">
        <v>239.53</v>
      </c>
      <c r="K1183" s="1">
        <v>25</v>
      </c>
      <c r="L1183" s="1">
        <v>179.65</v>
      </c>
      <c r="M1183" s="1">
        <v>12.02</v>
      </c>
      <c r="N1183" s="1">
        <v>23.91</v>
      </c>
      <c r="O1183" s="6" t="s">
        <v>39</v>
      </c>
      <c r="P1183" s="8">
        <f>Table1[Quantity]*Table1[Unit_Price]</f>
        <v>239.53</v>
      </c>
      <c r="Q1183" s="1">
        <f>Table1[Profit]/Table1[Total_Sales]</f>
        <v>0.13309212357361536</v>
      </c>
      <c r="R1183" s="14">
        <f>Table1[Total_Sales]+Table1[Shipping_Cost]</f>
        <v>191.67000000000002</v>
      </c>
    </row>
    <row r="1184" spans="1:18" x14ac:dyDescent="0.35">
      <c r="A1184" s="3" t="s">
        <v>2277</v>
      </c>
      <c r="B1184" s="2">
        <v>45584</v>
      </c>
      <c r="C1184" s="1" t="s">
        <v>2278</v>
      </c>
      <c r="D1184" s="1" t="s">
        <v>30</v>
      </c>
      <c r="E1184" s="1" t="s">
        <v>59</v>
      </c>
      <c r="F1184" s="1" t="s">
        <v>60</v>
      </c>
      <c r="G1184" s="1" t="s">
        <v>32</v>
      </c>
      <c r="H1184" s="1" t="s">
        <v>132</v>
      </c>
      <c r="I1184" s="1">
        <v>1</v>
      </c>
      <c r="J1184" s="1">
        <v>17.329999999999998</v>
      </c>
      <c r="K1184" s="1">
        <v>25</v>
      </c>
      <c r="L1184" s="1">
        <v>13</v>
      </c>
      <c r="M1184" s="1">
        <v>11.28</v>
      </c>
      <c r="N1184" s="1">
        <v>-6.08</v>
      </c>
      <c r="O1184" s="6" t="s">
        <v>34</v>
      </c>
      <c r="P1184" s="8">
        <f>Table1[Quantity]*Table1[Unit_Price]</f>
        <v>17.329999999999998</v>
      </c>
      <c r="Q1184" s="1">
        <f>Table1[Profit]/Table1[Total_Sales]</f>
        <v>-0.46769230769230768</v>
      </c>
      <c r="R1184" s="14">
        <f>Table1[Total_Sales]+Table1[Shipping_Cost]</f>
        <v>24.28</v>
      </c>
    </row>
    <row r="1185" spans="1:18" x14ac:dyDescent="0.35">
      <c r="A1185" s="3" t="s">
        <v>2279</v>
      </c>
      <c r="B1185" s="2">
        <v>45584</v>
      </c>
      <c r="C1185" s="1" t="s">
        <v>2280</v>
      </c>
      <c r="D1185" s="1" t="s">
        <v>17</v>
      </c>
      <c r="E1185" s="1" t="s">
        <v>18</v>
      </c>
      <c r="F1185" s="1" t="s">
        <v>19</v>
      </c>
      <c r="G1185" s="1" t="s">
        <v>42</v>
      </c>
      <c r="H1185" s="1" t="s">
        <v>93</v>
      </c>
      <c r="I1185" s="1">
        <v>1</v>
      </c>
      <c r="J1185" s="1">
        <v>292.37</v>
      </c>
      <c r="K1185" s="1">
        <v>15</v>
      </c>
      <c r="L1185" s="1">
        <v>248.51</v>
      </c>
      <c r="M1185" s="1">
        <v>5.62</v>
      </c>
      <c r="N1185" s="1">
        <v>67.47</v>
      </c>
      <c r="O1185" s="6" t="s">
        <v>34</v>
      </c>
      <c r="P1185" s="8">
        <f>Table1[Quantity]*Table1[Unit_Price]</f>
        <v>292.37</v>
      </c>
      <c r="Q1185" s="1">
        <f>Table1[Profit]/Table1[Total_Sales]</f>
        <v>0.27149812884793367</v>
      </c>
      <c r="R1185" s="14">
        <f>Table1[Total_Sales]+Table1[Shipping_Cost]</f>
        <v>254.13</v>
      </c>
    </row>
    <row r="1186" spans="1:18" x14ac:dyDescent="0.35">
      <c r="A1186" s="3" t="s">
        <v>2281</v>
      </c>
      <c r="B1186" s="2">
        <v>45586</v>
      </c>
      <c r="C1186" s="1" t="s">
        <v>2282</v>
      </c>
      <c r="D1186" s="1" t="s">
        <v>30</v>
      </c>
      <c r="E1186" s="1" t="s">
        <v>18</v>
      </c>
      <c r="F1186" s="1" t="s">
        <v>19</v>
      </c>
      <c r="G1186" s="1" t="s">
        <v>32</v>
      </c>
      <c r="H1186" s="1" t="s">
        <v>115</v>
      </c>
      <c r="I1186" s="1">
        <v>1</v>
      </c>
      <c r="J1186" s="1">
        <v>13.36</v>
      </c>
      <c r="K1186" s="1">
        <v>0</v>
      </c>
      <c r="L1186" s="1">
        <v>13.36</v>
      </c>
      <c r="M1186" s="1">
        <v>7.32</v>
      </c>
      <c r="N1186" s="1">
        <v>0.03</v>
      </c>
      <c r="O1186" s="6" t="s">
        <v>34</v>
      </c>
      <c r="P1186" s="8">
        <f>Table1[Quantity]*Table1[Unit_Price]</f>
        <v>13.36</v>
      </c>
      <c r="Q1186" s="1">
        <f>Table1[Profit]/Table1[Total_Sales]</f>
        <v>2.2455089820359281E-3</v>
      </c>
      <c r="R1186" s="14">
        <f>Table1[Total_Sales]+Table1[Shipping_Cost]</f>
        <v>20.68</v>
      </c>
    </row>
    <row r="1187" spans="1:18" x14ac:dyDescent="0.35">
      <c r="A1187" s="3" t="s">
        <v>2283</v>
      </c>
      <c r="B1187" s="2">
        <v>45588</v>
      </c>
      <c r="C1187" s="1" t="s">
        <v>2284</v>
      </c>
      <c r="D1187" s="1" t="s">
        <v>49</v>
      </c>
      <c r="E1187" s="1" t="s">
        <v>138</v>
      </c>
      <c r="F1187" s="1" t="s">
        <v>54</v>
      </c>
      <c r="G1187" s="1" t="s">
        <v>32</v>
      </c>
      <c r="H1187" s="1" t="s">
        <v>149</v>
      </c>
      <c r="I1187" s="1">
        <v>3</v>
      </c>
      <c r="J1187" s="1">
        <v>12.11</v>
      </c>
      <c r="K1187" s="1">
        <v>0</v>
      </c>
      <c r="L1187" s="1">
        <v>36.33</v>
      </c>
      <c r="M1187" s="1">
        <v>14.03</v>
      </c>
      <c r="N1187" s="1">
        <v>5.95</v>
      </c>
      <c r="O1187" s="6" t="s">
        <v>34</v>
      </c>
      <c r="P1187" s="8">
        <f>Table1[Quantity]*Table1[Unit_Price]</f>
        <v>36.33</v>
      </c>
      <c r="Q1187" s="1">
        <f>Table1[Profit]/Table1[Total_Sales]</f>
        <v>0.16377649325626206</v>
      </c>
      <c r="R1187" s="14">
        <f>Table1[Total_Sales]+Table1[Shipping_Cost]</f>
        <v>50.36</v>
      </c>
    </row>
    <row r="1188" spans="1:18" x14ac:dyDescent="0.35">
      <c r="A1188" s="3" t="s">
        <v>2285</v>
      </c>
      <c r="B1188" s="2">
        <v>45588</v>
      </c>
      <c r="C1188" s="1" t="s">
        <v>2286</v>
      </c>
      <c r="D1188" s="1" t="s">
        <v>49</v>
      </c>
      <c r="E1188" s="1" t="s">
        <v>129</v>
      </c>
      <c r="F1188" s="1" t="s">
        <v>19</v>
      </c>
      <c r="G1188" s="1" t="s">
        <v>42</v>
      </c>
      <c r="H1188" s="1" t="s">
        <v>294</v>
      </c>
      <c r="I1188" s="1">
        <v>5</v>
      </c>
      <c r="J1188" s="1">
        <v>94.04</v>
      </c>
      <c r="K1188" s="1">
        <v>5</v>
      </c>
      <c r="L1188" s="1">
        <v>446.69</v>
      </c>
      <c r="M1188" s="1">
        <v>14.2</v>
      </c>
      <c r="N1188" s="1">
        <v>150.37</v>
      </c>
      <c r="O1188" s="6" t="s">
        <v>39</v>
      </c>
      <c r="P1188" s="8">
        <f>Table1[Quantity]*Table1[Unit_Price]</f>
        <v>470.20000000000005</v>
      </c>
      <c r="Q1188" s="1">
        <f>Table1[Profit]/Table1[Total_Sales]</f>
        <v>0.33663166849492937</v>
      </c>
      <c r="R1188" s="14">
        <f>Table1[Total_Sales]+Table1[Shipping_Cost]</f>
        <v>460.89</v>
      </c>
    </row>
    <row r="1189" spans="1:18" x14ac:dyDescent="0.35">
      <c r="A1189" s="3" t="s">
        <v>2287</v>
      </c>
      <c r="B1189" s="2">
        <v>45589</v>
      </c>
      <c r="C1189" s="1" t="s">
        <v>2288</v>
      </c>
      <c r="D1189" s="1" t="s">
        <v>30</v>
      </c>
      <c r="E1189" s="1" t="s">
        <v>121</v>
      </c>
      <c r="F1189" s="1" t="s">
        <v>68</v>
      </c>
      <c r="G1189" s="1" t="s">
        <v>20</v>
      </c>
      <c r="H1189" s="1" t="s">
        <v>55</v>
      </c>
      <c r="I1189" s="1">
        <v>1</v>
      </c>
      <c r="J1189" s="1">
        <v>40.25</v>
      </c>
      <c r="K1189" s="1">
        <v>5</v>
      </c>
      <c r="L1189" s="1">
        <v>38.24</v>
      </c>
      <c r="M1189" s="1">
        <v>12.49</v>
      </c>
      <c r="N1189" s="1">
        <v>3.61</v>
      </c>
      <c r="O1189" s="6" t="s">
        <v>34</v>
      </c>
      <c r="P1189" s="8">
        <f>Table1[Quantity]*Table1[Unit_Price]</f>
        <v>40.25</v>
      </c>
      <c r="Q1189" s="1">
        <f>Table1[Profit]/Table1[Total_Sales]</f>
        <v>9.4403765690376562E-2</v>
      </c>
      <c r="R1189" s="14">
        <f>Table1[Total_Sales]+Table1[Shipping_Cost]</f>
        <v>50.730000000000004</v>
      </c>
    </row>
    <row r="1190" spans="1:18" x14ac:dyDescent="0.35">
      <c r="A1190" s="3" t="s">
        <v>2289</v>
      </c>
      <c r="B1190" s="2">
        <v>45589</v>
      </c>
      <c r="C1190" s="1" t="s">
        <v>2290</v>
      </c>
      <c r="D1190" s="1" t="s">
        <v>17</v>
      </c>
      <c r="E1190" s="1" t="s">
        <v>37</v>
      </c>
      <c r="F1190" s="1" t="s">
        <v>26</v>
      </c>
      <c r="G1190" s="1" t="s">
        <v>20</v>
      </c>
      <c r="H1190" s="1" t="s">
        <v>175</v>
      </c>
      <c r="I1190" s="1">
        <v>2</v>
      </c>
      <c r="J1190" s="1">
        <v>24.54</v>
      </c>
      <c r="K1190" s="1">
        <v>15</v>
      </c>
      <c r="L1190" s="1">
        <v>41.72</v>
      </c>
      <c r="M1190" s="1">
        <v>10.57</v>
      </c>
      <c r="N1190" s="1">
        <v>4.16</v>
      </c>
      <c r="O1190" s="6" t="s">
        <v>39</v>
      </c>
      <c r="P1190" s="8">
        <f>Table1[Quantity]*Table1[Unit_Price]</f>
        <v>49.08</v>
      </c>
      <c r="Q1190" s="1">
        <f>Table1[Profit]/Table1[Total_Sales]</f>
        <v>9.9712368168744014E-2</v>
      </c>
      <c r="R1190" s="14">
        <f>Table1[Total_Sales]+Table1[Shipping_Cost]</f>
        <v>52.29</v>
      </c>
    </row>
    <row r="1191" spans="1:18" x14ac:dyDescent="0.35">
      <c r="A1191" s="3" t="s">
        <v>2291</v>
      </c>
      <c r="B1191" s="2">
        <v>45590</v>
      </c>
      <c r="C1191" s="1" t="s">
        <v>2292</v>
      </c>
      <c r="D1191" s="1" t="s">
        <v>17</v>
      </c>
      <c r="E1191" s="1" t="s">
        <v>135</v>
      </c>
      <c r="F1191" s="1" t="s">
        <v>26</v>
      </c>
      <c r="G1191" s="1" t="s">
        <v>20</v>
      </c>
      <c r="H1191" s="1" t="s">
        <v>122</v>
      </c>
      <c r="I1191" s="1">
        <v>2</v>
      </c>
      <c r="J1191" s="1">
        <v>96.97</v>
      </c>
      <c r="K1191" s="1">
        <v>15</v>
      </c>
      <c r="L1191" s="1">
        <v>164.85</v>
      </c>
      <c r="M1191" s="1">
        <v>8.99</v>
      </c>
      <c r="N1191" s="1">
        <v>49.19</v>
      </c>
      <c r="O1191" s="6" t="s">
        <v>39</v>
      </c>
      <c r="P1191" s="8">
        <f>Table1[Quantity]*Table1[Unit_Price]</f>
        <v>193.94</v>
      </c>
      <c r="Q1191" s="1">
        <f>Table1[Profit]/Table1[Total_Sales]</f>
        <v>0.29839247801031238</v>
      </c>
      <c r="R1191" s="14">
        <f>Table1[Total_Sales]+Table1[Shipping_Cost]</f>
        <v>173.84</v>
      </c>
    </row>
    <row r="1192" spans="1:18" x14ac:dyDescent="0.35">
      <c r="A1192" s="3" t="s">
        <v>2293</v>
      </c>
      <c r="B1192" s="2">
        <v>45590</v>
      </c>
      <c r="C1192" s="1" t="s">
        <v>2294</v>
      </c>
      <c r="D1192" s="1" t="s">
        <v>49</v>
      </c>
      <c r="E1192" s="1" t="s">
        <v>76</v>
      </c>
      <c r="F1192" s="1" t="s">
        <v>26</v>
      </c>
      <c r="G1192" s="1" t="s">
        <v>32</v>
      </c>
      <c r="H1192" s="1" t="s">
        <v>149</v>
      </c>
      <c r="I1192" s="1">
        <v>7</v>
      </c>
      <c r="J1192" s="1">
        <v>16.12</v>
      </c>
      <c r="K1192" s="1">
        <v>15</v>
      </c>
      <c r="L1192" s="1">
        <v>95.91</v>
      </c>
      <c r="M1192" s="1">
        <v>12.12</v>
      </c>
      <c r="N1192" s="1">
        <v>33.01</v>
      </c>
      <c r="O1192" s="6" t="s">
        <v>22</v>
      </c>
      <c r="P1192" s="8">
        <f>Table1[Quantity]*Table1[Unit_Price]</f>
        <v>112.84</v>
      </c>
      <c r="Q1192" s="1">
        <f>Table1[Profit]/Table1[Total_Sales]</f>
        <v>0.3441768324470858</v>
      </c>
      <c r="R1192" s="14">
        <f>Table1[Total_Sales]+Table1[Shipping_Cost]</f>
        <v>108.03</v>
      </c>
    </row>
    <row r="1193" spans="1:18" x14ac:dyDescent="0.35">
      <c r="A1193" s="3" t="s">
        <v>2295</v>
      </c>
      <c r="B1193" s="2">
        <v>45591</v>
      </c>
      <c r="C1193" s="1" t="s">
        <v>1626</v>
      </c>
      <c r="D1193" s="1" t="s">
        <v>49</v>
      </c>
      <c r="E1193" s="1" t="s">
        <v>92</v>
      </c>
      <c r="F1193" s="1" t="s">
        <v>60</v>
      </c>
      <c r="G1193" s="1" t="s">
        <v>20</v>
      </c>
      <c r="H1193" s="1" t="s">
        <v>175</v>
      </c>
      <c r="I1193" s="1">
        <v>2</v>
      </c>
      <c r="J1193" s="1">
        <v>36.840000000000003</v>
      </c>
      <c r="K1193" s="1">
        <v>20</v>
      </c>
      <c r="L1193" s="1">
        <v>58.94</v>
      </c>
      <c r="M1193" s="1">
        <v>10.85</v>
      </c>
      <c r="N1193" s="1">
        <v>7.57</v>
      </c>
      <c r="O1193" s="6" t="s">
        <v>34</v>
      </c>
      <c r="P1193" s="8">
        <f>Table1[Quantity]*Table1[Unit_Price]</f>
        <v>73.680000000000007</v>
      </c>
      <c r="Q1193" s="1">
        <f>Table1[Profit]/Table1[Total_Sales]</f>
        <v>0.12843569731930779</v>
      </c>
      <c r="R1193" s="14">
        <f>Table1[Total_Sales]+Table1[Shipping_Cost]</f>
        <v>69.789999999999992</v>
      </c>
    </row>
    <row r="1194" spans="1:18" x14ac:dyDescent="0.35">
      <c r="A1194" s="3" t="s">
        <v>2296</v>
      </c>
      <c r="B1194" s="2">
        <v>45591</v>
      </c>
      <c r="C1194" s="1" t="s">
        <v>2297</v>
      </c>
      <c r="D1194" s="1" t="s">
        <v>30</v>
      </c>
      <c r="E1194" s="1" t="s">
        <v>138</v>
      </c>
      <c r="F1194" s="1" t="s">
        <v>54</v>
      </c>
      <c r="G1194" s="1" t="s">
        <v>69</v>
      </c>
      <c r="H1194" s="1" t="s">
        <v>86</v>
      </c>
      <c r="I1194" s="1">
        <v>1</v>
      </c>
      <c r="J1194" s="1">
        <v>130.63</v>
      </c>
      <c r="K1194" s="1">
        <v>20</v>
      </c>
      <c r="L1194" s="1">
        <v>104.5</v>
      </c>
      <c r="M1194" s="1">
        <v>11.85</v>
      </c>
      <c r="N1194" s="1">
        <v>27.34</v>
      </c>
      <c r="O1194" s="6" t="s">
        <v>22</v>
      </c>
      <c r="P1194" s="8">
        <f>Table1[Quantity]*Table1[Unit_Price]</f>
        <v>130.63</v>
      </c>
      <c r="Q1194" s="1">
        <f>Table1[Profit]/Table1[Total_Sales]</f>
        <v>0.26162679425837321</v>
      </c>
      <c r="R1194" s="14">
        <f>Table1[Total_Sales]+Table1[Shipping_Cost]</f>
        <v>116.35</v>
      </c>
    </row>
    <row r="1195" spans="1:18" x14ac:dyDescent="0.35">
      <c r="A1195" s="3" t="s">
        <v>2298</v>
      </c>
      <c r="B1195" s="2">
        <v>45591</v>
      </c>
      <c r="C1195" s="1" t="s">
        <v>1133</v>
      </c>
      <c r="D1195" s="1" t="s">
        <v>17</v>
      </c>
      <c r="E1195" s="1" t="s">
        <v>37</v>
      </c>
      <c r="F1195" s="1" t="s">
        <v>26</v>
      </c>
      <c r="G1195" s="1" t="s">
        <v>69</v>
      </c>
      <c r="H1195" s="1" t="s">
        <v>305</v>
      </c>
      <c r="I1195" s="1">
        <v>7</v>
      </c>
      <c r="J1195" s="1">
        <v>46.74</v>
      </c>
      <c r="K1195" s="1">
        <v>10</v>
      </c>
      <c r="L1195" s="1">
        <v>294.45999999999998</v>
      </c>
      <c r="M1195" s="1">
        <v>12.49</v>
      </c>
      <c r="N1195" s="1">
        <v>118.38</v>
      </c>
      <c r="O1195" s="6" t="s">
        <v>56</v>
      </c>
      <c r="P1195" s="8">
        <f>Table1[Quantity]*Table1[Unit_Price]</f>
        <v>327.18</v>
      </c>
      <c r="Q1195" s="1">
        <f>Table1[Profit]/Table1[Total_Sales]</f>
        <v>0.40202404401276914</v>
      </c>
      <c r="R1195" s="14">
        <f>Table1[Total_Sales]+Table1[Shipping_Cost]</f>
        <v>306.95</v>
      </c>
    </row>
    <row r="1196" spans="1:18" x14ac:dyDescent="0.35">
      <c r="A1196" s="3" t="s">
        <v>2299</v>
      </c>
      <c r="B1196" s="2">
        <v>45591</v>
      </c>
      <c r="C1196" s="1" t="s">
        <v>1733</v>
      </c>
      <c r="D1196" s="1" t="s">
        <v>30</v>
      </c>
      <c r="E1196" s="1" t="s">
        <v>18</v>
      </c>
      <c r="F1196" s="1" t="s">
        <v>19</v>
      </c>
      <c r="G1196" s="1" t="s">
        <v>20</v>
      </c>
      <c r="H1196" s="1" t="s">
        <v>55</v>
      </c>
      <c r="I1196" s="1">
        <v>2</v>
      </c>
      <c r="J1196" s="1">
        <v>38.76</v>
      </c>
      <c r="K1196" s="1">
        <v>5</v>
      </c>
      <c r="L1196" s="1">
        <v>73.64</v>
      </c>
      <c r="M1196" s="1">
        <v>6.68</v>
      </c>
      <c r="N1196" s="1">
        <v>24.32</v>
      </c>
      <c r="O1196" s="6" t="s">
        <v>34</v>
      </c>
      <c r="P1196" s="8">
        <f>Table1[Quantity]*Table1[Unit_Price]</f>
        <v>77.52</v>
      </c>
      <c r="Q1196" s="1">
        <f>Table1[Profit]/Table1[Total_Sales]</f>
        <v>0.33025529603476372</v>
      </c>
      <c r="R1196" s="14">
        <f>Table1[Total_Sales]+Table1[Shipping_Cost]</f>
        <v>80.319999999999993</v>
      </c>
    </row>
    <row r="1197" spans="1:18" x14ac:dyDescent="0.35">
      <c r="A1197" s="3" t="s">
        <v>2300</v>
      </c>
      <c r="B1197" s="2">
        <v>45592</v>
      </c>
      <c r="C1197" s="1" t="s">
        <v>2301</v>
      </c>
      <c r="D1197" s="1" t="s">
        <v>30</v>
      </c>
      <c r="E1197" s="1" t="s">
        <v>148</v>
      </c>
      <c r="F1197" s="1" t="s">
        <v>60</v>
      </c>
      <c r="G1197" s="1" t="s">
        <v>42</v>
      </c>
      <c r="H1197" s="1" t="s">
        <v>64</v>
      </c>
      <c r="I1197" s="1">
        <v>3</v>
      </c>
      <c r="J1197" s="1">
        <v>87.75</v>
      </c>
      <c r="K1197" s="1">
        <v>10</v>
      </c>
      <c r="L1197" s="1">
        <v>236.93</v>
      </c>
      <c r="M1197" s="1">
        <v>11.1</v>
      </c>
      <c r="N1197" s="1">
        <v>67.88</v>
      </c>
      <c r="O1197" s="6" t="s">
        <v>56</v>
      </c>
      <c r="P1197" s="8">
        <f>Table1[Quantity]*Table1[Unit_Price]</f>
        <v>263.25</v>
      </c>
      <c r="Q1197" s="1">
        <f>Table1[Profit]/Table1[Total_Sales]</f>
        <v>0.28649812180812895</v>
      </c>
      <c r="R1197" s="14">
        <f>Table1[Total_Sales]+Table1[Shipping_Cost]</f>
        <v>248.03</v>
      </c>
    </row>
    <row r="1198" spans="1:18" x14ac:dyDescent="0.35">
      <c r="A1198" s="3" t="s">
        <v>2302</v>
      </c>
      <c r="B1198" s="2">
        <v>45592</v>
      </c>
      <c r="C1198" s="1" t="s">
        <v>2303</v>
      </c>
      <c r="D1198" s="1" t="s">
        <v>17</v>
      </c>
      <c r="E1198" s="1" t="s">
        <v>59</v>
      </c>
      <c r="F1198" s="1" t="s">
        <v>60</v>
      </c>
      <c r="G1198" s="1" t="s">
        <v>32</v>
      </c>
      <c r="H1198" s="1" t="s">
        <v>33</v>
      </c>
      <c r="I1198" s="1">
        <v>8</v>
      </c>
      <c r="J1198" s="1">
        <v>10.52</v>
      </c>
      <c r="K1198" s="1">
        <v>20</v>
      </c>
      <c r="L1198" s="1">
        <v>67.33</v>
      </c>
      <c r="M1198" s="1">
        <v>19.22</v>
      </c>
      <c r="N1198" s="1">
        <v>10.24</v>
      </c>
      <c r="O1198" s="6" t="s">
        <v>34</v>
      </c>
      <c r="P1198" s="8">
        <f>Table1[Quantity]*Table1[Unit_Price]</f>
        <v>84.16</v>
      </c>
      <c r="Q1198" s="1">
        <f>Table1[Profit]/Table1[Total_Sales]</f>
        <v>0.15208673696717659</v>
      </c>
      <c r="R1198" s="14">
        <f>Table1[Total_Sales]+Table1[Shipping_Cost]</f>
        <v>86.55</v>
      </c>
    </row>
    <row r="1199" spans="1:18" x14ac:dyDescent="0.35">
      <c r="A1199" s="3" t="s">
        <v>2304</v>
      </c>
      <c r="B1199" s="2">
        <v>45592</v>
      </c>
      <c r="C1199" s="1" t="s">
        <v>1807</v>
      </c>
      <c r="D1199" s="1" t="s">
        <v>17</v>
      </c>
      <c r="E1199" s="1" t="s">
        <v>76</v>
      </c>
      <c r="F1199" s="1" t="s">
        <v>26</v>
      </c>
      <c r="G1199" s="1" t="s">
        <v>32</v>
      </c>
      <c r="H1199" s="1" t="s">
        <v>115</v>
      </c>
      <c r="I1199" s="1">
        <v>3</v>
      </c>
      <c r="J1199" s="1">
        <v>13.97</v>
      </c>
      <c r="K1199" s="1">
        <v>0</v>
      </c>
      <c r="L1199" s="1">
        <v>41.91</v>
      </c>
      <c r="M1199" s="1">
        <v>10.72</v>
      </c>
      <c r="N1199" s="1">
        <v>12.33</v>
      </c>
      <c r="O1199" s="6" t="s">
        <v>56</v>
      </c>
      <c r="P1199" s="8">
        <f>Table1[Quantity]*Table1[Unit_Price]</f>
        <v>41.910000000000004</v>
      </c>
      <c r="Q1199" s="1">
        <f>Table1[Profit]/Table1[Total_Sales]</f>
        <v>0.294201861130995</v>
      </c>
      <c r="R1199" s="14">
        <f>Table1[Total_Sales]+Table1[Shipping_Cost]</f>
        <v>52.629999999999995</v>
      </c>
    </row>
    <row r="1200" spans="1:18" x14ac:dyDescent="0.35">
      <c r="A1200" s="3" t="s">
        <v>2305</v>
      </c>
      <c r="B1200" s="2">
        <v>45592</v>
      </c>
      <c r="C1200" s="1" t="s">
        <v>2306</v>
      </c>
      <c r="D1200" s="1" t="s">
        <v>30</v>
      </c>
      <c r="E1200" s="1" t="s">
        <v>59</v>
      </c>
      <c r="F1200" s="1" t="s">
        <v>60</v>
      </c>
      <c r="G1200" s="1" t="s">
        <v>20</v>
      </c>
      <c r="H1200" s="1" t="s">
        <v>38</v>
      </c>
      <c r="I1200" s="1">
        <v>5</v>
      </c>
      <c r="J1200" s="1">
        <v>51.41</v>
      </c>
      <c r="K1200" s="1">
        <v>5</v>
      </c>
      <c r="L1200" s="1">
        <v>244.2</v>
      </c>
      <c r="M1200" s="1">
        <v>16.43</v>
      </c>
      <c r="N1200" s="1">
        <v>86.39</v>
      </c>
      <c r="O1200" s="6" t="s">
        <v>39</v>
      </c>
      <c r="P1200" s="8">
        <f>Table1[Quantity]*Table1[Unit_Price]</f>
        <v>257.04999999999995</v>
      </c>
      <c r="Q1200" s="1">
        <f>Table1[Profit]/Table1[Total_Sales]</f>
        <v>0.35376740376740379</v>
      </c>
      <c r="R1200" s="14">
        <f>Table1[Total_Sales]+Table1[Shipping_Cost]</f>
        <v>260.63</v>
      </c>
    </row>
    <row r="1201" spans="1:18" x14ac:dyDescent="0.35">
      <c r="A1201" s="3" t="s">
        <v>2307</v>
      </c>
      <c r="B1201" s="2">
        <v>45592</v>
      </c>
      <c r="C1201" s="1" t="s">
        <v>447</v>
      </c>
      <c r="D1201" s="1" t="s">
        <v>30</v>
      </c>
      <c r="E1201" s="1" t="s">
        <v>25</v>
      </c>
      <c r="F1201" s="1" t="s">
        <v>26</v>
      </c>
      <c r="G1201" s="1" t="s">
        <v>20</v>
      </c>
      <c r="H1201" s="1" t="s">
        <v>175</v>
      </c>
      <c r="I1201" s="1">
        <v>4</v>
      </c>
      <c r="J1201" s="1">
        <v>23.76</v>
      </c>
      <c r="K1201" s="1">
        <v>0</v>
      </c>
      <c r="L1201" s="1">
        <v>95.04</v>
      </c>
      <c r="M1201" s="1">
        <v>14.61</v>
      </c>
      <c r="N1201" s="1">
        <v>28.16</v>
      </c>
      <c r="O1201" s="6" t="s">
        <v>22</v>
      </c>
      <c r="P1201" s="8">
        <f>Table1[Quantity]*Table1[Unit_Price]</f>
        <v>95.04</v>
      </c>
      <c r="Q1201" s="1">
        <f>Table1[Profit]/Table1[Total_Sales]</f>
        <v>0.29629629629629628</v>
      </c>
      <c r="R1201" s="14">
        <f>Table1[Total_Sales]+Table1[Shipping_Cost]</f>
        <v>109.65</v>
      </c>
    </row>
    <row r="1202" spans="1:18" x14ac:dyDescent="0.35">
      <c r="A1202" s="3" t="s">
        <v>2308</v>
      </c>
      <c r="B1202" s="2">
        <v>45593</v>
      </c>
      <c r="C1202" s="1" t="s">
        <v>2309</v>
      </c>
      <c r="D1202" s="1" t="s">
        <v>30</v>
      </c>
      <c r="E1202" s="1" t="s">
        <v>92</v>
      </c>
      <c r="F1202" s="1" t="s">
        <v>60</v>
      </c>
      <c r="G1202" s="1" t="s">
        <v>69</v>
      </c>
      <c r="H1202" s="1" t="s">
        <v>160</v>
      </c>
      <c r="I1202" s="1">
        <v>1</v>
      </c>
      <c r="J1202" s="1">
        <v>47.84</v>
      </c>
      <c r="K1202" s="1">
        <v>5</v>
      </c>
      <c r="L1202" s="1">
        <v>45.45</v>
      </c>
      <c r="M1202" s="1">
        <v>11.34</v>
      </c>
      <c r="N1202" s="1">
        <v>10.19</v>
      </c>
      <c r="O1202" s="6" t="s">
        <v>39</v>
      </c>
      <c r="P1202" s="8">
        <f>Table1[Quantity]*Table1[Unit_Price]</f>
        <v>47.84</v>
      </c>
      <c r="Q1202" s="1">
        <f>Table1[Profit]/Table1[Total_Sales]</f>
        <v>0.22420242024202416</v>
      </c>
      <c r="R1202" s="14">
        <f>Table1[Total_Sales]+Table1[Shipping_Cost]</f>
        <v>56.790000000000006</v>
      </c>
    </row>
    <row r="1203" spans="1:18" x14ac:dyDescent="0.35">
      <c r="A1203" s="3" t="s">
        <v>2310</v>
      </c>
      <c r="B1203" s="2">
        <v>45594</v>
      </c>
      <c r="C1203" s="1" t="s">
        <v>1935</v>
      </c>
      <c r="D1203" s="1" t="s">
        <v>17</v>
      </c>
      <c r="E1203" s="1" t="s">
        <v>169</v>
      </c>
      <c r="F1203" s="1" t="s">
        <v>68</v>
      </c>
      <c r="G1203" s="1" t="s">
        <v>20</v>
      </c>
      <c r="H1203" s="1" t="s">
        <v>170</v>
      </c>
      <c r="I1203" s="1">
        <v>3</v>
      </c>
      <c r="J1203" s="1">
        <v>45.95</v>
      </c>
      <c r="K1203" s="1">
        <v>15</v>
      </c>
      <c r="L1203" s="1">
        <v>117.17</v>
      </c>
      <c r="M1203" s="1">
        <v>15.95</v>
      </c>
      <c r="N1203" s="1">
        <v>25.4</v>
      </c>
      <c r="O1203" s="6" t="s">
        <v>22</v>
      </c>
      <c r="P1203" s="8">
        <f>Table1[Quantity]*Table1[Unit_Price]</f>
        <v>137.85000000000002</v>
      </c>
      <c r="Q1203" s="1">
        <f>Table1[Profit]/Table1[Total_Sales]</f>
        <v>0.21677903900315779</v>
      </c>
      <c r="R1203" s="14">
        <f>Table1[Total_Sales]+Table1[Shipping_Cost]</f>
        <v>133.12</v>
      </c>
    </row>
    <row r="1204" spans="1:18" x14ac:dyDescent="0.35">
      <c r="A1204" s="3" t="s">
        <v>2311</v>
      </c>
      <c r="B1204" s="2">
        <v>45594</v>
      </c>
      <c r="C1204" s="1" t="s">
        <v>2312</v>
      </c>
      <c r="D1204" s="1" t="s">
        <v>30</v>
      </c>
      <c r="E1204" s="1" t="s">
        <v>37</v>
      </c>
      <c r="F1204" s="1" t="s">
        <v>26</v>
      </c>
      <c r="G1204" s="1" t="s">
        <v>69</v>
      </c>
      <c r="H1204" s="1" t="s">
        <v>196</v>
      </c>
      <c r="I1204" s="1">
        <v>7</v>
      </c>
      <c r="J1204" s="1">
        <v>16.16</v>
      </c>
      <c r="K1204" s="1">
        <v>0</v>
      </c>
      <c r="L1204" s="1">
        <v>113.12</v>
      </c>
      <c r="M1204" s="1">
        <v>13.07</v>
      </c>
      <c r="N1204" s="1">
        <v>43.49</v>
      </c>
      <c r="O1204" s="6" t="s">
        <v>56</v>
      </c>
      <c r="P1204" s="8">
        <f>Table1[Quantity]*Table1[Unit_Price]</f>
        <v>113.12</v>
      </c>
      <c r="Q1204" s="1">
        <f>Table1[Profit]/Table1[Total_Sales]</f>
        <v>0.38445898161244696</v>
      </c>
      <c r="R1204" s="14">
        <f>Table1[Total_Sales]+Table1[Shipping_Cost]</f>
        <v>126.19</v>
      </c>
    </row>
    <row r="1205" spans="1:18" x14ac:dyDescent="0.35">
      <c r="A1205" s="3" t="s">
        <v>2313</v>
      </c>
      <c r="B1205" s="2">
        <v>45595</v>
      </c>
      <c r="C1205" s="1" t="s">
        <v>2314</v>
      </c>
      <c r="D1205" s="1" t="s">
        <v>30</v>
      </c>
      <c r="E1205" s="1" t="s">
        <v>59</v>
      </c>
      <c r="F1205" s="1" t="s">
        <v>60</v>
      </c>
      <c r="G1205" s="1" t="s">
        <v>69</v>
      </c>
      <c r="H1205" s="1" t="s">
        <v>139</v>
      </c>
      <c r="I1205" s="1">
        <v>2</v>
      </c>
      <c r="J1205" s="1">
        <v>39.32</v>
      </c>
      <c r="K1205" s="1">
        <v>5</v>
      </c>
      <c r="L1205" s="1">
        <v>74.709999999999994</v>
      </c>
      <c r="M1205" s="1">
        <v>13.59</v>
      </c>
      <c r="N1205" s="1">
        <v>21.8</v>
      </c>
      <c r="O1205" s="6" t="s">
        <v>34</v>
      </c>
      <c r="P1205" s="8">
        <f>Table1[Quantity]*Table1[Unit_Price]</f>
        <v>78.64</v>
      </c>
      <c r="Q1205" s="1">
        <f>Table1[Profit]/Table1[Total_Sales]</f>
        <v>0.29179494043635396</v>
      </c>
      <c r="R1205" s="14">
        <f>Table1[Total_Sales]+Table1[Shipping_Cost]</f>
        <v>88.3</v>
      </c>
    </row>
    <row r="1206" spans="1:18" x14ac:dyDescent="0.35">
      <c r="A1206" s="3" t="s">
        <v>2315</v>
      </c>
      <c r="B1206" s="2">
        <v>45595</v>
      </c>
      <c r="C1206" s="1" t="s">
        <v>2316</v>
      </c>
      <c r="D1206" s="1" t="s">
        <v>30</v>
      </c>
      <c r="E1206" s="1" t="s">
        <v>18</v>
      </c>
      <c r="F1206" s="1" t="s">
        <v>19</v>
      </c>
      <c r="G1206" s="1" t="s">
        <v>42</v>
      </c>
      <c r="H1206" s="1" t="s">
        <v>371</v>
      </c>
      <c r="I1206" s="1">
        <v>3</v>
      </c>
      <c r="J1206" s="1">
        <v>210.89</v>
      </c>
      <c r="K1206" s="1">
        <v>5</v>
      </c>
      <c r="L1206" s="1">
        <v>601.04</v>
      </c>
      <c r="M1206" s="1">
        <v>11.78</v>
      </c>
      <c r="N1206" s="1">
        <v>209.66</v>
      </c>
      <c r="O1206" s="6" t="s">
        <v>22</v>
      </c>
      <c r="P1206" s="8">
        <f>Table1[Quantity]*Table1[Unit_Price]</f>
        <v>632.66999999999996</v>
      </c>
      <c r="Q1206" s="1">
        <f>Table1[Profit]/Table1[Total_Sales]</f>
        <v>0.34882869692532942</v>
      </c>
      <c r="R1206" s="14">
        <f>Table1[Total_Sales]+Table1[Shipping_Cost]</f>
        <v>612.81999999999994</v>
      </c>
    </row>
    <row r="1207" spans="1:18" x14ac:dyDescent="0.35">
      <c r="A1207" s="3" t="s">
        <v>2317</v>
      </c>
      <c r="B1207" s="2">
        <v>45595</v>
      </c>
      <c r="C1207" s="1" t="s">
        <v>2318</v>
      </c>
      <c r="D1207" s="1" t="s">
        <v>17</v>
      </c>
      <c r="E1207" s="1" t="s">
        <v>169</v>
      </c>
      <c r="F1207" s="1" t="s">
        <v>68</v>
      </c>
      <c r="G1207" s="1" t="s">
        <v>32</v>
      </c>
      <c r="H1207" s="1" t="s">
        <v>33</v>
      </c>
      <c r="I1207" s="1">
        <v>9</v>
      </c>
      <c r="J1207" s="1">
        <v>11.89</v>
      </c>
      <c r="K1207" s="1">
        <v>10</v>
      </c>
      <c r="L1207" s="1">
        <v>96.31</v>
      </c>
      <c r="M1207" s="1">
        <v>25.6</v>
      </c>
      <c r="N1207" s="1">
        <v>22.56</v>
      </c>
      <c r="O1207" s="6" t="s">
        <v>39</v>
      </c>
      <c r="P1207" s="8">
        <f>Table1[Quantity]*Table1[Unit_Price]</f>
        <v>107.01</v>
      </c>
      <c r="Q1207" s="1">
        <f>Table1[Profit]/Table1[Total_Sales]</f>
        <v>0.23424358841241821</v>
      </c>
      <c r="R1207" s="14">
        <f>Table1[Total_Sales]+Table1[Shipping_Cost]</f>
        <v>121.91</v>
      </c>
    </row>
    <row r="1208" spans="1:18" x14ac:dyDescent="0.35">
      <c r="A1208" s="3" t="s">
        <v>2319</v>
      </c>
      <c r="B1208" s="2">
        <v>45596</v>
      </c>
      <c r="C1208" s="1" t="s">
        <v>2320</v>
      </c>
      <c r="D1208" s="1" t="s">
        <v>17</v>
      </c>
      <c r="E1208" s="1" t="s">
        <v>18</v>
      </c>
      <c r="F1208" s="1" t="s">
        <v>19</v>
      </c>
      <c r="G1208" s="1" t="s">
        <v>42</v>
      </c>
      <c r="H1208" s="1" t="s">
        <v>43</v>
      </c>
      <c r="I1208" s="1">
        <v>2</v>
      </c>
      <c r="J1208" s="1">
        <v>177.54</v>
      </c>
      <c r="K1208" s="1">
        <v>25</v>
      </c>
      <c r="L1208" s="1">
        <v>266.31</v>
      </c>
      <c r="M1208" s="1">
        <v>6.95</v>
      </c>
      <c r="N1208" s="1">
        <v>46.31</v>
      </c>
      <c r="O1208" s="6" t="s">
        <v>34</v>
      </c>
      <c r="P1208" s="8">
        <f>Table1[Quantity]*Table1[Unit_Price]</f>
        <v>355.08</v>
      </c>
      <c r="Q1208" s="1">
        <f>Table1[Profit]/Table1[Total_Sales]</f>
        <v>0.17389508467575382</v>
      </c>
      <c r="R1208" s="14">
        <f>Table1[Total_Sales]+Table1[Shipping_Cost]</f>
        <v>273.26</v>
      </c>
    </row>
    <row r="1209" spans="1:18" x14ac:dyDescent="0.35">
      <c r="A1209" s="3" t="s">
        <v>2321</v>
      </c>
      <c r="B1209" s="2">
        <v>45596</v>
      </c>
      <c r="C1209" s="1" t="s">
        <v>2322</v>
      </c>
      <c r="D1209" s="1" t="s">
        <v>30</v>
      </c>
      <c r="E1209" s="1" t="s">
        <v>135</v>
      </c>
      <c r="F1209" s="1" t="s">
        <v>26</v>
      </c>
      <c r="G1209" s="1" t="s">
        <v>69</v>
      </c>
      <c r="H1209" s="1" t="s">
        <v>305</v>
      </c>
      <c r="I1209" s="1">
        <v>12</v>
      </c>
      <c r="J1209" s="1">
        <v>42.25</v>
      </c>
      <c r="K1209" s="1">
        <v>0</v>
      </c>
      <c r="L1209" s="1">
        <v>507</v>
      </c>
      <c r="M1209" s="1">
        <v>23.04</v>
      </c>
      <c r="N1209" s="1">
        <v>230.46</v>
      </c>
      <c r="O1209" s="6" t="s">
        <v>56</v>
      </c>
      <c r="P1209" s="8">
        <f>Table1[Quantity]*Table1[Unit_Price]</f>
        <v>507</v>
      </c>
      <c r="Q1209" s="1">
        <f>Table1[Profit]/Table1[Total_Sales]</f>
        <v>0.45455621301775151</v>
      </c>
      <c r="R1209" s="14">
        <f>Table1[Total_Sales]+Table1[Shipping_Cost]</f>
        <v>530.04</v>
      </c>
    </row>
    <row r="1210" spans="1:18" x14ac:dyDescent="0.35">
      <c r="A1210" s="3" t="s">
        <v>2323</v>
      </c>
      <c r="B1210" s="2">
        <v>45596</v>
      </c>
      <c r="C1210" s="1" t="s">
        <v>2324</v>
      </c>
      <c r="D1210" s="1" t="s">
        <v>30</v>
      </c>
      <c r="E1210" s="1" t="s">
        <v>25</v>
      </c>
      <c r="F1210" s="1" t="s">
        <v>26</v>
      </c>
      <c r="G1210" s="1" t="s">
        <v>32</v>
      </c>
      <c r="H1210" s="1" t="s">
        <v>110</v>
      </c>
      <c r="I1210" s="1">
        <v>2</v>
      </c>
      <c r="J1210" s="1">
        <v>10.34</v>
      </c>
      <c r="K1210" s="1">
        <v>10</v>
      </c>
      <c r="L1210" s="1">
        <v>18.61</v>
      </c>
      <c r="M1210" s="1">
        <v>11.42</v>
      </c>
      <c r="N1210" s="1">
        <v>-2.12</v>
      </c>
      <c r="O1210" s="6" t="s">
        <v>22</v>
      </c>
      <c r="P1210" s="8">
        <f>Table1[Quantity]*Table1[Unit_Price]</f>
        <v>20.68</v>
      </c>
      <c r="Q1210" s="1">
        <f>Table1[Profit]/Table1[Total_Sales]</f>
        <v>-0.11391724879097261</v>
      </c>
      <c r="R1210" s="14">
        <f>Table1[Total_Sales]+Table1[Shipping_Cost]</f>
        <v>30.03</v>
      </c>
    </row>
    <row r="1211" spans="1:18" x14ac:dyDescent="0.35">
      <c r="A1211" s="3" t="s">
        <v>2325</v>
      </c>
      <c r="B1211" s="2">
        <v>45596</v>
      </c>
      <c r="C1211" s="1" t="s">
        <v>2326</v>
      </c>
      <c r="D1211" s="1" t="s">
        <v>49</v>
      </c>
      <c r="E1211" s="1" t="s">
        <v>92</v>
      </c>
      <c r="F1211" s="1" t="s">
        <v>60</v>
      </c>
      <c r="G1211" s="1" t="s">
        <v>42</v>
      </c>
      <c r="H1211" s="1" t="s">
        <v>118</v>
      </c>
      <c r="I1211" s="1">
        <v>2</v>
      </c>
      <c r="J1211" s="1">
        <v>54.34</v>
      </c>
      <c r="K1211" s="1">
        <v>10</v>
      </c>
      <c r="L1211" s="1">
        <v>97.81</v>
      </c>
      <c r="M1211" s="1">
        <v>11.65</v>
      </c>
      <c r="N1211" s="1">
        <v>20.95</v>
      </c>
      <c r="O1211" s="6" t="s">
        <v>34</v>
      </c>
      <c r="P1211" s="8">
        <f>Table1[Quantity]*Table1[Unit_Price]</f>
        <v>108.68</v>
      </c>
      <c r="Q1211" s="1">
        <f>Table1[Profit]/Table1[Total_Sales]</f>
        <v>0.21419077803905531</v>
      </c>
      <c r="R1211" s="14">
        <f>Table1[Total_Sales]+Table1[Shipping_Cost]</f>
        <v>109.46000000000001</v>
      </c>
    </row>
    <row r="1212" spans="1:18" x14ac:dyDescent="0.35">
      <c r="A1212" s="3" t="s">
        <v>2327</v>
      </c>
      <c r="B1212" s="2">
        <v>45596</v>
      </c>
      <c r="C1212" s="1" t="s">
        <v>368</v>
      </c>
      <c r="D1212" s="1" t="s">
        <v>17</v>
      </c>
      <c r="E1212" s="1" t="s">
        <v>109</v>
      </c>
      <c r="F1212" s="1" t="s">
        <v>54</v>
      </c>
      <c r="G1212" s="1" t="s">
        <v>69</v>
      </c>
      <c r="H1212" s="1" t="s">
        <v>163</v>
      </c>
      <c r="I1212" s="1">
        <v>12</v>
      </c>
      <c r="J1212" s="1">
        <v>61.78</v>
      </c>
      <c r="K1212" s="1">
        <v>5</v>
      </c>
      <c r="L1212" s="1">
        <v>704.29</v>
      </c>
      <c r="M1212" s="1">
        <v>20.350000000000001</v>
      </c>
      <c r="N1212" s="1">
        <v>313.26</v>
      </c>
      <c r="O1212" s="6" t="s">
        <v>39</v>
      </c>
      <c r="P1212" s="8">
        <f>Table1[Quantity]*Table1[Unit_Price]</f>
        <v>741.36</v>
      </c>
      <c r="Q1212" s="1">
        <f>Table1[Profit]/Table1[Total_Sales]</f>
        <v>0.44478836842777836</v>
      </c>
      <c r="R1212" s="14">
        <f>Table1[Total_Sales]+Table1[Shipping_Cost]</f>
        <v>724.64</v>
      </c>
    </row>
    <row r="1213" spans="1:18" x14ac:dyDescent="0.35">
      <c r="A1213" s="3" t="s">
        <v>2328</v>
      </c>
      <c r="B1213" s="2">
        <v>45596</v>
      </c>
      <c r="C1213" s="1" t="s">
        <v>2329</v>
      </c>
      <c r="D1213" s="1" t="s">
        <v>49</v>
      </c>
      <c r="E1213" s="1" t="s">
        <v>138</v>
      </c>
      <c r="F1213" s="1" t="s">
        <v>54</v>
      </c>
      <c r="G1213" s="1" t="s">
        <v>32</v>
      </c>
      <c r="H1213" s="1" t="s">
        <v>115</v>
      </c>
      <c r="I1213" s="1">
        <v>2</v>
      </c>
      <c r="J1213" s="1">
        <v>17.350000000000001</v>
      </c>
      <c r="K1213" s="1">
        <v>0</v>
      </c>
      <c r="L1213" s="1">
        <v>34.700000000000003</v>
      </c>
      <c r="M1213" s="1">
        <v>14.15</v>
      </c>
      <c r="N1213" s="1">
        <v>4.9400000000000004</v>
      </c>
      <c r="O1213" s="6" t="s">
        <v>39</v>
      </c>
      <c r="P1213" s="8">
        <f>Table1[Quantity]*Table1[Unit_Price]</f>
        <v>34.700000000000003</v>
      </c>
      <c r="Q1213" s="1">
        <f>Table1[Profit]/Table1[Total_Sales]</f>
        <v>0.14236311239193083</v>
      </c>
      <c r="R1213" s="14">
        <f>Table1[Total_Sales]+Table1[Shipping_Cost]</f>
        <v>48.85</v>
      </c>
    </row>
    <row r="1214" spans="1:18" x14ac:dyDescent="0.35">
      <c r="A1214" s="3" t="s">
        <v>2330</v>
      </c>
      <c r="B1214" s="2">
        <v>45597</v>
      </c>
      <c r="C1214" s="1" t="s">
        <v>2331</v>
      </c>
      <c r="D1214" s="1" t="s">
        <v>30</v>
      </c>
      <c r="E1214" s="1" t="s">
        <v>76</v>
      </c>
      <c r="F1214" s="1" t="s">
        <v>26</v>
      </c>
      <c r="G1214" s="1" t="s">
        <v>32</v>
      </c>
      <c r="H1214" s="1" t="s">
        <v>348</v>
      </c>
      <c r="I1214" s="1">
        <v>2</v>
      </c>
      <c r="J1214" s="1">
        <v>8.2899999999999991</v>
      </c>
      <c r="K1214" s="1">
        <v>0</v>
      </c>
      <c r="L1214" s="1">
        <v>16.579999999999998</v>
      </c>
      <c r="M1214" s="1">
        <v>8.77</v>
      </c>
      <c r="N1214" s="1">
        <v>0.35</v>
      </c>
      <c r="O1214" s="6" t="s">
        <v>39</v>
      </c>
      <c r="P1214" s="8">
        <f>Table1[Quantity]*Table1[Unit_Price]</f>
        <v>16.579999999999998</v>
      </c>
      <c r="Q1214" s="1">
        <f>Table1[Profit]/Table1[Total_Sales]</f>
        <v>2.1109770808202654E-2</v>
      </c>
      <c r="R1214" s="14">
        <f>Table1[Total_Sales]+Table1[Shipping_Cost]</f>
        <v>25.349999999999998</v>
      </c>
    </row>
    <row r="1215" spans="1:18" x14ac:dyDescent="0.35">
      <c r="A1215" s="3" t="s">
        <v>2332</v>
      </c>
      <c r="B1215" s="2">
        <v>45598</v>
      </c>
      <c r="C1215" s="1" t="s">
        <v>1084</v>
      </c>
      <c r="D1215" s="1" t="s">
        <v>30</v>
      </c>
      <c r="E1215" s="1" t="s">
        <v>166</v>
      </c>
      <c r="F1215" s="1" t="s">
        <v>60</v>
      </c>
      <c r="G1215" s="1" t="s">
        <v>42</v>
      </c>
      <c r="H1215" s="1" t="s">
        <v>118</v>
      </c>
      <c r="I1215" s="1">
        <v>5</v>
      </c>
      <c r="J1215" s="1">
        <v>83.62</v>
      </c>
      <c r="K1215" s="1">
        <v>5</v>
      </c>
      <c r="L1215" s="1">
        <v>397.19</v>
      </c>
      <c r="M1215" s="1">
        <v>12.72</v>
      </c>
      <c r="N1215" s="1">
        <v>133.61000000000001</v>
      </c>
      <c r="O1215" s="6" t="s">
        <v>39</v>
      </c>
      <c r="P1215" s="8">
        <f>Table1[Quantity]*Table1[Unit_Price]</f>
        <v>418.1</v>
      </c>
      <c r="Q1215" s="1">
        <f>Table1[Profit]/Table1[Total_Sales]</f>
        <v>0.33638812658928979</v>
      </c>
      <c r="R1215" s="14">
        <f>Table1[Total_Sales]+Table1[Shipping_Cost]</f>
        <v>409.91</v>
      </c>
    </row>
    <row r="1216" spans="1:18" x14ac:dyDescent="0.35">
      <c r="A1216" s="3" t="s">
        <v>2333</v>
      </c>
      <c r="B1216" s="2">
        <v>45598</v>
      </c>
      <c r="C1216" s="1" t="s">
        <v>2320</v>
      </c>
      <c r="D1216" s="1" t="s">
        <v>30</v>
      </c>
      <c r="E1216" s="1" t="s">
        <v>248</v>
      </c>
      <c r="F1216" s="1" t="s">
        <v>26</v>
      </c>
      <c r="G1216" s="1" t="s">
        <v>20</v>
      </c>
      <c r="H1216" s="1" t="s">
        <v>27</v>
      </c>
      <c r="I1216" s="1">
        <v>2</v>
      </c>
      <c r="J1216" s="1">
        <v>144.76</v>
      </c>
      <c r="K1216" s="1">
        <v>15</v>
      </c>
      <c r="L1216" s="1">
        <v>246.09</v>
      </c>
      <c r="M1216" s="1">
        <v>11.27</v>
      </c>
      <c r="N1216" s="1">
        <v>75.58</v>
      </c>
      <c r="O1216" s="6" t="s">
        <v>39</v>
      </c>
      <c r="P1216" s="8">
        <f>Table1[Quantity]*Table1[Unit_Price]</f>
        <v>289.52</v>
      </c>
      <c r="Q1216" s="1">
        <f>Table1[Profit]/Table1[Total_Sales]</f>
        <v>0.30712341013450362</v>
      </c>
      <c r="R1216" s="14">
        <f>Table1[Total_Sales]+Table1[Shipping_Cost]</f>
        <v>257.36</v>
      </c>
    </row>
    <row r="1217" spans="1:18" x14ac:dyDescent="0.35">
      <c r="A1217" s="3" t="s">
        <v>2334</v>
      </c>
      <c r="B1217" s="2">
        <v>45601</v>
      </c>
      <c r="C1217" s="1" t="s">
        <v>2335</v>
      </c>
      <c r="D1217" s="1" t="s">
        <v>30</v>
      </c>
      <c r="E1217" s="1" t="s">
        <v>129</v>
      </c>
      <c r="F1217" s="1" t="s">
        <v>19</v>
      </c>
      <c r="G1217" s="1" t="s">
        <v>42</v>
      </c>
      <c r="H1217" s="1" t="s">
        <v>46</v>
      </c>
      <c r="I1217" s="1">
        <v>1</v>
      </c>
      <c r="J1217" s="1">
        <v>88.95</v>
      </c>
      <c r="K1217" s="1">
        <v>5</v>
      </c>
      <c r="L1217" s="1">
        <v>84.5</v>
      </c>
      <c r="M1217" s="1">
        <v>7.1</v>
      </c>
      <c r="N1217" s="1">
        <v>24.03</v>
      </c>
      <c r="O1217" s="6" t="s">
        <v>22</v>
      </c>
      <c r="P1217" s="8">
        <f>Table1[Quantity]*Table1[Unit_Price]</f>
        <v>88.95</v>
      </c>
      <c r="Q1217" s="1">
        <f>Table1[Profit]/Table1[Total_Sales]</f>
        <v>0.28437869822485207</v>
      </c>
      <c r="R1217" s="14">
        <f>Table1[Total_Sales]+Table1[Shipping_Cost]</f>
        <v>91.6</v>
      </c>
    </row>
    <row r="1218" spans="1:18" x14ac:dyDescent="0.35">
      <c r="A1218" s="3" t="s">
        <v>2336</v>
      </c>
      <c r="B1218" s="2">
        <v>45601</v>
      </c>
      <c r="C1218" s="1" t="s">
        <v>2337</v>
      </c>
      <c r="D1218" s="1" t="s">
        <v>30</v>
      </c>
      <c r="E1218" s="1" t="s">
        <v>166</v>
      </c>
      <c r="F1218" s="1" t="s">
        <v>60</v>
      </c>
      <c r="G1218" s="1" t="s">
        <v>42</v>
      </c>
      <c r="H1218" s="1" t="s">
        <v>118</v>
      </c>
      <c r="I1218" s="1">
        <v>1</v>
      </c>
      <c r="J1218" s="1">
        <v>44.69</v>
      </c>
      <c r="K1218" s="1">
        <v>0</v>
      </c>
      <c r="L1218" s="1">
        <v>44.69</v>
      </c>
      <c r="M1218" s="1">
        <v>10.64</v>
      </c>
      <c r="N1218" s="1">
        <v>7.24</v>
      </c>
      <c r="O1218" s="6" t="s">
        <v>22</v>
      </c>
      <c r="P1218" s="8">
        <f>Table1[Quantity]*Table1[Unit_Price]</f>
        <v>44.69</v>
      </c>
      <c r="Q1218" s="1">
        <f>Table1[Profit]/Table1[Total_Sales]</f>
        <v>0.16200492280152159</v>
      </c>
      <c r="R1218" s="14">
        <f>Table1[Total_Sales]+Table1[Shipping_Cost]</f>
        <v>55.33</v>
      </c>
    </row>
    <row r="1219" spans="1:18" x14ac:dyDescent="0.35">
      <c r="A1219" s="3" t="s">
        <v>2338</v>
      </c>
      <c r="B1219" s="2">
        <v>45601</v>
      </c>
      <c r="C1219" s="1" t="s">
        <v>946</v>
      </c>
      <c r="D1219" s="1" t="s">
        <v>49</v>
      </c>
      <c r="E1219" s="1" t="s">
        <v>85</v>
      </c>
      <c r="F1219" s="1" t="s">
        <v>60</v>
      </c>
      <c r="G1219" s="1" t="s">
        <v>69</v>
      </c>
      <c r="H1219" s="1" t="s">
        <v>79</v>
      </c>
      <c r="I1219" s="1">
        <v>2</v>
      </c>
      <c r="J1219" s="1">
        <v>106.07</v>
      </c>
      <c r="K1219" s="1">
        <v>10</v>
      </c>
      <c r="L1219" s="1">
        <v>190.93</v>
      </c>
      <c r="M1219" s="1">
        <v>12.94</v>
      </c>
      <c r="N1219" s="1">
        <v>71.92</v>
      </c>
      <c r="O1219" s="6" t="s">
        <v>22</v>
      </c>
      <c r="P1219" s="8">
        <f>Table1[Quantity]*Table1[Unit_Price]</f>
        <v>212.14</v>
      </c>
      <c r="Q1219" s="1">
        <f>Table1[Profit]/Table1[Total_Sales]</f>
        <v>0.3766825538155345</v>
      </c>
      <c r="R1219" s="14">
        <f>Table1[Total_Sales]+Table1[Shipping_Cost]</f>
        <v>203.87</v>
      </c>
    </row>
    <row r="1220" spans="1:18" x14ac:dyDescent="0.35">
      <c r="A1220" s="3" t="s">
        <v>2339</v>
      </c>
      <c r="B1220" s="2">
        <v>45601</v>
      </c>
      <c r="C1220" s="1" t="s">
        <v>2340</v>
      </c>
      <c r="D1220" s="1" t="s">
        <v>17</v>
      </c>
      <c r="E1220" s="1" t="s">
        <v>76</v>
      </c>
      <c r="F1220" s="1" t="s">
        <v>26</v>
      </c>
      <c r="G1220" s="1" t="s">
        <v>42</v>
      </c>
      <c r="H1220" s="1" t="s">
        <v>234</v>
      </c>
      <c r="I1220" s="1">
        <v>3</v>
      </c>
      <c r="J1220" s="1">
        <v>55.43</v>
      </c>
      <c r="K1220" s="1">
        <v>15</v>
      </c>
      <c r="L1220" s="1">
        <v>141.35</v>
      </c>
      <c r="M1220" s="1">
        <v>13.74</v>
      </c>
      <c r="N1220" s="1">
        <v>27.84</v>
      </c>
      <c r="O1220" s="6" t="s">
        <v>22</v>
      </c>
      <c r="P1220" s="8">
        <f>Table1[Quantity]*Table1[Unit_Price]</f>
        <v>166.29</v>
      </c>
      <c r="Q1220" s="1">
        <f>Table1[Profit]/Table1[Total_Sales]</f>
        <v>0.19695790590732226</v>
      </c>
      <c r="R1220" s="14">
        <f>Table1[Total_Sales]+Table1[Shipping_Cost]</f>
        <v>155.09</v>
      </c>
    </row>
    <row r="1221" spans="1:18" x14ac:dyDescent="0.35">
      <c r="A1221" s="3" t="s">
        <v>2341</v>
      </c>
      <c r="B1221" s="2">
        <v>45601</v>
      </c>
      <c r="C1221" s="1" t="s">
        <v>2342</v>
      </c>
      <c r="D1221" s="1" t="s">
        <v>49</v>
      </c>
      <c r="E1221" s="1" t="s">
        <v>129</v>
      </c>
      <c r="F1221" s="1" t="s">
        <v>19</v>
      </c>
      <c r="G1221" s="1" t="s">
        <v>20</v>
      </c>
      <c r="H1221" s="1" t="s">
        <v>55</v>
      </c>
      <c r="I1221" s="1">
        <v>7</v>
      </c>
      <c r="J1221" s="1">
        <v>58.73</v>
      </c>
      <c r="K1221" s="1">
        <v>0</v>
      </c>
      <c r="L1221" s="1">
        <v>411.11</v>
      </c>
      <c r="M1221" s="1">
        <v>19.170000000000002</v>
      </c>
      <c r="N1221" s="1">
        <v>165.83</v>
      </c>
      <c r="O1221" s="6" t="s">
        <v>56</v>
      </c>
      <c r="P1221" s="8">
        <f>Table1[Quantity]*Table1[Unit_Price]</f>
        <v>411.10999999999996</v>
      </c>
      <c r="Q1221" s="1">
        <f>Table1[Profit]/Table1[Total_Sales]</f>
        <v>0.40337136046313643</v>
      </c>
      <c r="R1221" s="14">
        <f>Table1[Total_Sales]+Table1[Shipping_Cost]</f>
        <v>430.28000000000003</v>
      </c>
    </row>
    <row r="1222" spans="1:18" x14ac:dyDescent="0.35">
      <c r="A1222" s="3" t="s">
        <v>2343</v>
      </c>
      <c r="B1222" s="2">
        <v>45602</v>
      </c>
      <c r="C1222" s="1" t="s">
        <v>2344</v>
      </c>
      <c r="D1222" s="1" t="s">
        <v>30</v>
      </c>
      <c r="E1222" s="1" t="s">
        <v>59</v>
      </c>
      <c r="F1222" s="1" t="s">
        <v>60</v>
      </c>
      <c r="G1222" s="1" t="s">
        <v>42</v>
      </c>
      <c r="H1222" s="1" t="s">
        <v>89</v>
      </c>
      <c r="I1222" s="1">
        <v>9</v>
      </c>
      <c r="J1222" s="1">
        <v>215.11</v>
      </c>
      <c r="K1222" s="1">
        <v>15</v>
      </c>
      <c r="L1222" s="1">
        <v>1645.59</v>
      </c>
      <c r="M1222" s="1">
        <v>23.4</v>
      </c>
      <c r="N1222" s="1">
        <v>460.6</v>
      </c>
      <c r="O1222" s="6" t="s">
        <v>39</v>
      </c>
      <c r="P1222" s="8">
        <f>Table1[Quantity]*Table1[Unit_Price]</f>
        <v>1935.9900000000002</v>
      </c>
      <c r="Q1222" s="1">
        <f>Table1[Profit]/Table1[Total_Sales]</f>
        <v>0.27989961047405493</v>
      </c>
      <c r="R1222" s="14">
        <f>Table1[Total_Sales]+Table1[Shipping_Cost]</f>
        <v>1668.99</v>
      </c>
    </row>
    <row r="1223" spans="1:18" x14ac:dyDescent="0.35">
      <c r="A1223" s="3" t="s">
        <v>2345</v>
      </c>
      <c r="B1223" s="2">
        <v>45603</v>
      </c>
      <c r="C1223" s="1" t="s">
        <v>2346</v>
      </c>
      <c r="D1223" s="1" t="s">
        <v>17</v>
      </c>
      <c r="E1223" s="1" t="s">
        <v>18</v>
      </c>
      <c r="F1223" s="1" t="s">
        <v>19</v>
      </c>
      <c r="G1223" s="1" t="s">
        <v>20</v>
      </c>
      <c r="H1223" s="1" t="s">
        <v>27</v>
      </c>
      <c r="I1223" s="1">
        <v>3</v>
      </c>
      <c r="J1223" s="1">
        <v>86.2</v>
      </c>
      <c r="K1223" s="1">
        <v>10</v>
      </c>
      <c r="L1223" s="1">
        <v>232.74</v>
      </c>
      <c r="M1223" s="1">
        <v>10.84</v>
      </c>
      <c r="N1223" s="1">
        <v>79.67</v>
      </c>
      <c r="O1223" s="6" t="s">
        <v>22</v>
      </c>
      <c r="P1223" s="8">
        <f>Table1[Quantity]*Table1[Unit_Price]</f>
        <v>258.60000000000002</v>
      </c>
      <c r="Q1223" s="1">
        <f>Table1[Profit]/Table1[Total_Sales]</f>
        <v>0.3423133109908052</v>
      </c>
      <c r="R1223" s="14">
        <f>Table1[Total_Sales]+Table1[Shipping_Cost]</f>
        <v>243.58</v>
      </c>
    </row>
    <row r="1224" spans="1:18" x14ac:dyDescent="0.35">
      <c r="A1224" s="3" t="s">
        <v>2347</v>
      </c>
      <c r="B1224" s="2">
        <v>45603</v>
      </c>
      <c r="C1224" s="1" t="s">
        <v>2348</v>
      </c>
      <c r="D1224" s="1" t="s">
        <v>17</v>
      </c>
      <c r="E1224" s="1" t="s">
        <v>135</v>
      </c>
      <c r="F1224" s="1" t="s">
        <v>26</v>
      </c>
      <c r="G1224" s="1" t="s">
        <v>69</v>
      </c>
      <c r="H1224" s="1" t="s">
        <v>243</v>
      </c>
      <c r="I1224" s="1">
        <v>4</v>
      </c>
      <c r="J1224" s="1">
        <v>21.57</v>
      </c>
      <c r="K1224" s="1">
        <v>10</v>
      </c>
      <c r="L1224" s="1">
        <v>77.650000000000006</v>
      </c>
      <c r="M1224" s="1">
        <v>11.54</v>
      </c>
      <c r="N1224" s="1">
        <v>22.97</v>
      </c>
      <c r="O1224" s="6" t="s">
        <v>34</v>
      </c>
      <c r="P1224" s="8">
        <f>Table1[Quantity]*Table1[Unit_Price]</f>
        <v>86.28</v>
      </c>
      <c r="Q1224" s="1">
        <f>Table1[Profit]/Table1[Total_Sales]</f>
        <v>0.29581455247907273</v>
      </c>
      <c r="R1224" s="14">
        <f>Table1[Total_Sales]+Table1[Shipping_Cost]</f>
        <v>89.19</v>
      </c>
    </row>
    <row r="1225" spans="1:18" x14ac:dyDescent="0.35">
      <c r="A1225" s="3" t="s">
        <v>2349</v>
      </c>
      <c r="B1225" s="2">
        <v>45603</v>
      </c>
      <c r="C1225" s="1" t="s">
        <v>2350</v>
      </c>
      <c r="D1225" s="1" t="s">
        <v>30</v>
      </c>
      <c r="E1225" s="1" t="s">
        <v>248</v>
      </c>
      <c r="F1225" s="1" t="s">
        <v>26</v>
      </c>
      <c r="G1225" s="1" t="s">
        <v>32</v>
      </c>
      <c r="H1225" s="1" t="s">
        <v>50</v>
      </c>
      <c r="I1225" s="1">
        <v>5</v>
      </c>
      <c r="J1225" s="1">
        <v>20.84</v>
      </c>
      <c r="K1225" s="1">
        <v>0</v>
      </c>
      <c r="L1225" s="1">
        <v>104.2</v>
      </c>
      <c r="M1225" s="1">
        <v>15.39</v>
      </c>
      <c r="N1225" s="1">
        <v>41.92</v>
      </c>
      <c r="O1225" s="6" t="s">
        <v>39</v>
      </c>
      <c r="P1225" s="8">
        <f>Table1[Quantity]*Table1[Unit_Price]</f>
        <v>104.2</v>
      </c>
      <c r="Q1225" s="1">
        <f>Table1[Profit]/Table1[Total_Sales]</f>
        <v>0.40230326295585411</v>
      </c>
      <c r="R1225" s="14">
        <f>Table1[Total_Sales]+Table1[Shipping_Cost]</f>
        <v>119.59</v>
      </c>
    </row>
    <row r="1226" spans="1:18" x14ac:dyDescent="0.35">
      <c r="A1226" s="3" t="s">
        <v>2351</v>
      </c>
      <c r="B1226" s="2">
        <v>45604</v>
      </c>
      <c r="C1226" s="1" t="s">
        <v>2352</v>
      </c>
      <c r="D1226" s="1" t="s">
        <v>30</v>
      </c>
      <c r="E1226" s="1" t="s">
        <v>18</v>
      </c>
      <c r="F1226" s="1" t="s">
        <v>19</v>
      </c>
      <c r="G1226" s="1" t="s">
        <v>32</v>
      </c>
      <c r="H1226" s="1" t="s">
        <v>348</v>
      </c>
      <c r="I1226" s="1">
        <v>2</v>
      </c>
      <c r="J1226" s="1">
        <v>6.32</v>
      </c>
      <c r="K1226" s="1">
        <v>0</v>
      </c>
      <c r="L1226" s="1">
        <v>12.64</v>
      </c>
      <c r="M1226" s="1">
        <v>8.56</v>
      </c>
      <c r="N1226" s="1">
        <v>-1.61</v>
      </c>
      <c r="O1226" s="6" t="s">
        <v>39</v>
      </c>
      <c r="P1226" s="8">
        <f>Table1[Quantity]*Table1[Unit_Price]</f>
        <v>12.64</v>
      </c>
      <c r="Q1226" s="1">
        <f>Table1[Profit]/Table1[Total_Sales]</f>
        <v>-0.127373417721519</v>
      </c>
      <c r="R1226" s="14">
        <f>Table1[Total_Sales]+Table1[Shipping_Cost]</f>
        <v>21.200000000000003</v>
      </c>
    </row>
    <row r="1227" spans="1:18" x14ac:dyDescent="0.35">
      <c r="A1227" s="3" t="s">
        <v>2353</v>
      </c>
      <c r="B1227" s="2">
        <v>45605</v>
      </c>
      <c r="C1227" s="1" t="s">
        <v>2354</v>
      </c>
      <c r="D1227" s="1" t="s">
        <v>30</v>
      </c>
      <c r="E1227" s="1" t="s">
        <v>67</v>
      </c>
      <c r="F1227" s="1" t="s">
        <v>68</v>
      </c>
      <c r="G1227" s="1" t="s">
        <v>42</v>
      </c>
      <c r="H1227" s="1" t="s">
        <v>234</v>
      </c>
      <c r="I1227" s="1">
        <v>1</v>
      </c>
      <c r="J1227" s="1">
        <v>40.909999999999997</v>
      </c>
      <c r="K1227" s="1">
        <v>20</v>
      </c>
      <c r="L1227" s="1">
        <v>32.729999999999997</v>
      </c>
      <c r="M1227" s="1">
        <v>12</v>
      </c>
      <c r="N1227" s="1">
        <v>-3.82</v>
      </c>
      <c r="O1227" s="6" t="s">
        <v>56</v>
      </c>
      <c r="P1227" s="8">
        <f>Table1[Quantity]*Table1[Unit_Price]</f>
        <v>40.909999999999997</v>
      </c>
      <c r="Q1227" s="1">
        <f>Table1[Profit]/Table1[Total_Sales]</f>
        <v>-0.11671249618087383</v>
      </c>
      <c r="R1227" s="14">
        <f>Table1[Total_Sales]+Table1[Shipping_Cost]</f>
        <v>44.73</v>
      </c>
    </row>
    <row r="1228" spans="1:18" x14ac:dyDescent="0.35">
      <c r="A1228" s="3" t="s">
        <v>2355</v>
      </c>
      <c r="B1228" s="2">
        <v>45605</v>
      </c>
      <c r="C1228" s="1" t="s">
        <v>2356</v>
      </c>
      <c r="D1228" s="1" t="s">
        <v>49</v>
      </c>
      <c r="E1228" s="1" t="s">
        <v>59</v>
      </c>
      <c r="F1228" s="1" t="s">
        <v>60</v>
      </c>
      <c r="G1228" s="1" t="s">
        <v>42</v>
      </c>
      <c r="H1228" s="1" t="s">
        <v>371</v>
      </c>
      <c r="I1228" s="1">
        <v>8</v>
      </c>
      <c r="J1228" s="1">
        <v>171.68</v>
      </c>
      <c r="K1228" s="1">
        <v>10</v>
      </c>
      <c r="L1228" s="1">
        <v>1236.0999999999999</v>
      </c>
      <c r="M1228" s="1">
        <v>16.97</v>
      </c>
      <c r="N1228" s="1">
        <v>395.07</v>
      </c>
      <c r="O1228" s="6" t="s">
        <v>39</v>
      </c>
      <c r="P1228" s="8">
        <f>Table1[Quantity]*Table1[Unit_Price]</f>
        <v>1373.44</v>
      </c>
      <c r="Q1228" s="1">
        <f>Table1[Profit]/Table1[Total_Sales]</f>
        <v>0.31961006391068686</v>
      </c>
      <c r="R1228" s="14">
        <f>Table1[Total_Sales]+Table1[Shipping_Cost]</f>
        <v>1253.07</v>
      </c>
    </row>
    <row r="1229" spans="1:18" x14ac:dyDescent="0.35">
      <c r="A1229" s="3" t="s">
        <v>2357</v>
      </c>
      <c r="B1229" s="2">
        <v>45605</v>
      </c>
      <c r="C1229" s="1" t="s">
        <v>2358</v>
      </c>
      <c r="D1229" s="1" t="s">
        <v>30</v>
      </c>
      <c r="E1229" s="1" t="s">
        <v>121</v>
      </c>
      <c r="F1229" s="1" t="s">
        <v>68</v>
      </c>
      <c r="G1229" s="1" t="s">
        <v>42</v>
      </c>
      <c r="H1229" s="1" t="s">
        <v>294</v>
      </c>
      <c r="I1229" s="1">
        <v>2</v>
      </c>
      <c r="J1229" s="1">
        <v>288.51</v>
      </c>
      <c r="K1229" s="1">
        <v>0</v>
      </c>
      <c r="L1229" s="1">
        <v>577.02</v>
      </c>
      <c r="M1229" s="1">
        <v>13.32</v>
      </c>
      <c r="N1229" s="1">
        <v>217.49</v>
      </c>
      <c r="O1229" s="6" t="s">
        <v>56</v>
      </c>
      <c r="P1229" s="8">
        <f>Table1[Quantity]*Table1[Unit_Price]</f>
        <v>577.02</v>
      </c>
      <c r="Q1229" s="1">
        <f>Table1[Profit]/Table1[Total_Sales]</f>
        <v>0.37691934421683826</v>
      </c>
      <c r="R1229" s="14">
        <f>Table1[Total_Sales]+Table1[Shipping_Cost]</f>
        <v>590.34</v>
      </c>
    </row>
    <row r="1230" spans="1:18" x14ac:dyDescent="0.35">
      <c r="A1230" s="3" t="s">
        <v>2359</v>
      </c>
      <c r="B1230" s="2">
        <v>45605</v>
      </c>
      <c r="C1230" s="1" t="s">
        <v>2360</v>
      </c>
      <c r="D1230" s="1" t="s">
        <v>30</v>
      </c>
      <c r="E1230" s="1" t="s">
        <v>129</v>
      </c>
      <c r="F1230" s="1" t="s">
        <v>19</v>
      </c>
      <c r="G1230" s="1" t="s">
        <v>69</v>
      </c>
      <c r="H1230" s="1" t="s">
        <v>163</v>
      </c>
      <c r="I1230" s="1">
        <v>4</v>
      </c>
      <c r="J1230" s="1">
        <v>57.02</v>
      </c>
      <c r="K1230" s="1">
        <v>10</v>
      </c>
      <c r="L1230" s="1">
        <v>205.27</v>
      </c>
      <c r="M1230" s="1">
        <v>7.42</v>
      </c>
      <c r="N1230" s="1">
        <v>83.81</v>
      </c>
      <c r="O1230" s="6" t="s">
        <v>34</v>
      </c>
      <c r="P1230" s="8">
        <f>Table1[Quantity]*Table1[Unit_Price]</f>
        <v>228.08</v>
      </c>
      <c r="Q1230" s="1">
        <f>Table1[Profit]/Table1[Total_Sales]</f>
        <v>0.40829151848784528</v>
      </c>
      <c r="R1230" s="14">
        <f>Table1[Total_Sales]+Table1[Shipping_Cost]</f>
        <v>212.69</v>
      </c>
    </row>
    <row r="1231" spans="1:18" x14ac:dyDescent="0.35">
      <c r="A1231" s="3" t="s">
        <v>2361</v>
      </c>
      <c r="B1231" s="2">
        <v>45605</v>
      </c>
      <c r="C1231" s="1" t="s">
        <v>2362</v>
      </c>
      <c r="D1231" s="1" t="s">
        <v>30</v>
      </c>
      <c r="E1231" s="1" t="s">
        <v>37</v>
      </c>
      <c r="F1231" s="1" t="s">
        <v>26</v>
      </c>
      <c r="G1231" s="1" t="s">
        <v>69</v>
      </c>
      <c r="H1231" s="1" t="s">
        <v>70</v>
      </c>
      <c r="I1231" s="1">
        <v>3</v>
      </c>
      <c r="J1231" s="1">
        <v>58.15</v>
      </c>
      <c r="K1231" s="1">
        <v>5</v>
      </c>
      <c r="L1231" s="1">
        <v>165.73</v>
      </c>
      <c r="M1231" s="1">
        <v>14.36</v>
      </c>
      <c r="N1231" s="1">
        <v>64.14</v>
      </c>
      <c r="O1231" s="6" t="s">
        <v>39</v>
      </c>
      <c r="P1231" s="8">
        <f>Table1[Quantity]*Table1[Unit_Price]</f>
        <v>174.45</v>
      </c>
      <c r="Q1231" s="1">
        <f>Table1[Profit]/Table1[Total_Sales]</f>
        <v>0.38701502443733787</v>
      </c>
      <c r="R1231" s="14">
        <f>Table1[Total_Sales]+Table1[Shipping_Cost]</f>
        <v>180.08999999999997</v>
      </c>
    </row>
    <row r="1232" spans="1:18" x14ac:dyDescent="0.35">
      <c r="A1232" s="3" t="s">
        <v>2363</v>
      </c>
      <c r="B1232" s="2">
        <v>45605</v>
      </c>
      <c r="C1232" s="1" t="s">
        <v>2364</v>
      </c>
      <c r="D1232" s="1" t="s">
        <v>30</v>
      </c>
      <c r="E1232" s="1" t="s">
        <v>85</v>
      </c>
      <c r="F1232" s="1" t="s">
        <v>60</v>
      </c>
      <c r="G1232" s="1" t="s">
        <v>32</v>
      </c>
      <c r="H1232" s="1" t="s">
        <v>73</v>
      </c>
      <c r="I1232" s="1">
        <v>14</v>
      </c>
      <c r="J1232" s="1">
        <v>7.5</v>
      </c>
      <c r="K1232" s="1">
        <v>0</v>
      </c>
      <c r="L1232" s="1">
        <v>105</v>
      </c>
      <c r="M1232" s="1">
        <v>20.9</v>
      </c>
      <c r="N1232" s="1">
        <v>36.85</v>
      </c>
      <c r="O1232" s="6" t="s">
        <v>34</v>
      </c>
      <c r="P1232" s="8">
        <f>Table1[Quantity]*Table1[Unit_Price]</f>
        <v>105</v>
      </c>
      <c r="Q1232" s="1">
        <f>Table1[Profit]/Table1[Total_Sales]</f>
        <v>0.35095238095238096</v>
      </c>
      <c r="R1232" s="14">
        <f>Table1[Total_Sales]+Table1[Shipping_Cost]</f>
        <v>125.9</v>
      </c>
    </row>
    <row r="1233" spans="1:18" x14ac:dyDescent="0.35">
      <c r="A1233" s="3" t="s">
        <v>2365</v>
      </c>
      <c r="B1233" s="2">
        <v>45606</v>
      </c>
      <c r="C1233" s="1" t="s">
        <v>2366</v>
      </c>
      <c r="D1233" s="1" t="s">
        <v>49</v>
      </c>
      <c r="E1233" s="1" t="s">
        <v>31</v>
      </c>
      <c r="F1233" s="1" t="s">
        <v>19</v>
      </c>
      <c r="G1233" s="1" t="s">
        <v>20</v>
      </c>
      <c r="H1233" s="1" t="s">
        <v>38</v>
      </c>
      <c r="I1233" s="1">
        <v>2</v>
      </c>
      <c r="J1233" s="1">
        <v>56.22</v>
      </c>
      <c r="K1233" s="1">
        <v>5</v>
      </c>
      <c r="L1233" s="1">
        <v>106.82</v>
      </c>
      <c r="M1233" s="1">
        <v>9.83</v>
      </c>
      <c r="N1233" s="1">
        <v>35.15</v>
      </c>
      <c r="O1233" s="6" t="s">
        <v>34</v>
      </c>
      <c r="P1233" s="8">
        <f>Table1[Quantity]*Table1[Unit_Price]</f>
        <v>112.44</v>
      </c>
      <c r="Q1233" s="1">
        <f>Table1[Profit]/Table1[Total_Sales]</f>
        <v>0.32905822879610558</v>
      </c>
      <c r="R1233" s="14">
        <f>Table1[Total_Sales]+Table1[Shipping_Cost]</f>
        <v>116.64999999999999</v>
      </c>
    </row>
    <row r="1234" spans="1:18" x14ac:dyDescent="0.35">
      <c r="A1234" s="3" t="s">
        <v>2367</v>
      </c>
      <c r="B1234" s="2">
        <v>45609</v>
      </c>
      <c r="C1234" s="1" t="s">
        <v>2368</v>
      </c>
      <c r="D1234" s="1" t="s">
        <v>17</v>
      </c>
      <c r="E1234" s="1" t="s">
        <v>85</v>
      </c>
      <c r="F1234" s="1" t="s">
        <v>60</v>
      </c>
      <c r="G1234" s="1" t="s">
        <v>42</v>
      </c>
      <c r="H1234" s="1" t="s">
        <v>93</v>
      </c>
      <c r="I1234" s="1">
        <v>5</v>
      </c>
      <c r="J1234" s="1">
        <v>186.09</v>
      </c>
      <c r="K1234" s="1">
        <v>15</v>
      </c>
      <c r="L1234" s="1">
        <v>790.88</v>
      </c>
      <c r="M1234" s="1">
        <v>11.72</v>
      </c>
      <c r="N1234" s="1">
        <v>220.89</v>
      </c>
      <c r="O1234" s="6" t="s">
        <v>56</v>
      </c>
      <c r="P1234" s="8">
        <f>Table1[Quantity]*Table1[Unit_Price]</f>
        <v>930.45</v>
      </c>
      <c r="Q1234" s="1">
        <f>Table1[Profit]/Table1[Total_Sales]</f>
        <v>0.27929647987052397</v>
      </c>
      <c r="R1234" s="14">
        <f>Table1[Total_Sales]+Table1[Shipping_Cost]</f>
        <v>802.6</v>
      </c>
    </row>
    <row r="1235" spans="1:18" x14ac:dyDescent="0.35">
      <c r="A1235" s="3" t="s">
        <v>2369</v>
      </c>
      <c r="B1235" s="2">
        <v>45609</v>
      </c>
      <c r="C1235" s="1" t="s">
        <v>2370</v>
      </c>
      <c r="D1235" s="1" t="s">
        <v>30</v>
      </c>
      <c r="E1235" s="1" t="s">
        <v>135</v>
      </c>
      <c r="F1235" s="1" t="s">
        <v>26</v>
      </c>
      <c r="G1235" s="1" t="s">
        <v>20</v>
      </c>
      <c r="H1235" s="1" t="s">
        <v>106</v>
      </c>
      <c r="I1235" s="1">
        <v>1</v>
      </c>
      <c r="J1235" s="1">
        <v>57.7</v>
      </c>
      <c r="K1235" s="1">
        <v>0</v>
      </c>
      <c r="L1235" s="1">
        <v>57.7</v>
      </c>
      <c r="M1235" s="1">
        <v>7.94</v>
      </c>
      <c r="N1235" s="1">
        <v>18.02</v>
      </c>
      <c r="O1235" s="6" t="s">
        <v>39</v>
      </c>
      <c r="P1235" s="8">
        <f>Table1[Quantity]*Table1[Unit_Price]</f>
        <v>57.7</v>
      </c>
      <c r="Q1235" s="1">
        <f>Table1[Profit]/Table1[Total_Sales]</f>
        <v>0.31230502599653376</v>
      </c>
      <c r="R1235" s="14">
        <f>Table1[Total_Sales]+Table1[Shipping_Cost]</f>
        <v>65.64</v>
      </c>
    </row>
    <row r="1236" spans="1:18" x14ac:dyDescent="0.35">
      <c r="A1236" s="3" t="s">
        <v>2371</v>
      </c>
      <c r="B1236" s="2">
        <v>45610</v>
      </c>
      <c r="C1236" s="1" t="s">
        <v>2230</v>
      </c>
      <c r="D1236" s="1" t="s">
        <v>49</v>
      </c>
      <c r="E1236" s="1" t="s">
        <v>18</v>
      </c>
      <c r="F1236" s="1" t="s">
        <v>19</v>
      </c>
      <c r="G1236" s="1" t="s">
        <v>20</v>
      </c>
      <c r="H1236" s="1" t="s">
        <v>55</v>
      </c>
      <c r="I1236" s="1">
        <v>4</v>
      </c>
      <c r="J1236" s="1">
        <v>74.260000000000005</v>
      </c>
      <c r="K1236" s="1">
        <v>0</v>
      </c>
      <c r="L1236" s="1">
        <v>297.04000000000002</v>
      </c>
      <c r="M1236" s="1">
        <v>11.24</v>
      </c>
      <c r="N1236" s="1">
        <v>122.43</v>
      </c>
      <c r="O1236" s="6" t="s">
        <v>39</v>
      </c>
      <c r="P1236" s="8">
        <f>Table1[Quantity]*Table1[Unit_Price]</f>
        <v>297.04000000000002</v>
      </c>
      <c r="Q1236" s="1">
        <f>Table1[Profit]/Table1[Total_Sales]</f>
        <v>0.41216671155399948</v>
      </c>
      <c r="R1236" s="14">
        <f>Table1[Total_Sales]+Table1[Shipping_Cost]</f>
        <v>308.28000000000003</v>
      </c>
    </row>
    <row r="1237" spans="1:18" x14ac:dyDescent="0.35">
      <c r="A1237" s="3" t="s">
        <v>2372</v>
      </c>
      <c r="B1237" s="2">
        <v>45611</v>
      </c>
      <c r="C1237" s="1" t="s">
        <v>2373</v>
      </c>
      <c r="D1237" s="1" t="s">
        <v>49</v>
      </c>
      <c r="E1237" s="1" t="s">
        <v>248</v>
      </c>
      <c r="F1237" s="1" t="s">
        <v>26</v>
      </c>
      <c r="G1237" s="1" t="s">
        <v>20</v>
      </c>
      <c r="H1237" s="1" t="s">
        <v>264</v>
      </c>
      <c r="I1237" s="1">
        <v>4</v>
      </c>
      <c r="J1237" s="1">
        <v>66.349999999999994</v>
      </c>
      <c r="K1237" s="1">
        <v>5</v>
      </c>
      <c r="L1237" s="1">
        <v>252.13</v>
      </c>
      <c r="M1237" s="1">
        <v>12.59</v>
      </c>
      <c r="N1237" s="1">
        <v>93.57</v>
      </c>
      <c r="O1237" s="6" t="s">
        <v>34</v>
      </c>
      <c r="P1237" s="8">
        <f>Table1[Quantity]*Table1[Unit_Price]</f>
        <v>265.39999999999998</v>
      </c>
      <c r="Q1237" s="1">
        <f>Table1[Profit]/Table1[Total_Sales]</f>
        <v>0.37111807400943958</v>
      </c>
      <c r="R1237" s="14">
        <f>Table1[Total_Sales]+Table1[Shipping_Cost]</f>
        <v>264.71999999999997</v>
      </c>
    </row>
    <row r="1238" spans="1:18" x14ac:dyDescent="0.35">
      <c r="A1238" s="3" t="s">
        <v>2374</v>
      </c>
      <c r="B1238" s="2">
        <v>45612</v>
      </c>
      <c r="C1238" s="1" t="s">
        <v>2375</v>
      </c>
      <c r="D1238" s="1" t="s">
        <v>30</v>
      </c>
      <c r="E1238" s="1" t="s">
        <v>18</v>
      </c>
      <c r="F1238" s="1" t="s">
        <v>19</v>
      </c>
      <c r="G1238" s="1" t="s">
        <v>69</v>
      </c>
      <c r="H1238" s="1" t="s">
        <v>86</v>
      </c>
      <c r="I1238" s="1">
        <v>1</v>
      </c>
      <c r="J1238" s="1">
        <v>45.27</v>
      </c>
      <c r="K1238" s="1">
        <v>5</v>
      </c>
      <c r="L1238" s="1">
        <v>43.01</v>
      </c>
      <c r="M1238" s="1">
        <v>6.72</v>
      </c>
      <c r="N1238" s="1">
        <v>13.65</v>
      </c>
      <c r="O1238" s="6" t="s">
        <v>34</v>
      </c>
      <c r="P1238" s="8">
        <f>Table1[Quantity]*Table1[Unit_Price]</f>
        <v>45.27</v>
      </c>
      <c r="Q1238" s="1">
        <f>Table1[Profit]/Table1[Total_Sales]</f>
        <v>0.31736805394094397</v>
      </c>
      <c r="R1238" s="14">
        <f>Table1[Total_Sales]+Table1[Shipping_Cost]</f>
        <v>49.73</v>
      </c>
    </row>
    <row r="1239" spans="1:18" x14ac:dyDescent="0.35">
      <c r="A1239" s="3" t="s">
        <v>2376</v>
      </c>
      <c r="B1239" s="2">
        <v>45612</v>
      </c>
      <c r="C1239" s="1" t="s">
        <v>1993</v>
      </c>
      <c r="D1239" s="1" t="s">
        <v>17</v>
      </c>
      <c r="E1239" s="1" t="s">
        <v>31</v>
      </c>
      <c r="F1239" s="1" t="s">
        <v>19</v>
      </c>
      <c r="G1239" s="1" t="s">
        <v>32</v>
      </c>
      <c r="H1239" s="1" t="s">
        <v>110</v>
      </c>
      <c r="I1239" s="1">
        <v>2</v>
      </c>
      <c r="J1239" s="1">
        <v>6.86</v>
      </c>
      <c r="K1239" s="1">
        <v>0</v>
      </c>
      <c r="L1239" s="1">
        <v>13.72</v>
      </c>
      <c r="M1239" s="1">
        <v>8.1</v>
      </c>
      <c r="N1239" s="1">
        <v>-0.55000000000000004</v>
      </c>
      <c r="O1239" s="6" t="s">
        <v>56</v>
      </c>
      <c r="P1239" s="8">
        <f>Table1[Quantity]*Table1[Unit_Price]</f>
        <v>13.72</v>
      </c>
      <c r="Q1239" s="1">
        <f>Table1[Profit]/Table1[Total_Sales]</f>
        <v>-4.0087463556851312E-2</v>
      </c>
      <c r="R1239" s="14">
        <f>Table1[Total_Sales]+Table1[Shipping_Cost]</f>
        <v>21.82</v>
      </c>
    </row>
    <row r="1240" spans="1:18" x14ac:dyDescent="0.35">
      <c r="A1240" s="3" t="s">
        <v>2377</v>
      </c>
      <c r="B1240" s="2">
        <v>45613</v>
      </c>
      <c r="C1240" s="1" t="s">
        <v>2378</v>
      </c>
      <c r="D1240" s="1" t="s">
        <v>30</v>
      </c>
      <c r="E1240" s="1" t="s">
        <v>85</v>
      </c>
      <c r="F1240" s="1" t="s">
        <v>60</v>
      </c>
      <c r="G1240" s="1" t="s">
        <v>20</v>
      </c>
      <c r="H1240" s="1" t="s">
        <v>199</v>
      </c>
      <c r="I1240" s="1">
        <v>7</v>
      </c>
      <c r="J1240" s="1">
        <v>123.89</v>
      </c>
      <c r="K1240" s="1">
        <v>0</v>
      </c>
      <c r="L1240" s="1">
        <v>867.23</v>
      </c>
      <c r="M1240" s="1">
        <v>19.559999999999999</v>
      </c>
      <c r="N1240" s="1">
        <v>370.69</v>
      </c>
      <c r="O1240" s="6" t="s">
        <v>34</v>
      </c>
      <c r="P1240" s="8">
        <f>Table1[Quantity]*Table1[Unit_Price]</f>
        <v>867.23</v>
      </c>
      <c r="Q1240" s="1">
        <f>Table1[Profit]/Table1[Total_Sales]</f>
        <v>0.42744139386321967</v>
      </c>
      <c r="R1240" s="14">
        <f>Table1[Total_Sales]+Table1[Shipping_Cost]</f>
        <v>886.79</v>
      </c>
    </row>
    <row r="1241" spans="1:18" x14ac:dyDescent="0.35">
      <c r="A1241" s="3" t="s">
        <v>2379</v>
      </c>
      <c r="B1241" s="2">
        <v>45613</v>
      </c>
      <c r="C1241" s="1" t="s">
        <v>2380</v>
      </c>
      <c r="D1241" s="1" t="s">
        <v>30</v>
      </c>
      <c r="E1241" s="1" t="s">
        <v>248</v>
      </c>
      <c r="F1241" s="1" t="s">
        <v>26</v>
      </c>
      <c r="G1241" s="1" t="s">
        <v>32</v>
      </c>
      <c r="H1241" s="1" t="s">
        <v>132</v>
      </c>
      <c r="I1241" s="1">
        <v>1</v>
      </c>
      <c r="J1241" s="1">
        <v>15.77</v>
      </c>
      <c r="K1241" s="1">
        <v>10</v>
      </c>
      <c r="L1241" s="1">
        <v>14.19</v>
      </c>
      <c r="M1241" s="1">
        <v>8.7799999999999994</v>
      </c>
      <c r="N1241" s="1">
        <v>-1.69</v>
      </c>
      <c r="O1241" s="6" t="s">
        <v>39</v>
      </c>
      <c r="P1241" s="8">
        <f>Table1[Quantity]*Table1[Unit_Price]</f>
        <v>15.77</v>
      </c>
      <c r="Q1241" s="1">
        <f>Table1[Profit]/Table1[Total_Sales]</f>
        <v>-0.11909795630725864</v>
      </c>
      <c r="R1241" s="14">
        <f>Table1[Total_Sales]+Table1[Shipping_Cost]</f>
        <v>22.97</v>
      </c>
    </row>
    <row r="1242" spans="1:18" x14ac:dyDescent="0.35">
      <c r="A1242" s="3" t="s">
        <v>2381</v>
      </c>
      <c r="B1242" s="2">
        <v>45613</v>
      </c>
      <c r="C1242" s="1" t="s">
        <v>2382</v>
      </c>
      <c r="D1242" s="1" t="s">
        <v>17</v>
      </c>
      <c r="E1242" s="1" t="s">
        <v>18</v>
      </c>
      <c r="F1242" s="1" t="s">
        <v>19</v>
      </c>
      <c r="G1242" s="1" t="s">
        <v>32</v>
      </c>
      <c r="H1242" s="1" t="s">
        <v>115</v>
      </c>
      <c r="I1242" s="1">
        <v>1</v>
      </c>
      <c r="J1242" s="1">
        <v>8.27</v>
      </c>
      <c r="K1242" s="1">
        <v>15</v>
      </c>
      <c r="L1242" s="1">
        <v>7.03</v>
      </c>
      <c r="M1242" s="1">
        <v>5.6</v>
      </c>
      <c r="N1242" s="1">
        <v>-2.29</v>
      </c>
      <c r="O1242" s="6" t="s">
        <v>34</v>
      </c>
      <c r="P1242" s="8">
        <f>Table1[Quantity]*Table1[Unit_Price]</f>
        <v>8.27</v>
      </c>
      <c r="Q1242" s="1">
        <f>Table1[Profit]/Table1[Total_Sales]</f>
        <v>-0.32574679943100993</v>
      </c>
      <c r="R1242" s="14">
        <f>Table1[Total_Sales]+Table1[Shipping_Cost]</f>
        <v>12.629999999999999</v>
      </c>
    </row>
    <row r="1243" spans="1:18" x14ac:dyDescent="0.35">
      <c r="A1243" s="3" t="s">
        <v>2383</v>
      </c>
      <c r="B1243" s="2">
        <v>45613</v>
      </c>
      <c r="C1243" s="1" t="s">
        <v>2384</v>
      </c>
      <c r="D1243" s="1" t="s">
        <v>30</v>
      </c>
      <c r="E1243" s="1" t="s">
        <v>248</v>
      </c>
      <c r="F1243" s="1" t="s">
        <v>26</v>
      </c>
      <c r="G1243" s="1" t="s">
        <v>69</v>
      </c>
      <c r="H1243" s="1" t="s">
        <v>98</v>
      </c>
      <c r="I1243" s="1">
        <v>11</v>
      </c>
      <c r="J1243" s="1">
        <v>36.18</v>
      </c>
      <c r="K1243" s="1">
        <v>10</v>
      </c>
      <c r="L1243" s="1">
        <v>358.18</v>
      </c>
      <c r="M1243" s="1">
        <v>16.03</v>
      </c>
      <c r="N1243" s="1">
        <v>143.16</v>
      </c>
      <c r="O1243" s="6" t="s">
        <v>34</v>
      </c>
      <c r="P1243" s="8">
        <f>Table1[Quantity]*Table1[Unit_Price]</f>
        <v>397.98</v>
      </c>
      <c r="Q1243" s="1">
        <f>Table1[Profit]/Table1[Total_Sales]</f>
        <v>0.39968730805740127</v>
      </c>
      <c r="R1243" s="14">
        <f>Table1[Total_Sales]+Table1[Shipping_Cost]</f>
        <v>374.21000000000004</v>
      </c>
    </row>
    <row r="1244" spans="1:18" x14ac:dyDescent="0.35">
      <c r="A1244" s="3" t="s">
        <v>2385</v>
      </c>
      <c r="B1244" s="2">
        <v>45613</v>
      </c>
      <c r="C1244" s="1" t="s">
        <v>2386</v>
      </c>
      <c r="D1244" s="1" t="s">
        <v>30</v>
      </c>
      <c r="E1244" s="1" t="s">
        <v>92</v>
      </c>
      <c r="F1244" s="1" t="s">
        <v>60</v>
      </c>
      <c r="G1244" s="1" t="s">
        <v>32</v>
      </c>
      <c r="H1244" s="1" t="s">
        <v>149</v>
      </c>
      <c r="I1244" s="1">
        <v>3</v>
      </c>
      <c r="J1244" s="1">
        <v>13.86</v>
      </c>
      <c r="K1244" s="1">
        <v>0</v>
      </c>
      <c r="L1244" s="1">
        <v>41.58</v>
      </c>
      <c r="M1244" s="1">
        <v>13.05</v>
      </c>
      <c r="N1244" s="1">
        <v>9.82</v>
      </c>
      <c r="O1244" s="6" t="s">
        <v>39</v>
      </c>
      <c r="P1244" s="8">
        <f>Table1[Quantity]*Table1[Unit_Price]</f>
        <v>41.58</v>
      </c>
      <c r="Q1244" s="1">
        <f>Table1[Profit]/Table1[Total_Sales]</f>
        <v>0.2361712361712362</v>
      </c>
      <c r="R1244" s="14">
        <f>Table1[Total_Sales]+Table1[Shipping_Cost]</f>
        <v>54.629999999999995</v>
      </c>
    </row>
    <row r="1245" spans="1:18" x14ac:dyDescent="0.35">
      <c r="A1245" s="3" t="s">
        <v>2387</v>
      </c>
      <c r="B1245" s="2">
        <v>45614</v>
      </c>
      <c r="C1245" s="1" t="s">
        <v>2388</v>
      </c>
      <c r="D1245" s="1" t="s">
        <v>49</v>
      </c>
      <c r="E1245" s="1" t="s">
        <v>18</v>
      </c>
      <c r="F1245" s="1" t="s">
        <v>19</v>
      </c>
      <c r="G1245" s="1" t="s">
        <v>42</v>
      </c>
      <c r="H1245" s="1" t="s">
        <v>234</v>
      </c>
      <c r="I1245" s="1">
        <v>4</v>
      </c>
      <c r="J1245" s="1">
        <v>36.53</v>
      </c>
      <c r="K1245" s="1">
        <v>5</v>
      </c>
      <c r="L1245" s="1">
        <v>138.81</v>
      </c>
      <c r="M1245" s="1">
        <v>13.3</v>
      </c>
      <c r="N1245" s="1">
        <v>37.840000000000003</v>
      </c>
      <c r="O1245" s="6" t="s">
        <v>56</v>
      </c>
      <c r="P1245" s="8">
        <f>Table1[Quantity]*Table1[Unit_Price]</f>
        <v>146.12</v>
      </c>
      <c r="Q1245" s="1">
        <f>Table1[Profit]/Table1[Total_Sales]</f>
        <v>0.27260283841221816</v>
      </c>
      <c r="R1245" s="14">
        <f>Table1[Total_Sales]+Table1[Shipping_Cost]</f>
        <v>152.11000000000001</v>
      </c>
    </row>
    <row r="1246" spans="1:18" x14ac:dyDescent="0.35">
      <c r="A1246" s="3" t="s">
        <v>2389</v>
      </c>
      <c r="B1246" s="2">
        <v>45615</v>
      </c>
      <c r="C1246" s="1" t="s">
        <v>2390</v>
      </c>
      <c r="D1246" s="1" t="s">
        <v>30</v>
      </c>
      <c r="E1246" s="1" t="s">
        <v>92</v>
      </c>
      <c r="F1246" s="1" t="s">
        <v>60</v>
      </c>
      <c r="G1246" s="1" t="s">
        <v>20</v>
      </c>
      <c r="H1246" s="1" t="s">
        <v>38</v>
      </c>
      <c r="I1246" s="1">
        <v>1</v>
      </c>
      <c r="J1246" s="1">
        <v>40.909999999999997</v>
      </c>
      <c r="K1246" s="1">
        <v>15</v>
      </c>
      <c r="L1246" s="1">
        <v>34.770000000000003</v>
      </c>
      <c r="M1246" s="1">
        <v>10.18</v>
      </c>
      <c r="N1246" s="1">
        <v>2.09</v>
      </c>
      <c r="O1246" s="6" t="s">
        <v>22</v>
      </c>
      <c r="P1246" s="8">
        <f>Table1[Quantity]*Table1[Unit_Price]</f>
        <v>40.909999999999997</v>
      </c>
      <c r="Q1246" s="1">
        <f>Table1[Profit]/Table1[Total_Sales]</f>
        <v>6.0109289617486329E-2</v>
      </c>
      <c r="R1246" s="14">
        <f>Table1[Total_Sales]+Table1[Shipping_Cost]</f>
        <v>44.95</v>
      </c>
    </row>
    <row r="1247" spans="1:18" x14ac:dyDescent="0.35">
      <c r="A1247" s="3" t="s">
        <v>2391</v>
      </c>
      <c r="B1247" s="2">
        <v>45616</v>
      </c>
      <c r="C1247" s="1" t="s">
        <v>655</v>
      </c>
      <c r="D1247" s="1" t="s">
        <v>17</v>
      </c>
      <c r="E1247" s="1" t="s">
        <v>18</v>
      </c>
      <c r="F1247" s="1" t="s">
        <v>19</v>
      </c>
      <c r="G1247" s="1" t="s">
        <v>20</v>
      </c>
      <c r="H1247" s="1" t="s">
        <v>264</v>
      </c>
      <c r="I1247" s="1">
        <v>3</v>
      </c>
      <c r="J1247" s="1">
        <v>62.77</v>
      </c>
      <c r="K1247" s="1">
        <v>0</v>
      </c>
      <c r="L1247" s="1">
        <v>188.31</v>
      </c>
      <c r="M1247" s="1">
        <v>11.8</v>
      </c>
      <c r="N1247" s="1">
        <v>72.94</v>
      </c>
      <c r="O1247" s="6" t="s">
        <v>34</v>
      </c>
      <c r="P1247" s="8">
        <f>Table1[Quantity]*Table1[Unit_Price]</f>
        <v>188.31</v>
      </c>
      <c r="Q1247" s="1">
        <f>Table1[Profit]/Table1[Total_Sales]</f>
        <v>0.38734002442780519</v>
      </c>
      <c r="R1247" s="14">
        <f>Table1[Total_Sales]+Table1[Shipping_Cost]</f>
        <v>200.11</v>
      </c>
    </row>
    <row r="1248" spans="1:18" x14ac:dyDescent="0.35">
      <c r="A1248" s="3" t="s">
        <v>2392</v>
      </c>
      <c r="B1248" s="2">
        <v>45616</v>
      </c>
      <c r="C1248" s="1" t="s">
        <v>2393</v>
      </c>
      <c r="D1248" s="1" t="s">
        <v>30</v>
      </c>
      <c r="E1248" s="1" t="s">
        <v>92</v>
      </c>
      <c r="F1248" s="1" t="s">
        <v>60</v>
      </c>
      <c r="G1248" s="1" t="s">
        <v>32</v>
      </c>
      <c r="H1248" s="1" t="s">
        <v>50</v>
      </c>
      <c r="I1248" s="1">
        <v>4</v>
      </c>
      <c r="J1248" s="1">
        <v>9.84</v>
      </c>
      <c r="K1248" s="1">
        <v>10</v>
      </c>
      <c r="L1248" s="1">
        <v>35.42</v>
      </c>
      <c r="M1248" s="1">
        <v>13.78</v>
      </c>
      <c r="N1248" s="1">
        <v>3.93</v>
      </c>
      <c r="O1248" s="6" t="s">
        <v>22</v>
      </c>
      <c r="P1248" s="8">
        <f>Table1[Quantity]*Table1[Unit_Price]</f>
        <v>39.36</v>
      </c>
      <c r="Q1248" s="1">
        <f>Table1[Profit]/Table1[Total_Sales]</f>
        <v>0.11095426312817618</v>
      </c>
      <c r="R1248" s="14">
        <f>Table1[Total_Sales]+Table1[Shipping_Cost]</f>
        <v>49.2</v>
      </c>
    </row>
    <row r="1249" spans="1:18" x14ac:dyDescent="0.35">
      <c r="A1249" s="3" t="s">
        <v>2394</v>
      </c>
      <c r="B1249" s="2">
        <v>45617</v>
      </c>
      <c r="C1249" s="1" t="s">
        <v>2254</v>
      </c>
      <c r="D1249" s="1" t="s">
        <v>30</v>
      </c>
      <c r="E1249" s="1" t="s">
        <v>248</v>
      </c>
      <c r="F1249" s="1" t="s">
        <v>26</v>
      </c>
      <c r="G1249" s="1" t="s">
        <v>20</v>
      </c>
      <c r="H1249" s="1" t="s">
        <v>264</v>
      </c>
      <c r="I1249" s="1">
        <v>2</v>
      </c>
      <c r="J1249" s="1">
        <v>39.61</v>
      </c>
      <c r="K1249" s="1">
        <v>20</v>
      </c>
      <c r="L1249" s="1">
        <v>63.38</v>
      </c>
      <c r="M1249" s="1">
        <v>10.199999999999999</v>
      </c>
      <c r="N1249" s="1">
        <v>9.61</v>
      </c>
      <c r="O1249" s="6" t="s">
        <v>34</v>
      </c>
      <c r="P1249" s="8">
        <f>Table1[Quantity]*Table1[Unit_Price]</f>
        <v>79.22</v>
      </c>
      <c r="Q1249" s="1">
        <f>Table1[Profit]/Table1[Total_Sales]</f>
        <v>0.15162511833385925</v>
      </c>
      <c r="R1249" s="14">
        <f>Table1[Total_Sales]+Table1[Shipping_Cost]</f>
        <v>73.58</v>
      </c>
    </row>
    <row r="1250" spans="1:18" x14ac:dyDescent="0.35">
      <c r="A1250" s="3" t="s">
        <v>2395</v>
      </c>
      <c r="B1250" s="2">
        <v>45617</v>
      </c>
      <c r="C1250" s="1" t="s">
        <v>2396</v>
      </c>
      <c r="D1250" s="1" t="s">
        <v>30</v>
      </c>
      <c r="E1250" s="1" t="s">
        <v>59</v>
      </c>
      <c r="F1250" s="1" t="s">
        <v>60</v>
      </c>
      <c r="G1250" s="1" t="s">
        <v>69</v>
      </c>
      <c r="H1250" s="1" t="s">
        <v>243</v>
      </c>
      <c r="I1250" s="1">
        <v>1</v>
      </c>
      <c r="J1250" s="1">
        <v>31.83</v>
      </c>
      <c r="K1250" s="1">
        <v>15</v>
      </c>
      <c r="L1250" s="1">
        <v>27.06</v>
      </c>
      <c r="M1250" s="1">
        <v>11.46</v>
      </c>
      <c r="N1250" s="1">
        <v>-0.32</v>
      </c>
      <c r="O1250" s="6" t="s">
        <v>39</v>
      </c>
      <c r="P1250" s="8">
        <f>Table1[Quantity]*Table1[Unit_Price]</f>
        <v>31.83</v>
      </c>
      <c r="Q1250" s="1">
        <f>Table1[Profit]/Table1[Total_Sales]</f>
        <v>-1.1825572801182557E-2</v>
      </c>
      <c r="R1250" s="14">
        <f>Table1[Total_Sales]+Table1[Shipping_Cost]</f>
        <v>38.519999999999996</v>
      </c>
    </row>
    <row r="1251" spans="1:18" x14ac:dyDescent="0.35">
      <c r="A1251" s="3" t="s">
        <v>2397</v>
      </c>
      <c r="B1251" s="2">
        <v>45617</v>
      </c>
      <c r="C1251" s="1" t="s">
        <v>309</v>
      </c>
      <c r="D1251" s="1" t="s">
        <v>17</v>
      </c>
      <c r="E1251" s="1" t="s">
        <v>138</v>
      </c>
      <c r="F1251" s="1" t="s">
        <v>54</v>
      </c>
      <c r="G1251" s="1" t="s">
        <v>42</v>
      </c>
      <c r="H1251" s="1" t="s">
        <v>43</v>
      </c>
      <c r="I1251" s="1">
        <v>5</v>
      </c>
      <c r="J1251" s="1">
        <v>239.49</v>
      </c>
      <c r="K1251" s="1">
        <v>5</v>
      </c>
      <c r="L1251" s="1">
        <v>1137.58</v>
      </c>
      <c r="M1251" s="1">
        <v>17.88</v>
      </c>
      <c r="N1251" s="1">
        <v>401.23</v>
      </c>
      <c r="O1251" s="6" t="s">
        <v>39</v>
      </c>
      <c r="P1251" s="8">
        <f>Table1[Quantity]*Table1[Unit_Price]</f>
        <v>1197.45</v>
      </c>
      <c r="Q1251" s="1">
        <f>Table1[Profit]/Table1[Total_Sales]</f>
        <v>0.35270486471281143</v>
      </c>
      <c r="R1251" s="14">
        <f>Table1[Total_Sales]+Table1[Shipping_Cost]</f>
        <v>1155.46</v>
      </c>
    </row>
    <row r="1252" spans="1:18" x14ac:dyDescent="0.35">
      <c r="A1252" s="3" t="s">
        <v>2398</v>
      </c>
      <c r="B1252" s="2">
        <v>45617</v>
      </c>
      <c r="C1252" s="1" t="s">
        <v>2399</v>
      </c>
      <c r="D1252" s="1" t="s">
        <v>17</v>
      </c>
      <c r="E1252" s="1" t="s">
        <v>18</v>
      </c>
      <c r="F1252" s="1" t="s">
        <v>19</v>
      </c>
      <c r="G1252" s="1" t="s">
        <v>32</v>
      </c>
      <c r="H1252" s="1" t="s">
        <v>73</v>
      </c>
      <c r="I1252" s="1">
        <v>6</v>
      </c>
      <c r="J1252" s="1">
        <v>6.5</v>
      </c>
      <c r="K1252" s="1">
        <v>20</v>
      </c>
      <c r="L1252" s="1">
        <v>31.2</v>
      </c>
      <c r="M1252" s="1">
        <v>16.690000000000001</v>
      </c>
      <c r="N1252" s="1">
        <v>-3.04</v>
      </c>
      <c r="O1252" s="6" t="s">
        <v>39</v>
      </c>
      <c r="P1252" s="8">
        <f>Table1[Quantity]*Table1[Unit_Price]</f>
        <v>39</v>
      </c>
      <c r="Q1252" s="1">
        <f>Table1[Profit]/Table1[Total_Sales]</f>
        <v>-9.7435897435897437E-2</v>
      </c>
      <c r="R1252" s="14">
        <f>Table1[Total_Sales]+Table1[Shipping_Cost]</f>
        <v>47.89</v>
      </c>
    </row>
    <row r="1253" spans="1:18" x14ac:dyDescent="0.35">
      <c r="A1253" s="3" t="s">
        <v>2400</v>
      </c>
      <c r="B1253" s="2">
        <v>45617</v>
      </c>
      <c r="C1253" s="1" t="s">
        <v>2401</v>
      </c>
      <c r="D1253" s="1" t="s">
        <v>49</v>
      </c>
      <c r="E1253" s="1" t="s">
        <v>25</v>
      </c>
      <c r="F1253" s="1" t="s">
        <v>26</v>
      </c>
      <c r="G1253" s="1" t="s">
        <v>69</v>
      </c>
      <c r="H1253" s="1" t="s">
        <v>86</v>
      </c>
      <c r="I1253" s="1">
        <v>5</v>
      </c>
      <c r="J1253" s="1">
        <v>79.16</v>
      </c>
      <c r="K1253" s="1">
        <v>15</v>
      </c>
      <c r="L1253" s="1">
        <v>336.43</v>
      </c>
      <c r="M1253" s="1">
        <v>12.69</v>
      </c>
      <c r="N1253" s="1">
        <v>125.84</v>
      </c>
      <c r="O1253" s="6" t="s">
        <v>34</v>
      </c>
      <c r="P1253" s="8">
        <f>Table1[Quantity]*Table1[Unit_Price]</f>
        <v>395.79999999999995</v>
      </c>
      <c r="Q1253" s="1">
        <f>Table1[Profit]/Table1[Total_Sales]</f>
        <v>0.3740451208275124</v>
      </c>
      <c r="R1253" s="14">
        <f>Table1[Total_Sales]+Table1[Shipping_Cost]</f>
        <v>349.12</v>
      </c>
    </row>
    <row r="1254" spans="1:18" x14ac:dyDescent="0.35">
      <c r="A1254" s="3" t="s">
        <v>2402</v>
      </c>
      <c r="B1254" s="2">
        <v>45618</v>
      </c>
      <c r="C1254" s="1" t="s">
        <v>2403</v>
      </c>
      <c r="D1254" s="1" t="s">
        <v>30</v>
      </c>
      <c r="E1254" s="1" t="s">
        <v>76</v>
      </c>
      <c r="F1254" s="1" t="s">
        <v>26</v>
      </c>
      <c r="G1254" s="1" t="s">
        <v>20</v>
      </c>
      <c r="H1254" s="1" t="s">
        <v>106</v>
      </c>
      <c r="I1254" s="1">
        <v>10</v>
      </c>
      <c r="J1254" s="1">
        <v>46.43</v>
      </c>
      <c r="K1254" s="1">
        <v>10</v>
      </c>
      <c r="L1254" s="1">
        <v>417.87</v>
      </c>
      <c r="M1254" s="1">
        <v>22.39</v>
      </c>
      <c r="N1254" s="1">
        <v>140.11000000000001</v>
      </c>
      <c r="O1254" s="6" t="s">
        <v>34</v>
      </c>
      <c r="P1254" s="8">
        <f>Table1[Quantity]*Table1[Unit_Price]</f>
        <v>464.3</v>
      </c>
      <c r="Q1254" s="1">
        <f>Table1[Profit]/Table1[Total_Sales]</f>
        <v>0.33529566611625627</v>
      </c>
      <c r="R1254" s="14">
        <f>Table1[Total_Sales]+Table1[Shipping_Cost]</f>
        <v>440.26</v>
      </c>
    </row>
    <row r="1255" spans="1:18" x14ac:dyDescent="0.35">
      <c r="A1255" s="3" t="s">
        <v>2404</v>
      </c>
      <c r="B1255" s="2">
        <v>45618</v>
      </c>
      <c r="C1255" s="1" t="s">
        <v>1404</v>
      </c>
      <c r="D1255" s="1" t="s">
        <v>30</v>
      </c>
      <c r="E1255" s="1" t="s">
        <v>37</v>
      </c>
      <c r="F1255" s="1" t="s">
        <v>26</v>
      </c>
      <c r="G1255" s="1" t="s">
        <v>42</v>
      </c>
      <c r="H1255" s="1" t="s">
        <v>294</v>
      </c>
      <c r="I1255" s="1">
        <v>6</v>
      </c>
      <c r="J1255" s="1">
        <v>259.75</v>
      </c>
      <c r="K1255" s="1">
        <v>0</v>
      </c>
      <c r="L1255" s="1">
        <v>1558.5</v>
      </c>
      <c r="M1255" s="1">
        <v>10.69</v>
      </c>
      <c r="N1255" s="1">
        <v>612.71</v>
      </c>
      <c r="O1255" s="6" t="s">
        <v>34</v>
      </c>
      <c r="P1255" s="8">
        <f>Table1[Quantity]*Table1[Unit_Price]</f>
        <v>1558.5</v>
      </c>
      <c r="Q1255" s="1">
        <f>Table1[Profit]/Table1[Total_Sales]</f>
        <v>0.39314084055181264</v>
      </c>
      <c r="R1255" s="14">
        <f>Table1[Total_Sales]+Table1[Shipping_Cost]</f>
        <v>1569.19</v>
      </c>
    </row>
    <row r="1256" spans="1:18" x14ac:dyDescent="0.35">
      <c r="A1256" s="3" t="s">
        <v>2405</v>
      </c>
      <c r="B1256" s="2">
        <v>45620</v>
      </c>
      <c r="C1256" s="1" t="s">
        <v>2406</v>
      </c>
      <c r="D1256" s="1" t="s">
        <v>17</v>
      </c>
      <c r="E1256" s="1" t="s">
        <v>31</v>
      </c>
      <c r="F1256" s="1" t="s">
        <v>19</v>
      </c>
      <c r="G1256" s="1" t="s">
        <v>20</v>
      </c>
      <c r="H1256" s="1" t="s">
        <v>55</v>
      </c>
      <c r="I1256" s="1">
        <v>5</v>
      </c>
      <c r="J1256" s="1">
        <v>60.7</v>
      </c>
      <c r="K1256" s="1">
        <v>15</v>
      </c>
      <c r="L1256" s="1">
        <v>257.97000000000003</v>
      </c>
      <c r="M1256" s="1">
        <v>16.21</v>
      </c>
      <c r="N1256" s="1">
        <v>74.84</v>
      </c>
      <c r="O1256" s="6" t="s">
        <v>56</v>
      </c>
      <c r="P1256" s="8">
        <f>Table1[Quantity]*Table1[Unit_Price]</f>
        <v>303.5</v>
      </c>
      <c r="Q1256" s="1">
        <f>Table1[Profit]/Table1[Total_Sales]</f>
        <v>0.2901112532465015</v>
      </c>
      <c r="R1256" s="14">
        <f>Table1[Total_Sales]+Table1[Shipping_Cost]</f>
        <v>274.18</v>
      </c>
    </row>
    <row r="1257" spans="1:18" x14ac:dyDescent="0.35">
      <c r="A1257" s="3" t="s">
        <v>2407</v>
      </c>
      <c r="B1257" s="2">
        <v>45620</v>
      </c>
      <c r="C1257" s="1" t="s">
        <v>485</v>
      </c>
      <c r="D1257" s="1" t="s">
        <v>30</v>
      </c>
      <c r="E1257" s="1" t="s">
        <v>31</v>
      </c>
      <c r="F1257" s="1" t="s">
        <v>19</v>
      </c>
      <c r="G1257" s="1" t="s">
        <v>32</v>
      </c>
      <c r="H1257" s="1" t="s">
        <v>115</v>
      </c>
      <c r="I1257" s="1">
        <v>2</v>
      </c>
      <c r="J1257" s="1">
        <v>14.78</v>
      </c>
      <c r="K1257" s="1">
        <v>0</v>
      </c>
      <c r="L1257" s="1">
        <v>29.56</v>
      </c>
      <c r="M1257" s="1">
        <v>6.96</v>
      </c>
      <c r="N1257" s="1">
        <v>9.3000000000000007</v>
      </c>
      <c r="O1257" s="6" t="s">
        <v>39</v>
      </c>
      <c r="P1257" s="8">
        <f>Table1[Quantity]*Table1[Unit_Price]</f>
        <v>29.56</v>
      </c>
      <c r="Q1257" s="1">
        <f>Table1[Profit]/Table1[Total_Sales]</f>
        <v>0.31461434370771318</v>
      </c>
      <c r="R1257" s="14">
        <f>Table1[Total_Sales]+Table1[Shipping_Cost]</f>
        <v>36.519999999999996</v>
      </c>
    </row>
    <row r="1258" spans="1:18" x14ac:dyDescent="0.35">
      <c r="A1258" s="3" t="s">
        <v>2408</v>
      </c>
      <c r="B1258" s="2">
        <v>45620</v>
      </c>
      <c r="C1258" s="1" t="s">
        <v>2409</v>
      </c>
      <c r="D1258" s="1" t="s">
        <v>30</v>
      </c>
      <c r="E1258" s="1" t="s">
        <v>37</v>
      </c>
      <c r="F1258" s="1" t="s">
        <v>26</v>
      </c>
      <c r="G1258" s="1" t="s">
        <v>32</v>
      </c>
      <c r="H1258" s="1" t="s">
        <v>110</v>
      </c>
      <c r="I1258" s="1">
        <v>1</v>
      </c>
      <c r="J1258" s="1">
        <v>13.3</v>
      </c>
      <c r="K1258" s="1">
        <v>0</v>
      </c>
      <c r="L1258" s="1">
        <v>13.3</v>
      </c>
      <c r="M1258" s="1">
        <v>7.89</v>
      </c>
      <c r="N1258" s="1">
        <v>-0.56999999999999995</v>
      </c>
      <c r="O1258" s="6" t="s">
        <v>22</v>
      </c>
      <c r="P1258" s="8">
        <f>Table1[Quantity]*Table1[Unit_Price]</f>
        <v>13.3</v>
      </c>
      <c r="Q1258" s="1">
        <f>Table1[Profit]/Table1[Total_Sales]</f>
        <v>-4.2857142857142851E-2</v>
      </c>
      <c r="R1258" s="14">
        <f>Table1[Total_Sales]+Table1[Shipping_Cost]</f>
        <v>21.19</v>
      </c>
    </row>
    <row r="1259" spans="1:18" x14ac:dyDescent="0.35">
      <c r="A1259" s="3" t="s">
        <v>2410</v>
      </c>
      <c r="B1259" s="2">
        <v>45621</v>
      </c>
      <c r="C1259" s="1" t="s">
        <v>1188</v>
      </c>
      <c r="D1259" s="1" t="s">
        <v>30</v>
      </c>
      <c r="E1259" s="1" t="s">
        <v>129</v>
      </c>
      <c r="F1259" s="1" t="s">
        <v>19</v>
      </c>
      <c r="G1259" s="1" t="s">
        <v>69</v>
      </c>
      <c r="H1259" s="1" t="s">
        <v>243</v>
      </c>
      <c r="I1259" s="1">
        <v>4</v>
      </c>
      <c r="J1259" s="1">
        <v>18.59</v>
      </c>
      <c r="K1259" s="1">
        <v>5</v>
      </c>
      <c r="L1259" s="1">
        <v>70.64</v>
      </c>
      <c r="M1259" s="1">
        <v>9.08</v>
      </c>
      <c r="N1259" s="1">
        <v>24.38</v>
      </c>
      <c r="O1259" s="6" t="s">
        <v>34</v>
      </c>
      <c r="P1259" s="8">
        <f>Table1[Quantity]*Table1[Unit_Price]</f>
        <v>74.36</v>
      </c>
      <c r="Q1259" s="1">
        <f>Table1[Profit]/Table1[Total_Sales]</f>
        <v>0.34513023782559454</v>
      </c>
      <c r="R1259" s="14">
        <f>Table1[Total_Sales]+Table1[Shipping_Cost]</f>
        <v>79.72</v>
      </c>
    </row>
    <row r="1260" spans="1:18" x14ac:dyDescent="0.35">
      <c r="A1260" s="3" t="s">
        <v>2411</v>
      </c>
      <c r="B1260" s="2">
        <v>45621</v>
      </c>
      <c r="C1260" s="1" t="s">
        <v>1066</v>
      </c>
      <c r="D1260" s="1" t="s">
        <v>30</v>
      </c>
      <c r="E1260" s="1" t="s">
        <v>92</v>
      </c>
      <c r="F1260" s="1" t="s">
        <v>60</v>
      </c>
      <c r="G1260" s="1" t="s">
        <v>69</v>
      </c>
      <c r="H1260" s="1" t="s">
        <v>79</v>
      </c>
      <c r="I1260" s="1">
        <v>7</v>
      </c>
      <c r="J1260" s="1">
        <v>75.25</v>
      </c>
      <c r="K1260" s="1">
        <v>10</v>
      </c>
      <c r="L1260" s="1">
        <v>474.07</v>
      </c>
      <c r="M1260" s="1">
        <v>19.97</v>
      </c>
      <c r="N1260" s="1">
        <v>190.72</v>
      </c>
      <c r="O1260" s="6" t="s">
        <v>39</v>
      </c>
      <c r="P1260" s="8">
        <f>Table1[Quantity]*Table1[Unit_Price]</f>
        <v>526.75</v>
      </c>
      <c r="Q1260" s="1">
        <f>Table1[Profit]/Table1[Total_Sales]</f>
        <v>0.40230345729533612</v>
      </c>
      <c r="R1260" s="14">
        <f>Table1[Total_Sales]+Table1[Shipping_Cost]</f>
        <v>494.03999999999996</v>
      </c>
    </row>
    <row r="1261" spans="1:18" x14ac:dyDescent="0.35">
      <c r="A1261" s="3" t="s">
        <v>2412</v>
      </c>
      <c r="B1261" s="2">
        <v>45622</v>
      </c>
      <c r="C1261" s="1" t="s">
        <v>2413</v>
      </c>
      <c r="D1261" s="1" t="s">
        <v>30</v>
      </c>
      <c r="E1261" s="1" t="s">
        <v>166</v>
      </c>
      <c r="F1261" s="1" t="s">
        <v>60</v>
      </c>
      <c r="G1261" s="1" t="s">
        <v>42</v>
      </c>
      <c r="H1261" s="1" t="s">
        <v>46</v>
      </c>
      <c r="I1261" s="1">
        <v>3</v>
      </c>
      <c r="J1261" s="1">
        <v>181.78</v>
      </c>
      <c r="K1261" s="1">
        <v>5</v>
      </c>
      <c r="L1261" s="1">
        <v>518.07000000000005</v>
      </c>
      <c r="M1261" s="1">
        <v>11.35</v>
      </c>
      <c r="N1261" s="1">
        <v>179.52</v>
      </c>
      <c r="O1261" s="6" t="s">
        <v>39</v>
      </c>
      <c r="P1261" s="8">
        <f>Table1[Quantity]*Table1[Unit_Price]</f>
        <v>545.34</v>
      </c>
      <c r="Q1261" s="1">
        <f>Table1[Profit]/Table1[Total_Sales]</f>
        <v>0.34651687995830677</v>
      </c>
      <c r="R1261" s="14">
        <f>Table1[Total_Sales]+Table1[Shipping_Cost]</f>
        <v>529.42000000000007</v>
      </c>
    </row>
    <row r="1262" spans="1:18" x14ac:dyDescent="0.35">
      <c r="A1262" s="3" t="s">
        <v>2414</v>
      </c>
      <c r="B1262" s="2">
        <v>45622</v>
      </c>
      <c r="C1262" s="1" t="s">
        <v>2415</v>
      </c>
      <c r="D1262" s="1" t="s">
        <v>49</v>
      </c>
      <c r="E1262" s="1" t="s">
        <v>31</v>
      </c>
      <c r="F1262" s="1" t="s">
        <v>19</v>
      </c>
      <c r="G1262" s="1" t="s">
        <v>32</v>
      </c>
      <c r="H1262" s="1" t="s">
        <v>33</v>
      </c>
      <c r="I1262" s="1">
        <v>5</v>
      </c>
      <c r="J1262" s="1">
        <v>15.61</v>
      </c>
      <c r="K1262" s="1">
        <v>5</v>
      </c>
      <c r="L1262" s="1">
        <v>74.150000000000006</v>
      </c>
      <c r="M1262" s="1">
        <v>14.63</v>
      </c>
      <c r="N1262" s="1">
        <v>24.4</v>
      </c>
      <c r="O1262" s="6" t="s">
        <v>39</v>
      </c>
      <c r="P1262" s="8">
        <f>Table1[Quantity]*Table1[Unit_Price]</f>
        <v>78.05</v>
      </c>
      <c r="Q1262" s="1">
        <f>Table1[Profit]/Table1[Total_Sales]</f>
        <v>0.32906271072151039</v>
      </c>
      <c r="R1262" s="14">
        <f>Table1[Total_Sales]+Table1[Shipping_Cost]</f>
        <v>88.78</v>
      </c>
    </row>
    <row r="1263" spans="1:18" x14ac:dyDescent="0.35">
      <c r="A1263" s="3" t="s">
        <v>2416</v>
      </c>
      <c r="B1263" s="2">
        <v>45622</v>
      </c>
      <c r="C1263" s="1" t="s">
        <v>2417</v>
      </c>
      <c r="D1263" s="1" t="s">
        <v>17</v>
      </c>
      <c r="E1263" s="1" t="s">
        <v>248</v>
      </c>
      <c r="F1263" s="1" t="s">
        <v>26</v>
      </c>
      <c r="G1263" s="1" t="s">
        <v>32</v>
      </c>
      <c r="H1263" s="1" t="s">
        <v>50</v>
      </c>
      <c r="I1263" s="1">
        <v>2</v>
      </c>
      <c r="J1263" s="1">
        <v>11.05</v>
      </c>
      <c r="K1263" s="1">
        <v>5</v>
      </c>
      <c r="L1263" s="1">
        <v>21</v>
      </c>
      <c r="M1263" s="1">
        <v>8.64</v>
      </c>
      <c r="N1263" s="1">
        <v>2.41</v>
      </c>
      <c r="O1263" s="6" t="s">
        <v>39</v>
      </c>
      <c r="P1263" s="8">
        <f>Table1[Quantity]*Table1[Unit_Price]</f>
        <v>22.1</v>
      </c>
      <c r="Q1263" s="1">
        <f>Table1[Profit]/Table1[Total_Sales]</f>
        <v>0.11476190476190477</v>
      </c>
      <c r="R1263" s="14">
        <f>Table1[Total_Sales]+Table1[Shipping_Cost]</f>
        <v>29.64</v>
      </c>
    </row>
    <row r="1264" spans="1:18" x14ac:dyDescent="0.35">
      <c r="A1264" s="3" t="s">
        <v>2418</v>
      </c>
      <c r="B1264" s="2">
        <v>45624</v>
      </c>
      <c r="C1264" s="1" t="s">
        <v>2419</v>
      </c>
      <c r="D1264" s="1" t="s">
        <v>49</v>
      </c>
      <c r="E1264" s="1" t="s">
        <v>18</v>
      </c>
      <c r="F1264" s="1" t="s">
        <v>19</v>
      </c>
      <c r="G1264" s="1" t="s">
        <v>32</v>
      </c>
      <c r="H1264" s="1" t="s">
        <v>101</v>
      </c>
      <c r="I1264" s="1">
        <v>1</v>
      </c>
      <c r="J1264" s="1">
        <v>6.95</v>
      </c>
      <c r="K1264" s="1">
        <v>10</v>
      </c>
      <c r="L1264" s="1">
        <v>6.25</v>
      </c>
      <c r="M1264" s="1">
        <v>5.78</v>
      </c>
      <c r="N1264" s="1">
        <v>-2.66</v>
      </c>
      <c r="O1264" s="6" t="s">
        <v>34</v>
      </c>
      <c r="P1264" s="8">
        <f>Table1[Quantity]*Table1[Unit_Price]</f>
        <v>6.95</v>
      </c>
      <c r="Q1264" s="1">
        <f>Table1[Profit]/Table1[Total_Sales]</f>
        <v>-0.42560000000000003</v>
      </c>
      <c r="R1264" s="14">
        <f>Table1[Total_Sales]+Table1[Shipping_Cost]</f>
        <v>12.030000000000001</v>
      </c>
    </row>
    <row r="1265" spans="1:18" x14ac:dyDescent="0.35">
      <c r="A1265" s="3" t="s">
        <v>2420</v>
      </c>
      <c r="B1265" s="2">
        <v>45624</v>
      </c>
      <c r="C1265" s="1" t="s">
        <v>2421</v>
      </c>
      <c r="D1265" s="1" t="s">
        <v>49</v>
      </c>
      <c r="E1265" s="1" t="s">
        <v>121</v>
      </c>
      <c r="F1265" s="1" t="s">
        <v>68</v>
      </c>
      <c r="G1265" s="1" t="s">
        <v>32</v>
      </c>
      <c r="H1265" s="1" t="s">
        <v>101</v>
      </c>
      <c r="I1265" s="1">
        <v>7</v>
      </c>
      <c r="J1265" s="1">
        <v>17.170000000000002</v>
      </c>
      <c r="K1265" s="1">
        <v>20</v>
      </c>
      <c r="L1265" s="1">
        <v>96.15</v>
      </c>
      <c r="M1265" s="1">
        <v>24.44</v>
      </c>
      <c r="N1265" s="1">
        <v>17.62</v>
      </c>
      <c r="O1265" s="6" t="s">
        <v>39</v>
      </c>
      <c r="P1265" s="8">
        <f>Table1[Quantity]*Table1[Unit_Price]</f>
        <v>120.19000000000001</v>
      </c>
      <c r="Q1265" s="1">
        <f>Table1[Profit]/Table1[Total_Sales]</f>
        <v>0.18325533021320853</v>
      </c>
      <c r="R1265" s="14">
        <f>Table1[Total_Sales]+Table1[Shipping_Cost]</f>
        <v>120.59</v>
      </c>
    </row>
    <row r="1266" spans="1:18" x14ac:dyDescent="0.35">
      <c r="A1266" s="3" t="s">
        <v>2422</v>
      </c>
      <c r="B1266" s="2">
        <v>45624</v>
      </c>
      <c r="C1266" s="1" t="s">
        <v>1797</v>
      </c>
      <c r="D1266" s="1" t="s">
        <v>17</v>
      </c>
      <c r="E1266" s="1" t="s">
        <v>76</v>
      </c>
      <c r="F1266" s="1" t="s">
        <v>26</v>
      </c>
      <c r="G1266" s="1" t="s">
        <v>69</v>
      </c>
      <c r="H1266" s="1" t="s">
        <v>163</v>
      </c>
      <c r="I1266" s="1">
        <v>2</v>
      </c>
      <c r="J1266" s="1">
        <v>50.22</v>
      </c>
      <c r="K1266" s="1">
        <v>10</v>
      </c>
      <c r="L1266" s="1">
        <v>90.4</v>
      </c>
      <c r="M1266" s="1">
        <v>9.49</v>
      </c>
      <c r="N1266" s="1">
        <v>30.69</v>
      </c>
      <c r="O1266" s="6" t="s">
        <v>34</v>
      </c>
      <c r="P1266" s="8">
        <f>Table1[Quantity]*Table1[Unit_Price]</f>
        <v>100.44</v>
      </c>
      <c r="Q1266" s="1">
        <f>Table1[Profit]/Table1[Total_Sales]</f>
        <v>0.33949115044247785</v>
      </c>
      <c r="R1266" s="14">
        <f>Table1[Total_Sales]+Table1[Shipping_Cost]</f>
        <v>99.89</v>
      </c>
    </row>
    <row r="1267" spans="1:18" x14ac:dyDescent="0.35">
      <c r="A1267" s="3" t="s">
        <v>2423</v>
      </c>
      <c r="B1267" s="2">
        <v>45625</v>
      </c>
      <c r="C1267" s="1" t="s">
        <v>2424</v>
      </c>
      <c r="D1267" s="1" t="s">
        <v>30</v>
      </c>
      <c r="E1267" s="1" t="s">
        <v>25</v>
      </c>
      <c r="F1267" s="1" t="s">
        <v>26</v>
      </c>
      <c r="G1267" s="1" t="s">
        <v>20</v>
      </c>
      <c r="H1267" s="1" t="s">
        <v>106</v>
      </c>
      <c r="I1267" s="1">
        <v>1</v>
      </c>
      <c r="J1267" s="1">
        <v>66.12</v>
      </c>
      <c r="K1267" s="1">
        <v>20</v>
      </c>
      <c r="L1267" s="1">
        <v>52.9</v>
      </c>
      <c r="M1267" s="1">
        <v>8.77</v>
      </c>
      <c r="N1267" s="1">
        <v>7.76</v>
      </c>
      <c r="O1267" s="6" t="s">
        <v>56</v>
      </c>
      <c r="P1267" s="8">
        <f>Table1[Quantity]*Table1[Unit_Price]</f>
        <v>66.12</v>
      </c>
      <c r="Q1267" s="1">
        <f>Table1[Profit]/Table1[Total_Sales]</f>
        <v>0.14669187145557655</v>
      </c>
      <c r="R1267" s="14">
        <f>Table1[Total_Sales]+Table1[Shipping_Cost]</f>
        <v>61.67</v>
      </c>
    </row>
    <row r="1268" spans="1:18" x14ac:dyDescent="0.35">
      <c r="A1268" s="3" t="s">
        <v>2425</v>
      </c>
      <c r="B1268" s="2">
        <v>45626</v>
      </c>
      <c r="C1268" s="1" t="s">
        <v>2426</v>
      </c>
      <c r="D1268" s="1" t="s">
        <v>17</v>
      </c>
      <c r="E1268" s="1" t="s">
        <v>31</v>
      </c>
      <c r="F1268" s="1" t="s">
        <v>19</v>
      </c>
      <c r="G1268" s="1" t="s">
        <v>69</v>
      </c>
      <c r="H1268" s="1" t="s">
        <v>160</v>
      </c>
      <c r="I1268" s="1">
        <v>4</v>
      </c>
      <c r="J1268" s="1">
        <v>36.61</v>
      </c>
      <c r="K1268" s="1">
        <v>25</v>
      </c>
      <c r="L1268" s="1">
        <v>109.83</v>
      </c>
      <c r="M1268" s="1">
        <v>11.22</v>
      </c>
      <c r="N1268" s="1">
        <v>25.39</v>
      </c>
      <c r="O1268" s="6" t="s">
        <v>39</v>
      </c>
      <c r="P1268" s="8">
        <f>Table1[Quantity]*Table1[Unit_Price]</f>
        <v>146.44</v>
      </c>
      <c r="Q1268" s="1">
        <f>Table1[Profit]/Table1[Total_Sales]</f>
        <v>0.23117545297277611</v>
      </c>
      <c r="R1268" s="14">
        <f>Table1[Total_Sales]+Table1[Shipping_Cost]</f>
        <v>121.05</v>
      </c>
    </row>
    <row r="1269" spans="1:18" x14ac:dyDescent="0.35">
      <c r="A1269" s="3" t="s">
        <v>2427</v>
      </c>
      <c r="B1269" s="2">
        <v>45626</v>
      </c>
      <c r="C1269" s="1" t="s">
        <v>189</v>
      </c>
      <c r="D1269" s="1" t="s">
        <v>17</v>
      </c>
      <c r="E1269" s="1" t="s">
        <v>18</v>
      </c>
      <c r="F1269" s="1" t="s">
        <v>19</v>
      </c>
      <c r="G1269" s="1" t="s">
        <v>20</v>
      </c>
      <c r="H1269" s="1" t="s">
        <v>264</v>
      </c>
      <c r="I1269" s="1">
        <v>12</v>
      </c>
      <c r="J1269" s="1">
        <v>54.74</v>
      </c>
      <c r="K1269" s="1">
        <v>10</v>
      </c>
      <c r="L1269" s="1">
        <v>591.19000000000005</v>
      </c>
      <c r="M1269" s="1">
        <v>18.95</v>
      </c>
      <c r="N1269" s="1">
        <v>210.96</v>
      </c>
      <c r="O1269" s="6" t="s">
        <v>39</v>
      </c>
      <c r="P1269" s="8">
        <f>Table1[Quantity]*Table1[Unit_Price]</f>
        <v>656.88</v>
      </c>
      <c r="Q1269" s="1">
        <f>Table1[Profit]/Table1[Total_Sales]</f>
        <v>0.35683959471574278</v>
      </c>
      <c r="R1269" s="14">
        <f>Table1[Total_Sales]+Table1[Shipping_Cost]</f>
        <v>610.1400000000001</v>
      </c>
    </row>
    <row r="1270" spans="1:18" x14ac:dyDescent="0.35">
      <c r="A1270" s="3" t="s">
        <v>2428</v>
      </c>
      <c r="B1270" s="2">
        <v>45626</v>
      </c>
      <c r="C1270" s="1" t="s">
        <v>2429</v>
      </c>
      <c r="D1270" s="1" t="s">
        <v>17</v>
      </c>
      <c r="E1270" s="1" t="s">
        <v>76</v>
      </c>
      <c r="F1270" s="1" t="s">
        <v>26</v>
      </c>
      <c r="G1270" s="1" t="s">
        <v>69</v>
      </c>
      <c r="H1270" s="1" t="s">
        <v>86</v>
      </c>
      <c r="I1270" s="1">
        <v>7</v>
      </c>
      <c r="J1270" s="1">
        <v>81.97</v>
      </c>
      <c r="K1270" s="1">
        <v>0</v>
      </c>
      <c r="L1270" s="1">
        <v>573.79</v>
      </c>
      <c r="M1270" s="1">
        <v>17.03</v>
      </c>
      <c r="N1270" s="1">
        <v>269.87</v>
      </c>
      <c r="O1270" s="6" t="s">
        <v>39</v>
      </c>
      <c r="P1270" s="8">
        <f>Table1[Quantity]*Table1[Unit_Price]</f>
        <v>573.79</v>
      </c>
      <c r="Q1270" s="1">
        <f>Table1[Profit]/Table1[Total_Sales]</f>
        <v>0.47032886596141449</v>
      </c>
      <c r="R1270" s="14">
        <f>Table1[Total_Sales]+Table1[Shipping_Cost]</f>
        <v>590.81999999999994</v>
      </c>
    </row>
    <row r="1271" spans="1:18" x14ac:dyDescent="0.35">
      <c r="A1271" s="3" t="s">
        <v>2430</v>
      </c>
      <c r="B1271" s="2">
        <v>45626</v>
      </c>
      <c r="C1271" s="1" t="s">
        <v>617</v>
      </c>
      <c r="D1271" s="1" t="s">
        <v>30</v>
      </c>
      <c r="E1271" s="1" t="s">
        <v>31</v>
      </c>
      <c r="F1271" s="1" t="s">
        <v>19</v>
      </c>
      <c r="G1271" s="1" t="s">
        <v>42</v>
      </c>
      <c r="H1271" s="1" t="s">
        <v>294</v>
      </c>
      <c r="I1271" s="1">
        <v>6</v>
      </c>
      <c r="J1271" s="1">
        <v>120.71</v>
      </c>
      <c r="K1271" s="1">
        <v>5</v>
      </c>
      <c r="L1271" s="1">
        <v>688.05</v>
      </c>
      <c r="M1271" s="1">
        <v>16.62</v>
      </c>
      <c r="N1271" s="1">
        <v>236.87</v>
      </c>
      <c r="O1271" s="6" t="s">
        <v>34</v>
      </c>
      <c r="P1271" s="8">
        <f>Table1[Quantity]*Table1[Unit_Price]</f>
        <v>724.26</v>
      </c>
      <c r="Q1271" s="1">
        <f>Table1[Profit]/Table1[Total_Sales]</f>
        <v>0.34426277160090113</v>
      </c>
      <c r="R1271" s="14">
        <f>Table1[Total_Sales]+Table1[Shipping_Cost]</f>
        <v>704.67</v>
      </c>
    </row>
    <row r="1272" spans="1:18" x14ac:dyDescent="0.35">
      <c r="A1272" s="3" t="s">
        <v>2431</v>
      </c>
      <c r="B1272" s="2">
        <v>45627</v>
      </c>
      <c r="C1272" s="1" t="s">
        <v>2432</v>
      </c>
      <c r="D1272" s="1" t="s">
        <v>30</v>
      </c>
      <c r="E1272" s="1" t="s">
        <v>67</v>
      </c>
      <c r="F1272" s="1" t="s">
        <v>68</v>
      </c>
      <c r="G1272" s="1" t="s">
        <v>20</v>
      </c>
      <c r="H1272" s="1" t="s">
        <v>122</v>
      </c>
      <c r="I1272" s="1">
        <v>6</v>
      </c>
      <c r="J1272" s="1">
        <v>62.59</v>
      </c>
      <c r="K1272" s="1">
        <v>0</v>
      </c>
      <c r="L1272" s="1">
        <v>375.54</v>
      </c>
      <c r="M1272" s="1">
        <v>23.28</v>
      </c>
      <c r="N1272" s="1">
        <v>145.71</v>
      </c>
      <c r="O1272" s="6" t="s">
        <v>34</v>
      </c>
      <c r="P1272" s="8">
        <f>Table1[Quantity]*Table1[Unit_Price]</f>
        <v>375.54</v>
      </c>
      <c r="Q1272" s="1">
        <f>Table1[Profit]/Table1[Total_Sales]</f>
        <v>0.3880012781594504</v>
      </c>
      <c r="R1272" s="14">
        <f>Table1[Total_Sales]+Table1[Shipping_Cost]</f>
        <v>398.82000000000005</v>
      </c>
    </row>
    <row r="1273" spans="1:18" x14ac:dyDescent="0.35">
      <c r="A1273" s="3" t="s">
        <v>2433</v>
      </c>
      <c r="B1273" s="2">
        <v>45628</v>
      </c>
      <c r="C1273" s="1" t="s">
        <v>2434</v>
      </c>
      <c r="D1273" s="1" t="s">
        <v>17</v>
      </c>
      <c r="E1273" s="1" t="s">
        <v>135</v>
      </c>
      <c r="F1273" s="1" t="s">
        <v>26</v>
      </c>
      <c r="G1273" s="1" t="s">
        <v>20</v>
      </c>
      <c r="H1273" s="1" t="s">
        <v>264</v>
      </c>
      <c r="I1273" s="1">
        <v>8</v>
      </c>
      <c r="J1273" s="1">
        <v>63.14</v>
      </c>
      <c r="K1273" s="1">
        <v>15</v>
      </c>
      <c r="L1273" s="1">
        <v>429.35</v>
      </c>
      <c r="M1273" s="1">
        <v>19.46</v>
      </c>
      <c r="N1273" s="1">
        <v>132.07</v>
      </c>
      <c r="O1273" s="6" t="s">
        <v>39</v>
      </c>
      <c r="P1273" s="8">
        <f>Table1[Quantity]*Table1[Unit_Price]</f>
        <v>505.12</v>
      </c>
      <c r="Q1273" s="1">
        <f>Table1[Profit]/Table1[Total_Sales]</f>
        <v>0.30760451845813436</v>
      </c>
      <c r="R1273" s="14">
        <f>Table1[Total_Sales]+Table1[Shipping_Cost]</f>
        <v>448.81</v>
      </c>
    </row>
    <row r="1274" spans="1:18" x14ac:dyDescent="0.35">
      <c r="A1274" s="3" t="s">
        <v>2435</v>
      </c>
      <c r="B1274" s="2">
        <v>45629</v>
      </c>
      <c r="C1274" s="1" t="s">
        <v>1928</v>
      </c>
      <c r="D1274" s="1" t="s">
        <v>30</v>
      </c>
      <c r="E1274" s="1" t="s">
        <v>76</v>
      </c>
      <c r="F1274" s="1" t="s">
        <v>26</v>
      </c>
      <c r="G1274" s="1" t="s">
        <v>69</v>
      </c>
      <c r="H1274" s="1" t="s">
        <v>243</v>
      </c>
      <c r="I1274" s="1">
        <v>6</v>
      </c>
      <c r="J1274" s="1">
        <v>38.82</v>
      </c>
      <c r="K1274" s="1">
        <v>15</v>
      </c>
      <c r="L1274" s="1">
        <v>197.98</v>
      </c>
      <c r="M1274" s="1">
        <v>19.03</v>
      </c>
      <c r="N1274" s="1">
        <v>62.49</v>
      </c>
      <c r="O1274" s="6" t="s">
        <v>39</v>
      </c>
      <c r="P1274" s="8">
        <f>Table1[Quantity]*Table1[Unit_Price]</f>
        <v>232.92000000000002</v>
      </c>
      <c r="Q1274" s="1">
        <f>Table1[Profit]/Table1[Total_Sales]</f>
        <v>0.31563794322658856</v>
      </c>
      <c r="R1274" s="14">
        <f>Table1[Total_Sales]+Table1[Shipping_Cost]</f>
        <v>217.01</v>
      </c>
    </row>
    <row r="1275" spans="1:18" x14ac:dyDescent="0.35">
      <c r="A1275" s="3" t="s">
        <v>2436</v>
      </c>
      <c r="B1275" s="2">
        <v>45629</v>
      </c>
      <c r="C1275" s="1" t="s">
        <v>2437</v>
      </c>
      <c r="D1275" s="1" t="s">
        <v>17</v>
      </c>
      <c r="E1275" s="1" t="s">
        <v>169</v>
      </c>
      <c r="F1275" s="1" t="s">
        <v>68</v>
      </c>
      <c r="G1275" s="1" t="s">
        <v>42</v>
      </c>
      <c r="H1275" s="1" t="s">
        <v>89</v>
      </c>
      <c r="I1275" s="1">
        <v>1</v>
      </c>
      <c r="J1275" s="1">
        <v>446.58</v>
      </c>
      <c r="K1275" s="1">
        <v>15</v>
      </c>
      <c r="L1275" s="1">
        <v>379.59</v>
      </c>
      <c r="M1275" s="1">
        <v>10.59</v>
      </c>
      <c r="N1275" s="1">
        <v>101.05</v>
      </c>
      <c r="O1275" s="6" t="s">
        <v>34</v>
      </c>
      <c r="P1275" s="8">
        <f>Table1[Quantity]*Table1[Unit_Price]</f>
        <v>446.58</v>
      </c>
      <c r="Q1275" s="1">
        <f>Table1[Profit]/Table1[Total_Sales]</f>
        <v>0.26620827735187969</v>
      </c>
      <c r="R1275" s="14">
        <f>Table1[Total_Sales]+Table1[Shipping_Cost]</f>
        <v>390.17999999999995</v>
      </c>
    </row>
    <row r="1276" spans="1:18" x14ac:dyDescent="0.35">
      <c r="A1276" s="3" t="s">
        <v>2438</v>
      </c>
      <c r="B1276" s="2">
        <v>45629</v>
      </c>
      <c r="C1276" s="1" t="s">
        <v>1540</v>
      </c>
      <c r="D1276" s="1" t="s">
        <v>49</v>
      </c>
      <c r="E1276" s="1" t="s">
        <v>31</v>
      </c>
      <c r="F1276" s="1" t="s">
        <v>19</v>
      </c>
      <c r="G1276" s="1" t="s">
        <v>69</v>
      </c>
      <c r="H1276" s="1" t="s">
        <v>160</v>
      </c>
      <c r="I1276" s="1">
        <v>3</v>
      </c>
      <c r="J1276" s="1">
        <v>24.35</v>
      </c>
      <c r="K1276" s="1">
        <v>15</v>
      </c>
      <c r="L1276" s="1">
        <v>62.09</v>
      </c>
      <c r="M1276" s="1">
        <v>8.1</v>
      </c>
      <c r="N1276" s="1">
        <v>17.46</v>
      </c>
      <c r="O1276" s="6" t="s">
        <v>22</v>
      </c>
      <c r="P1276" s="8">
        <f>Table1[Quantity]*Table1[Unit_Price]</f>
        <v>73.050000000000011</v>
      </c>
      <c r="Q1276" s="1">
        <f>Table1[Profit]/Table1[Total_Sales]</f>
        <v>0.28120470285070059</v>
      </c>
      <c r="R1276" s="14">
        <f>Table1[Total_Sales]+Table1[Shipping_Cost]</f>
        <v>70.19</v>
      </c>
    </row>
    <row r="1277" spans="1:18" x14ac:dyDescent="0.35">
      <c r="A1277" s="3" t="s">
        <v>2439</v>
      </c>
      <c r="B1277" s="2">
        <v>45631</v>
      </c>
      <c r="C1277" s="1" t="s">
        <v>2440</v>
      </c>
      <c r="D1277" s="1" t="s">
        <v>30</v>
      </c>
      <c r="E1277" s="1" t="s">
        <v>85</v>
      </c>
      <c r="F1277" s="1" t="s">
        <v>60</v>
      </c>
      <c r="G1277" s="1" t="s">
        <v>32</v>
      </c>
      <c r="H1277" s="1" t="s">
        <v>132</v>
      </c>
      <c r="I1277" s="1">
        <v>6</v>
      </c>
      <c r="J1277" s="1">
        <v>7.36</v>
      </c>
      <c r="K1277" s="1">
        <v>10</v>
      </c>
      <c r="L1277" s="1">
        <v>39.74</v>
      </c>
      <c r="M1277" s="1">
        <v>18.57</v>
      </c>
      <c r="N1277" s="1">
        <v>1.3</v>
      </c>
      <c r="O1277" s="6" t="s">
        <v>56</v>
      </c>
      <c r="P1277" s="8">
        <f>Table1[Quantity]*Table1[Unit_Price]</f>
        <v>44.160000000000004</v>
      </c>
      <c r="Q1277" s="1">
        <f>Table1[Profit]/Table1[Total_Sales]</f>
        <v>3.2712632108706591E-2</v>
      </c>
      <c r="R1277" s="14">
        <f>Table1[Total_Sales]+Table1[Shipping_Cost]</f>
        <v>58.31</v>
      </c>
    </row>
    <row r="1278" spans="1:18" x14ac:dyDescent="0.35">
      <c r="A1278" s="3" t="s">
        <v>2441</v>
      </c>
      <c r="B1278" s="2">
        <v>45631</v>
      </c>
      <c r="C1278" s="1" t="s">
        <v>2442</v>
      </c>
      <c r="D1278" s="1" t="s">
        <v>17</v>
      </c>
      <c r="E1278" s="1" t="s">
        <v>129</v>
      </c>
      <c r="F1278" s="1" t="s">
        <v>19</v>
      </c>
      <c r="G1278" s="1" t="s">
        <v>42</v>
      </c>
      <c r="H1278" s="1" t="s">
        <v>43</v>
      </c>
      <c r="I1278" s="1">
        <v>3</v>
      </c>
      <c r="J1278" s="1">
        <v>250.01</v>
      </c>
      <c r="K1278" s="1">
        <v>10</v>
      </c>
      <c r="L1278" s="1">
        <v>675.03</v>
      </c>
      <c r="M1278" s="1">
        <v>7.92</v>
      </c>
      <c r="N1278" s="1">
        <v>217.09</v>
      </c>
      <c r="O1278" s="6" t="s">
        <v>39</v>
      </c>
      <c r="P1278" s="8">
        <f>Table1[Quantity]*Table1[Unit_Price]</f>
        <v>750.03</v>
      </c>
      <c r="Q1278" s="1">
        <f>Table1[Profit]/Table1[Total_Sales]</f>
        <v>0.32160052145830559</v>
      </c>
      <c r="R1278" s="14">
        <f>Table1[Total_Sales]+Table1[Shipping_Cost]</f>
        <v>682.94999999999993</v>
      </c>
    </row>
    <row r="1279" spans="1:18" x14ac:dyDescent="0.35">
      <c r="A1279" s="3" t="s">
        <v>2443</v>
      </c>
      <c r="B1279" s="2">
        <v>45632</v>
      </c>
      <c r="C1279" s="1" t="s">
        <v>2444</v>
      </c>
      <c r="D1279" s="1" t="s">
        <v>17</v>
      </c>
      <c r="E1279" s="1" t="s">
        <v>85</v>
      </c>
      <c r="F1279" s="1" t="s">
        <v>60</v>
      </c>
      <c r="G1279" s="1" t="s">
        <v>32</v>
      </c>
      <c r="H1279" s="1" t="s">
        <v>115</v>
      </c>
      <c r="I1279" s="1">
        <v>1</v>
      </c>
      <c r="J1279" s="1">
        <v>16.46</v>
      </c>
      <c r="K1279" s="1">
        <v>25</v>
      </c>
      <c r="L1279" s="1">
        <v>12.35</v>
      </c>
      <c r="M1279" s="1">
        <v>11.48</v>
      </c>
      <c r="N1279" s="1">
        <v>-6.54</v>
      </c>
      <c r="O1279" s="6" t="s">
        <v>39</v>
      </c>
      <c r="P1279" s="8">
        <f>Table1[Quantity]*Table1[Unit_Price]</f>
        <v>16.46</v>
      </c>
      <c r="Q1279" s="1">
        <f>Table1[Profit]/Table1[Total_Sales]</f>
        <v>-0.52955465587044537</v>
      </c>
      <c r="R1279" s="14">
        <f>Table1[Total_Sales]+Table1[Shipping_Cost]</f>
        <v>23.83</v>
      </c>
    </row>
    <row r="1280" spans="1:18" x14ac:dyDescent="0.35">
      <c r="A1280" s="3" t="s">
        <v>2445</v>
      </c>
      <c r="B1280" s="2">
        <v>45634</v>
      </c>
      <c r="C1280" s="1" t="s">
        <v>2446</v>
      </c>
      <c r="D1280" s="1" t="s">
        <v>17</v>
      </c>
      <c r="E1280" s="1" t="s">
        <v>129</v>
      </c>
      <c r="F1280" s="1" t="s">
        <v>19</v>
      </c>
      <c r="G1280" s="1" t="s">
        <v>69</v>
      </c>
      <c r="H1280" s="1" t="s">
        <v>139</v>
      </c>
      <c r="I1280" s="1">
        <v>2</v>
      </c>
      <c r="J1280" s="1">
        <v>66.53</v>
      </c>
      <c r="K1280" s="1">
        <v>5</v>
      </c>
      <c r="L1280" s="1">
        <v>126.41</v>
      </c>
      <c r="M1280" s="1">
        <v>9.3800000000000008</v>
      </c>
      <c r="N1280" s="1">
        <v>50.5</v>
      </c>
      <c r="O1280" s="6" t="s">
        <v>34</v>
      </c>
      <c r="P1280" s="8">
        <f>Table1[Quantity]*Table1[Unit_Price]</f>
        <v>133.06</v>
      </c>
      <c r="Q1280" s="1">
        <f>Table1[Profit]/Table1[Total_Sales]</f>
        <v>0.39949371094059016</v>
      </c>
      <c r="R1280" s="14">
        <f>Table1[Total_Sales]+Table1[Shipping_Cost]</f>
        <v>135.79</v>
      </c>
    </row>
    <row r="1281" spans="1:18" x14ac:dyDescent="0.35">
      <c r="A1281" s="3" t="s">
        <v>2447</v>
      </c>
      <c r="B1281" s="2">
        <v>45634</v>
      </c>
      <c r="C1281" s="1" t="s">
        <v>2448</v>
      </c>
      <c r="D1281" s="1" t="s">
        <v>17</v>
      </c>
      <c r="E1281" s="1" t="s">
        <v>248</v>
      </c>
      <c r="F1281" s="1" t="s">
        <v>26</v>
      </c>
      <c r="G1281" s="1" t="s">
        <v>69</v>
      </c>
      <c r="H1281" s="1" t="s">
        <v>243</v>
      </c>
      <c r="I1281" s="1">
        <v>3</v>
      </c>
      <c r="J1281" s="1">
        <v>45.43</v>
      </c>
      <c r="K1281" s="1">
        <v>0</v>
      </c>
      <c r="L1281" s="1">
        <v>136.29</v>
      </c>
      <c r="M1281" s="1">
        <v>9.9499999999999993</v>
      </c>
      <c r="N1281" s="1">
        <v>58.19</v>
      </c>
      <c r="O1281" s="6" t="s">
        <v>34</v>
      </c>
      <c r="P1281" s="8">
        <f>Table1[Quantity]*Table1[Unit_Price]</f>
        <v>136.29</v>
      </c>
      <c r="Q1281" s="1">
        <f>Table1[Profit]/Table1[Total_Sales]</f>
        <v>0.42695722356739307</v>
      </c>
      <c r="R1281" s="14">
        <f>Table1[Total_Sales]+Table1[Shipping_Cost]</f>
        <v>146.23999999999998</v>
      </c>
    </row>
    <row r="1282" spans="1:18" x14ac:dyDescent="0.35">
      <c r="A1282" s="3" t="s">
        <v>2449</v>
      </c>
      <c r="B1282" s="2">
        <v>45634</v>
      </c>
      <c r="C1282" s="1" t="s">
        <v>2450</v>
      </c>
      <c r="D1282" s="1" t="s">
        <v>30</v>
      </c>
      <c r="E1282" s="1" t="s">
        <v>18</v>
      </c>
      <c r="F1282" s="1" t="s">
        <v>19</v>
      </c>
      <c r="G1282" s="1" t="s">
        <v>32</v>
      </c>
      <c r="H1282" s="1" t="s">
        <v>132</v>
      </c>
      <c r="I1282" s="1">
        <v>2</v>
      </c>
      <c r="J1282" s="1">
        <v>11.64</v>
      </c>
      <c r="K1282" s="1">
        <v>0</v>
      </c>
      <c r="L1282" s="1">
        <v>23.28</v>
      </c>
      <c r="M1282" s="1">
        <v>8.51</v>
      </c>
      <c r="N1282" s="1">
        <v>4.29</v>
      </c>
      <c r="O1282" s="6" t="s">
        <v>34</v>
      </c>
      <c r="P1282" s="8">
        <f>Table1[Quantity]*Table1[Unit_Price]</f>
        <v>23.28</v>
      </c>
      <c r="Q1282" s="1">
        <f>Table1[Profit]/Table1[Total_Sales]</f>
        <v>0.1842783505154639</v>
      </c>
      <c r="R1282" s="14">
        <f>Table1[Total_Sales]+Table1[Shipping_Cost]</f>
        <v>31.79</v>
      </c>
    </row>
    <row r="1283" spans="1:18" x14ac:dyDescent="0.35">
      <c r="A1283" s="3" t="s">
        <v>2451</v>
      </c>
      <c r="B1283" s="2">
        <v>45635</v>
      </c>
      <c r="C1283" s="1" t="s">
        <v>2452</v>
      </c>
      <c r="D1283" s="1" t="s">
        <v>30</v>
      </c>
      <c r="E1283" s="1" t="s">
        <v>129</v>
      </c>
      <c r="F1283" s="1" t="s">
        <v>19</v>
      </c>
      <c r="G1283" s="1" t="s">
        <v>20</v>
      </c>
      <c r="H1283" s="1" t="s">
        <v>27</v>
      </c>
      <c r="I1283" s="1">
        <v>4</v>
      </c>
      <c r="J1283" s="1">
        <v>171.86</v>
      </c>
      <c r="K1283" s="1">
        <v>0</v>
      </c>
      <c r="L1283" s="1">
        <v>687.44</v>
      </c>
      <c r="M1283" s="1">
        <v>13.48</v>
      </c>
      <c r="N1283" s="1">
        <v>295.87</v>
      </c>
      <c r="O1283" s="6" t="s">
        <v>39</v>
      </c>
      <c r="P1283" s="8">
        <f>Table1[Quantity]*Table1[Unit_Price]</f>
        <v>687.44</v>
      </c>
      <c r="Q1283" s="1">
        <f>Table1[Profit]/Table1[Total_Sales]</f>
        <v>0.43039392528802511</v>
      </c>
      <c r="R1283" s="14">
        <f>Table1[Total_Sales]+Table1[Shipping_Cost]</f>
        <v>700.92000000000007</v>
      </c>
    </row>
    <row r="1284" spans="1:18" x14ac:dyDescent="0.35">
      <c r="A1284" s="3" t="s">
        <v>2453</v>
      </c>
      <c r="B1284" s="2">
        <v>45635</v>
      </c>
      <c r="C1284" s="1" t="s">
        <v>2454</v>
      </c>
      <c r="D1284" s="1" t="s">
        <v>49</v>
      </c>
      <c r="E1284" s="1" t="s">
        <v>148</v>
      </c>
      <c r="F1284" s="1" t="s">
        <v>60</v>
      </c>
      <c r="G1284" s="1" t="s">
        <v>20</v>
      </c>
      <c r="H1284" s="1" t="s">
        <v>106</v>
      </c>
      <c r="I1284" s="1">
        <v>1</v>
      </c>
      <c r="J1284" s="1">
        <v>36.61</v>
      </c>
      <c r="K1284" s="1">
        <v>10</v>
      </c>
      <c r="L1284" s="1">
        <v>32.950000000000003</v>
      </c>
      <c r="M1284" s="1">
        <v>10.73</v>
      </c>
      <c r="N1284" s="1">
        <v>2.08</v>
      </c>
      <c r="O1284" s="6" t="s">
        <v>39</v>
      </c>
      <c r="P1284" s="8">
        <f>Table1[Quantity]*Table1[Unit_Price]</f>
        <v>36.61</v>
      </c>
      <c r="Q1284" s="1">
        <f>Table1[Profit]/Table1[Total_Sales]</f>
        <v>6.3125948406676777E-2</v>
      </c>
      <c r="R1284" s="14">
        <f>Table1[Total_Sales]+Table1[Shipping_Cost]</f>
        <v>43.680000000000007</v>
      </c>
    </row>
    <row r="1285" spans="1:18" x14ac:dyDescent="0.35">
      <c r="A1285" s="3" t="s">
        <v>2455</v>
      </c>
      <c r="B1285" s="2">
        <v>45635</v>
      </c>
      <c r="C1285" s="1" t="s">
        <v>2244</v>
      </c>
      <c r="D1285" s="1" t="s">
        <v>30</v>
      </c>
      <c r="E1285" s="1" t="s">
        <v>129</v>
      </c>
      <c r="F1285" s="1" t="s">
        <v>19</v>
      </c>
      <c r="G1285" s="1" t="s">
        <v>69</v>
      </c>
      <c r="H1285" s="1" t="s">
        <v>305</v>
      </c>
      <c r="I1285" s="1">
        <v>3</v>
      </c>
      <c r="J1285" s="1">
        <v>25.68</v>
      </c>
      <c r="K1285" s="1">
        <v>0</v>
      </c>
      <c r="L1285" s="1">
        <v>77.040000000000006</v>
      </c>
      <c r="M1285" s="1">
        <v>10.44</v>
      </c>
      <c r="N1285" s="1">
        <v>28.08</v>
      </c>
      <c r="O1285" s="6" t="s">
        <v>34</v>
      </c>
      <c r="P1285" s="8">
        <f>Table1[Quantity]*Table1[Unit_Price]</f>
        <v>77.039999999999992</v>
      </c>
      <c r="Q1285" s="1">
        <f>Table1[Profit]/Table1[Total_Sales]</f>
        <v>0.36448598130841114</v>
      </c>
      <c r="R1285" s="14">
        <f>Table1[Total_Sales]+Table1[Shipping_Cost]</f>
        <v>87.48</v>
      </c>
    </row>
    <row r="1286" spans="1:18" x14ac:dyDescent="0.35">
      <c r="A1286" s="3" t="s">
        <v>2456</v>
      </c>
      <c r="B1286" s="2">
        <v>45635</v>
      </c>
      <c r="C1286" s="1" t="s">
        <v>2457</v>
      </c>
      <c r="D1286" s="1" t="s">
        <v>30</v>
      </c>
      <c r="E1286" s="1" t="s">
        <v>109</v>
      </c>
      <c r="F1286" s="1" t="s">
        <v>54</v>
      </c>
      <c r="G1286" s="1" t="s">
        <v>69</v>
      </c>
      <c r="H1286" s="1" t="s">
        <v>305</v>
      </c>
      <c r="I1286" s="1">
        <v>4</v>
      </c>
      <c r="J1286" s="1">
        <v>55.09</v>
      </c>
      <c r="K1286" s="1">
        <v>0</v>
      </c>
      <c r="L1286" s="1">
        <v>220.36</v>
      </c>
      <c r="M1286" s="1">
        <v>17.41</v>
      </c>
      <c r="N1286" s="1">
        <v>92.77</v>
      </c>
      <c r="O1286" s="6" t="s">
        <v>22</v>
      </c>
      <c r="P1286" s="8">
        <f>Table1[Quantity]*Table1[Unit_Price]</f>
        <v>220.36</v>
      </c>
      <c r="Q1286" s="1">
        <f>Table1[Profit]/Table1[Total_Sales]</f>
        <v>0.42099292067525862</v>
      </c>
      <c r="R1286" s="14">
        <f>Table1[Total_Sales]+Table1[Shipping_Cost]</f>
        <v>237.77</v>
      </c>
    </row>
    <row r="1287" spans="1:18" x14ac:dyDescent="0.35">
      <c r="A1287" s="3" t="s">
        <v>2458</v>
      </c>
      <c r="B1287" s="2">
        <v>45636</v>
      </c>
      <c r="C1287" s="1" t="s">
        <v>2459</v>
      </c>
      <c r="D1287" s="1" t="s">
        <v>30</v>
      </c>
      <c r="E1287" s="1" t="s">
        <v>59</v>
      </c>
      <c r="F1287" s="1" t="s">
        <v>60</v>
      </c>
      <c r="G1287" s="1" t="s">
        <v>32</v>
      </c>
      <c r="H1287" s="1" t="s">
        <v>101</v>
      </c>
      <c r="I1287" s="1">
        <v>1</v>
      </c>
      <c r="J1287" s="1">
        <v>14.87</v>
      </c>
      <c r="K1287" s="1">
        <v>10</v>
      </c>
      <c r="L1287" s="1">
        <v>13.38</v>
      </c>
      <c r="M1287" s="1">
        <v>10.11</v>
      </c>
      <c r="N1287" s="1">
        <v>-3.42</v>
      </c>
      <c r="O1287" s="6" t="s">
        <v>39</v>
      </c>
      <c r="P1287" s="8">
        <f>Table1[Quantity]*Table1[Unit_Price]</f>
        <v>14.87</v>
      </c>
      <c r="Q1287" s="1">
        <f>Table1[Profit]/Table1[Total_Sales]</f>
        <v>-0.25560538116591924</v>
      </c>
      <c r="R1287" s="14">
        <f>Table1[Total_Sales]+Table1[Shipping_Cost]</f>
        <v>23.490000000000002</v>
      </c>
    </row>
    <row r="1288" spans="1:18" x14ac:dyDescent="0.35">
      <c r="A1288" s="3" t="s">
        <v>2460</v>
      </c>
      <c r="B1288" s="2">
        <v>45636</v>
      </c>
      <c r="C1288" s="1" t="s">
        <v>2461</v>
      </c>
      <c r="D1288" s="1" t="s">
        <v>17</v>
      </c>
      <c r="E1288" s="1" t="s">
        <v>248</v>
      </c>
      <c r="F1288" s="1" t="s">
        <v>26</v>
      </c>
      <c r="G1288" s="1" t="s">
        <v>42</v>
      </c>
      <c r="H1288" s="1" t="s">
        <v>43</v>
      </c>
      <c r="I1288" s="1">
        <v>6</v>
      </c>
      <c r="J1288" s="1">
        <v>282.23</v>
      </c>
      <c r="K1288" s="1">
        <v>5</v>
      </c>
      <c r="L1288" s="1">
        <v>1608.71</v>
      </c>
      <c r="M1288" s="1">
        <v>20.02</v>
      </c>
      <c r="N1288" s="1">
        <v>572.66</v>
      </c>
      <c r="O1288" s="6" t="s">
        <v>34</v>
      </c>
      <c r="P1288" s="8">
        <f>Table1[Quantity]*Table1[Unit_Price]</f>
        <v>1693.38</v>
      </c>
      <c r="Q1288" s="1">
        <f>Table1[Profit]/Table1[Total_Sales]</f>
        <v>0.35597466292868196</v>
      </c>
      <c r="R1288" s="14">
        <f>Table1[Total_Sales]+Table1[Shipping_Cost]</f>
        <v>1628.73</v>
      </c>
    </row>
    <row r="1289" spans="1:18" x14ac:dyDescent="0.35">
      <c r="A1289" s="3" t="s">
        <v>2462</v>
      </c>
      <c r="B1289" s="2">
        <v>45637</v>
      </c>
      <c r="C1289" s="1" t="s">
        <v>2463</v>
      </c>
      <c r="D1289" s="1" t="s">
        <v>30</v>
      </c>
      <c r="E1289" s="1" t="s">
        <v>92</v>
      </c>
      <c r="F1289" s="1" t="s">
        <v>60</v>
      </c>
      <c r="G1289" s="1" t="s">
        <v>32</v>
      </c>
      <c r="H1289" s="1" t="s">
        <v>73</v>
      </c>
      <c r="I1289" s="1">
        <v>6</v>
      </c>
      <c r="J1289" s="1">
        <v>5.74</v>
      </c>
      <c r="K1289" s="1">
        <v>15</v>
      </c>
      <c r="L1289" s="1">
        <v>29.27</v>
      </c>
      <c r="M1289" s="1">
        <v>16.98</v>
      </c>
      <c r="N1289" s="1">
        <v>-3.21</v>
      </c>
      <c r="O1289" s="6" t="s">
        <v>34</v>
      </c>
      <c r="P1289" s="8">
        <f>Table1[Quantity]*Table1[Unit_Price]</f>
        <v>34.44</v>
      </c>
      <c r="Q1289" s="1">
        <f>Table1[Profit]/Table1[Total_Sales]</f>
        <v>-0.10966860266484454</v>
      </c>
      <c r="R1289" s="14">
        <f>Table1[Total_Sales]+Table1[Shipping_Cost]</f>
        <v>46.25</v>
      </c>
    </row>
    <row r="1290" spans="1:18" x14ac:dyDescent="0.35">
      <c r="A1290" s="3" t="s">
        <v>2464</v>
      </c>
      <c r="B1290" s="2">
        <v>45637</v>
      </c>
      <c r="C1290" s="1" t="s">
        <v>397</v>
      </c>
      <c r="D1290" s="1" t="s">
        <v>30</v>
      </c>
      <c r="E1290" s="1" t="s">
        <v>148</v>
      </c>
      <c r="F1290" s="1" t="s">
        <v>60</v>
      </c>
      <c r="G1290" s="1" t="s">
        <v>32</v>
      </c>
      <c r="H1290" s="1" t="s">
        <v>115</v>
      </c>
      <c r="I1290" s="1">
        <v>12</v>
      </c>
      <c r="J1290" s="1">
        <v>10.53</v>
      </c>
      <c r="K1290" s="1">
        <v>20</v>
      </c>
      <c r="L1290" s="1">
        <v>101.09</v>
      </c>
      <c r="M1290" s="1">
        <v>32.83</v>
      </c>
      <c r="N1290" s="1">
        <v>11.4</v>
      </c>
      <c r="O1290" s="6" t="s">
        <v>56</v>
      </c>
      <c r="P1290" s="8">
        <f>Table1[Quantity]*Table1[Unit_Price]</f>
        <v>126.35999999999999</v>
      </c>
      <c r="Q1290" s="1">
        <f>Table1[Profit]/Table1[Total_Sales]</f>
        <v>0.11277079829854585</v>
      </c>
      <c r="R1290" s="14">
        <f>Table1[Total_Sales]+Table1[Shipping_Cost]</f>
        <v>133.92000000000002</v>
      </c>
    </row>
    <row r="1291" spans="1:18" x14ac:dyDescent="0.35">
      <c r="A1291" s="3" t="s">
        <v>2465</v>
      </c>
      <c r="B1291" s="2">
        <v>45637</v>
      </c>
      <c r="C1291" s="1" t="s">
        <v>2466</v>
      </c>
      <c r="D1291" s="1" t="s">
        <v>17</v>
      </c>
      <c r="E1291" s="1" t="s">
        <v>31</v>
      </c>
      <c r="F1291" s="1" t="s">
        <v>19</v>
      </c>
      <c r="G1291" s="1" t="s">
        <v>42</v>
      </c>
      <c r="H1291" s="1" t="s">
        <v>64</v>
      </c>
      <c r="I1291" s="1">
        <v>3</v>
      </c>
      <c r="J1291" s="1">
        <v>76.16</v>
      </c>
      <c r="K1291" s="1">
        <v>5</v>
      </c>
      <c r="L1291" s="1">
        <v>217.06</v>
      </c>
      <c r="M1291" s="1">
        <v>8.25</v>
      </c>
      <c r="N1291" s="1">
        <v>71.72</v>
      </c>
      <c r="O1291" s="6" t="s">
        <v>56</v>
      </c>
      <c r="P1291" s="8">
        <f>Table1[Quantity]*Table1[Unit_Price]</f>
        <v>228.48</v>
      </c>
      <c r="Q1291" s="1">
        <f>Table1[Profit]/Table1[Total_Sales]</f>
        <v>0.33041555330323413</v>
      </c>
      <c r="R1291" s="14">
        <f>Table1[Total_Sales]+Table1[Shipping_Cost]</f>
        <v>225.31</v>
      </c>
    </row>
    <row r="1292" spans="1:18" x14ac:dyDescent="0.35">
      <c r="A1292" s="3" t="s">
        <v>2467</v>
      </c>
      <c r="B1292" s="2">
        <v>45639</v>
      </c>
      <c r="C1292" s="1" t="s">
        <v>1884</v>
      </c>
      <c r="D1292" s="1" t="s">
        <v>30</v>
      </c>
      <c r="E1292" s="1" t="s">
        <v>138</v>
      </c>
      <c r="F1292" s="1" t="s">
        <v>54</v>
      </c>
      <c r="G1292" s="1" t="s">
        <v>42</v>
      </c>
      <c r="H1292" s="1" t="s">
        <v>118</v>
      </c>
      <c r="I1292" s="1">
        <v>4</v>
      </c>
      <c r="J1292" s="1">
        <v>84.66</v>
      </c>
      <c r="K1292" s="1">
        <v>5</v>
      </c>
      <c r="L1292" s="1">
        <v>321.70999999999998</v>
      </c>
      <c r="M1292" s="1">
        <v>13.55</v>
      </c>
      <c r="N1292" s="1">
        <v>104.98</v>
      </c>
      <c r="O1292" s="6" t="s">
        <v>56</v>
      </c>
      <c r="P1292" s="8">
        <f>Table1[Quantity]*Table1[Unit_Price]</f>
        <v>338.64</v>
      </c>
      <c r="Q1292" s="1">
        <f>Table1[Profit]/Table1[Total_Sales]</f>
        <v>0.32631873426377794</v>
      </c>
      <c r="R1292" s="14">
        <f>Table1[Total_Sales]+Table1[Shipping_Cost]</f>
        <v>335.26</v>
      </c>
    </row>
    <row r="1293" spans="1:18" x14ac:dyDescent="0.35">
      <c r="A1293" s="3" t="s">
        <v>2468</v>
      </c>
      <c r="B1293" s="2">
        <v>45639</v>
      </c>
      <c r="C1293" s="1" t="s">
        <v>2469</v>
      </c>
      <c r="D1293" s="1" t="s">
        <v>30</v>
      </c>
      <c r="E1293" s="1" t="s">
        <v>31</v>
      </c>
      <c r="F1293" s="1" t="s">
        <v>19</v>
      </c>
      <c r="G1293" s="1" t="s">
        <v>69</v>
      </c>
      <c r="H1293" s="1" t="s">
        <v>163</v>
      </c>
      <c r="I1293" s="1">
        <v>12</v>
      </c>
      <c r="J1293" s="1">
        <v>44.66</v>
      </c>
      <c r="K1293" s="1">
        <v>5</v>
      </c>
      <c r="L1293" s="1">
        <v>509.12</v>
      </c>
      <c r="M1293" s="1">
        <v>14.12</v>
      </c>
      <c r="N1293" s="1">
        <v>227.04</v>
      </c>
      <c r="O1293" s="6" t="s">
        <v>34</v>
      </c>
      <c r="P1293" s="8">
        <f>Table1[Quantity]*Table1[Unit_Price]</f>
        <v>535.91999999999996</v>
      </c>
      <c r="Q1293" s="1">
        <f>Table1[Profit]/Table1[Total_Sales]</f>
        <v>0.44594594594594594</v>
      </c>
      <c r="R1293" s="14">
        <f>Table1[Total_Sales]+Table1[Shipping_Cost]</f>
        <v>523.24</v>
      </c>
    </row>
    <row r="1294" spans="1:18" x14ac:dyDescent="0.35">
      <c r="A1294" s="3" t="s">
        <v>2470</v>
      </c>
      <c r="B1294" s="2">
        <v>45640</v>
      </c>
      <c r="C1294" s="1" t="s">
        <v>2471</v>
      </c>
      <c r="D1294" s="1" t="s">
        <v>17</v>
      </c>
      <c r="E1294" s="1" t="s">
        <v>67</v>
      </c>
      <c r="F1294" s="1" t="s">
        <v>68</v>
      </c>
      <c r="G1294" s="1" t="s">
        <v>42</v>
      </c>
      <c r="H1294" s="1" t="s">
        <v>89</v>
      </c>
      <c r="I1294" s="1">
        <v>2</v>
      </c>
      <c r="J1294" s="1">
        <v>329.54</v>
      </c>
      <c r="K1294" s="1">
        <v>0</v>
      </c>
      <c r="L1294" s="1">
        <v>659.08</v>
      </c>
      <c r="M1294" s="1">
        <v>12.54</v>
      </c>
      <c r="N1294" s="1">
        <v>251.09</v>
      </c>
      <c r="O1294" s="6" t="s">
        <v>39</v>
      </c>
      <c r="P1294" s="8">
        <f>Table1[Quantity]*Table1[Unit_Price]</f>
        <v>659.08</v>
      </c>
      <c r="Q1294" s="1">
        <f>Table1[Profit]/Table1[Total_Sales]</f>
        <v>0.38097044364872246</v>
      </c>
      <c r="R1294" s="14">
        <f>Table1[Total_Sales]+Table1[Shipping_Cost]</f>
        <v>671.62</v>
      </c>
    </row>
    <row r="1295" spans="1:18" x14ac:dyDescent="0.35">
      <c r="A1295" s="3" t="s">
        <v>2472</v>
      </c>
      <c r="B1295" s="2">
        <v>45640</v>
      </c>
      <c r="C1295" s="1" t="s">
        <v>2473</v>
      </c>
      <c r="D1295" s="1" t="s">
        <v>17</v>
      </c>
      <c r="E1295" s="1" t="s">
        <v>37</v>
      </c>
      <c r="F1295" s="1" t="s">
        <v>26</v>
      </c>
      <c r="G1295" s="1" t="s">
        <v>32</v>
      </c>
      <c r="H1295" s="1" t="s">
        <v>33</v>
      </c>
      <c r="I1295" s="1">
        <v>5</v>
      </c>
      <c r="J1295" s="1">
        <v>5.79</v>
      </c>
      <c r="K1295" s="1">
        <v>5</v>
      </c>
      <c r="L1295" s="1">
        <v>27.5</v>
      </c>
      <c r="M1295" s="1">
        <v>18.73</v>
      </c>
      <c r="N1295" s="1">
        <v>-4.26</v>
      </c>
      <c r="O1295" s="6" t="s">
        <v>56</v>
      </c>
      <c r="P1295" s="8">
        <f>Table1[Quantity]*Table1[Unit_Price]</f>
        <v>28.95</v>
      </c>
      <c r="Q1295" s="1">
        <f>Table1[Profit]/Table1[Total_Sales]</f>
        <v>-0.15490909090909091</v>
      </c>
      <c r="R1295" s="14">
        <f>Table1[Total_Sales]+Table1[Shipping_Cost]</f>
        <v>46.230000000000004</v>
      </c>
    </row>
    <row r="1296" spans="1:18" x14ac:dyDescent="0.35">
      <c r="A1296" s="3" t="s">
        <v>2474</v>
      </c>
      <c r="B1296" s="2">
        <v>45640</v>
      </c>
      <c r="C1296" s="1" t="s">
        <v>740</v>
      </c>
      <c r="D1296" s="1" t="s">
        <v>30</v>
      </c>
      <c r="E1296" s="1" t="s">
        <v>18</v>
      </c>
      <c r="F1296" s="1" t="s">
        <v>19</v>
      </c>
      <c r="G1296" s="1" t="s">
        <v>32</v>
      </c>
      <c r="H1296" s="1" t="s">
        <v>73</v>
      </c>
      <c r="I1296" s="1">
        <v>6</v>
      </c>
      <c r="J1296" s="1">
        <v>6.27</v>
      </c>
      <c r="K1296" s="1">
        <v>5</v>
      </c>
      <c r="L1296" s="1">
        <v>35.74</v>
      </c>
      <c r="M1296" s="1">
        <v>19.36</v>
      </c>
      <c r="N1296" s="1">
        <v>-0.55000000000000004</v>
      </c>
      <c r="O1296" s="6" t="s">
        <v>22</v>
      </c>
      <c r="P1296" s="8">
        <f>Table1[Quantity]*Table1[Unit_Price]</f>
        <v>37.619999999999997</v>
      </c>
      <c r="Q1296" s="1">
        <f>Table1[Profit]/Table1[Total_Sales]</f>
        <v>-1.5388919977616117E-2</v>
      </c>
      <c r="R1296" s="14">
        <f>Table1[Total_Sales]+Table1[Shipping_Cost]</f>
        <v>55.1</v>
      </c>
    </row>
    <row r="1297" spans="1:18" x14ac:dyDescent="0.35">
      <c r="A1297" s="3" t="s">
        <v>2475</v>
      </c>
      <c r="B1297" s="2">
        <v>45640</v>
      </c>
      <c r="C1297" s="1" t="s">
        <v>2476</v>
      </c>
      <c r="D1297" s="1" t="s">
        <v>17</v>
      </c>
      <c r="E1297" s="1" t="s">
        <v>59</v>
      </c>
      <c r="F1297" s="1" t="s">
        <v>60</v>
      </c>
      <c r="G1297" s="1" t="s">
        <v>32</v>
      </c>
      <c r="H1297" s="1" t="s">
        <v>149</v>
      </c>
      <c r="I1297" s="1">
        <v>3</v>
      </c>
      <c r="J1297" s="1">
        <v>8.94</v>
      </c>
      <c r="K1297" s="1">
        <v>15</v>
      </c>
      <c r="L1297" s="1">
        <v>22.8</v>
      </c>
      <c r="M1297" s="1">
        <v>14.91</v>
      </c>
      <c r="N1297" s="1">
        <v>-4.18</v>
      </c>
      <c r="O1297" s="6" t="s">
        <v>34</v>
      </c>
      <c r="P1297" s="8">
        <f>Table1[Quantity]*Table1[Unit_Price]</f>
        <v>26.82</v>
      </c>
      <c r="Q1297" s="1">
        <f>Table1[Profit]/Table1[Total_Sales]</f>
        <v>-0.18333333333333332</v>
      </c>
      <c r="R1297" s="14">
        <f>Table1[Total_Sales]+Table1[Shipping_Cost]</f>
        <v>37.71</v>
      </c>
    </row>
    <row r="1298" spans="1:18" x14ac:dyDescent="0.35">
      <c r="A1298" s="3" t="s">
        <v>2477</v>
      </c>
      <c r="B1298" s="2">
        <v>45640</v>
      </c>
      <c r="C1298" s="1" t="s">
        <v>217</v>
      </c>
      <c r="D1298" s="1" t="s">
        <v>17</v>
      </c>
      <c r="E1298" s="1" t="s">
        <v>166</v>
      </c>
      <c r="F1298" s="1" t="s">
        <v>60</v>
      </c>
      <c r="G1298" s="1" t="s">
        <v>20</v>
      </c>
      <c r="H1298" s="1" t="s">
        <v>55</v>
      </c>
      <c r="I1298" s="1">
        <v>5</v>
      </c>
      <c r="J1298" s="1">
        <v>39.270000000000003</v>
      </c>
      <c r="K1298" s="1">
        <v>30</v>
      </c>
      <c r="L1298" s="1">
        <v>137.44</v>
      </c>
      <c r="M1298" s="1">
        <v>19.48</v>
      </c>
      <c r="N1298" s="1">
        <v>9.9700000000000006</v>
      </c>
      <c r="O1298" s="6" t="s">
        <v>56</v>
      </c>
      <c r="P1298" s="8">
        <f>Table1[Quantity]*Table1[Unit_Price]</f>
        <v>196.35000000000002</v>
      </c>
      <c r="Q1298" s="1">
        <f>Table1[Profit]/Table1[Total_Sales]</f>
        <v>7.2540745052386502E-2</v>
      </c>
      <c r="R1298" s="14">
        <f>Table1[Total_Sales]+Table1[Shipping_Cost]</f>
        <v>156.91999999999999</v>
      </c>
    </row>
    <row r="1299" spans="1:18" x14ac:dyDescent="0.35">
      <c r="A1299" s="3" t="s">
        <v>2478</v>
      </c>
      <c r="B1299" s="2">
        <v>45641</v>
      </c>
      <c r="C1299" s="1" t="s">
        <v>2479</v>
      </c>
      <c r="D1299" s="1" t="s">
        <v>49</v>
      </c>
      <c r="E1299" s="1" t="s">
        <v>169</v>
      </c>
      <c r="F1299" s="1" t="s">
        <v>68</v>
      </c>
      <c r="G1299" s="1" t="s">
        <v>32</v>
      </c>
      <c r="H1299" s="1" t="s">
        <v>132</v>
      </c>
      <c r="I1299" s="1">
        <v>7</v>
      </c>
      <c r="J1299" s="1">
        <v>13.74</v>
      </c>
      <c r="K1299" s="1">
        <v>5</v>
      </c>
      <c r="L1299" s="1">
        <v>91.37</v>
      </c>
      <c r="M1299" s="1">
        <v>21.95</v>
      </c>
      <c r="N1299" s="1">
        <v>26.14</v>
      </c>
      <c r="O1299" s="6" t="s">
        <v>22</v>
      </c>
      <c r="P1299" s="8">
        <f>Table1[Quantity]*Table1[Unit_Price]</f>
        <v>96.18</v>
      </c>
      <c r="Q1299" s="1">
        <f>Table1[Profit]/Table1[Total_Sales]</f>
        <v>0.28608952610265953</v>
      </c>
      <c r="R1299" s="14">
        <f>Table1[Total_Sales]+Table1[Shipping_Cost]</f>
        <v>113.32000000000001</v>
      </c>
    </row>
    <row r="1300" spans="1:18" x14ac:dyDescent="0.35">
      <c r="A1300" s="3" t="s">
        <v>2480</v>
      </c>
      <c r="B1300" s="2">
        <v>45641</v>
      </c>
      <c r="C1300" s="1" t="s">
        <v>2481</v>
      </c>
      <c r="D1300" s="1" t="s">
        <v>30</v>
      </c>
      <c r="E1300" s="1" t="s">
        <v>85</v>
      </c>
      <c r="F1300" s="1" t="s">
        <v>60</v>
      </c>
      <c r="G1300" s="1" t="s">
        <v>32</v>
      </c>
      <c r="H1300" s="1" t="s">
        <v>348</v>
      </c>
      <c r="I1300" s="1">
        <v>4</v>
      </c>
      <c r="J1300" s="1">
        <v>12.49</v>
      </c>
      <c r="K1300" s="1">
        <v>5</v>
      </c>
      <c r="L1300" s="1">
        <v>47.46</v>
      </c>
      <c r="M1300" s="1">
        <v>14.76</v>
      </c>
      <c r="N1300" s="1">
        <v>10.220000000000001</v>
      </c>
      <c r="O1300" s="6" t="s">
        <v>56</v>
      </c>
      <c r="P1300" s="8">
        <f>Table1[Quantity]*Table1[Unit_Price]</f>
        <v>49.96</v>
      </c>
      <c r="Q1300" s="1">
        <f>Table1[Profit]/Table1[Total_Sales]</f>
        <v>0.21533923303834809</v>
      </c>
      <c r="R1300" s="14">
        <f>Table1[Total_Sales]+Table1[Shipping_Cost]</f>
        <v>62.22</v>
      </c>
    </row>
    <row r="1301" spans="1:18" x14ac:dyDescent="0.35">
      <c r="A1301" s="3" t="s">
        <v>2482</v>
      </c>
      <c r="B1301" s="2">
        <v>45642</v>
      </c>
      <c r="C1301" s="1" t="s">
        <v>2483</v>
      </c>
      <c r="D1301" s="1" t="s">
        <v>49</v>
      </c>
      <c r="E1301" s="1" t="s">
        <v>18</v>
      </c>
      <c r="F1301" s="1" t="s">
        <v>19</v>
      </c>
      <c r="G1301" s="1" t="s">
        <v>69</v>
      </c>
      <c r="H1301" s="1" t="s">
        <v>70</v>
      </c>
      <c r="I1301" s="1">
        <v>4</v>
      </c>
      <c r="J1301" s="1">
        <v>38.770000000000003</v>
      </c>
      <c r="K1301" s="1">
        <v>0</v>
      </c>
      <c r="L1301" s="1">
        <v>155.08000000000001</v>
      </c>
      <c r="M1301" s="1">
        <v>12.57</v>
      </c>
      <c r="N1301" s="1">
        <v>64.97</v>
      </c>
      <c r="O1301" s="6" t="s">
        <v>34</v>
      </c>
      <c r="P1301" s="8">
        <f>Table1[Quantity]*Table1[Unit_Price]</f>
        <v>155.08000000000001</v>
      </c>
      <c r="Q1301" s="1">
        <f>Table1[Profit]/Table1[Total_Sales]</f>
        <v>0.41894506061387665</v>
      </c>
      <c r="R1301" s="14">
        <f>Table1[Total_Sales]+Table1[Shipping_Cost]</f>
        <v>167.65</v>
      </c>
    </row>
    <row r="1302" spans="1:18" x14ac:dyDescent="0.35">
      <c r="A1302" s="3" t="s">
        <v>2484</v>
      </c>
      <c r="B1302" s="2">
        <v>45642</v>
      </c>
      <c r="C1302" s="1" t="s">
        <v>2485</v>
      </c>
      <c r="D1302" s="1" t="s">
        <v>30</v>
      </c>
      <c r="E1302" s="1" t="s">
        <v>37</v>
      </c>
      <c r="F1302" s="1" t="s">
        <v>26</v>
      </c>
      <c r="G1302" s="1" t="s">
        <v>42</v>
      </c>
      <c r="H1302" s="1" t="s">
        <v>46</v>
      </c>
      <c r="I1302" s="1">
        <v>1</v>
      </c>
      <c r="J1302" s="1">
        <v>173.33</v>
      </c>
      <c r="K1302" s="1">
        <v>10</v>
      </c>
      <c r="L1302" s="1">
        <v>156</v>
      </c>
      <c r="M1302" s="1">
        <v>8.65</v>
      </c>
      <c r="N1302" s="1">
        <v>43.35</v>
      </c>
      <c r="O1302" s="6" t="s">
        <v>22</v>
      </c>
      <c r="P1302" s="8">
        <f>Table1[Quantity]*Table1[Unit_Price]</f>
        <v>173.33</v>
      </c>
      <c r="Q1302" s="1">
        <f>Table1[Profit]/Table1[Total_Sales]</f>
        <v>0.2778846153846154</v>
      </c>
      <c r="R1302" s="14">
        <f>Table1[Total_Sales]+Table1[Shipping_Cost]</f>
        <v>164.65</v>
      </c>
    </row>
    <row r="1303" spans="1:18" x14ac:dyDescent="0.35">
      <c r="A1303" s="3" t="s">
        <v>2486</v>
      </c>
      <c r="B1303" s="2">
        <v>45643</v>
      </c>
      <c r="C1303" s="1" t="s">
        <v>2487</v>
      </c>
      <c r="D1303" s="1" t="s">
        <v>49</v>
      </c>
      <c r="E1303" s="1" t="s">
        <v>25</v>
      </c>
      <c r="F1303" s="1" t="s">
        <v>26</v>
      </c>
      <c r="G1303" s="1" t="s">
        <v>42</v>
      </c>
      <c r="H1303" s="1" t="s">
        <v>234</v>
      </c>
      <c r="I1303" s="1">
        <v>4</v>
      </c>
      <c r="J1303" s="1">
        <v>66.19</v>
      </c>
      <c r="K1303" s="1">
        <v>5</v>
      </c>
      <c r="L1303" s="1">
        <v>251.52</v>
      </c>
      <c r="M1303" s="1">
        <v>12.09</v>
      </c>
      <c r="N1303" s="1">
        <v>80.569999999999993</v>
      </c>
      <c r="O1303" s="6" t="s">
        <v>34</v>
      </c>
      <c r="P1303" s="8">
        <f>Table1[Quantity]*Table1[Unit_Price]</f>
        <v>264.76</v>
      </c>
      <c r="Q1303" s="1">
        <f>Table1[Profit]/Table1[Total_Sales]</f>
        <v>0.32033237913486001</v>
      </c>
      <c r="R1303" s="14">
        <f>Table1[Total_Sales]+Table1[Shipping_Cost]</f>
        <v>263.61</v>
      </c>
    </row>
    <row r="1304" spans="1:18" x14ac:dyDescent="0.35">
      <c r="A1304" s="3" t="s">
        <v>2488</v>
      </c>
      <c r="B1304" s="2">
        <v>45644</v>
      </c>
      <c r="C1304" s="1" t="s">
        <v>987</v>
      </c>
      <c r="D1304" s="1" t="s">
        <v>30</v>
      </c>
      <c r="E1304" s="1" t="s">
        <v>59</v>
      </c>
      <c r="F1304" s="1" t="s">
        <v>60</v>
      </c>
      <c r="G1304" s="1" t="s">
        <v>20</v>
      </c>
      <c r="H1304" s="1" t="s">
        <v>122</v>
      </c>
      <c r="I1304" s="1">
        <v>2</v>
      </c>
      <c r="J1304" s="1">
        <v>72.64</v>
      </c>
      <c r="K1304" s="1">
        <v>10</v>
      </c>
      <c r="L1304" s="1">
        <v>130.75</v>
      </c>
      <c r="M1304" s="1">
        <v>12.34</v>
      </c>
      <c r="N1304" s="1">
        <v>38.51</v>
      </c>
      <c r="O1304" s="6" t="s">
        <v>39</v>
      </c>
      <c r="P1304" s="8">
        <f>Table1[Quantity]*Table1[Unit_Price]</f>
        <v>145.28</v>
      </c>
      <c r="Q1304" s="1">
        <f>Table1[Profit]/Table1[Total_Sales]</f>
        <v>0.29453154875717014</v>
      </c>
      <c r="R1304" s="14">
        <f>Table1[Total_Sales]+Table1[Shipping_Cost]</f>
        <v>143.09</v>
      </c>
    </row>
    <row r="1305" spans="1:18" x14ac:dyDescent="0.35">
      <c r="A1305" s="3" t="s">
        <v>2489</v>
      </c>
      <c r="B1305" s="2">
        <v>45644</v>
      </c>
      <c r="C1305" s="1" t="s">
        <v>2490</v>
      </c>
      <c r="D1305" s="1" t="s">
        <v>30</v>
      </c>
      <c r="E1305" s="1" t="s">
        <v>31</v>
      </c>
      <c r="F1305" s="1" t="s">
        <v>19</v>
      </c>
      <c r="G1305" s="1" t="s">
        <v>42</v>
      </c>
      <c r="H1305" s="1" t="s">
        <v>294</v>
      </c>
      <c r="I1305" s="1">
        <v>10</v>
      </c>
      <c r="J1305" s="1">
        <v>253.85</v>
      </c>
      <c r="K1305" s="1">
        <v>0</v>
      </c>
      <c r="L1305" s="1">
        <v>2538.5</v>
      </c>
      <c r="M1305" s="1">
        <v>22.56</v>
      </c>
      <c r="N1305" s="1">
        <v>992.84</v>
      </c>
      <c r="O1305" s="6" t="s">
        <v>22</v>
      </c>
      <c r="P1305" s="8">
        <f>Table1[Quantity]*Table1[Unit_Price]</f>
        <v>2538.5</v>
      </c>
      <c r="Q1305" s="1">
        <f>Table1[Profit]/Table1[Total_Sales]</f>
        <v>0.39111286192633449</v>
      </c>
      <c r="R1305" s="14">
        <f>Table1[Total_Sales]+Table1[Shipping_Cost]</f>
        <v>2561.06</v>
      </c>
    </row>
    <row r="1306" spans="1:18" x14ac:dyDescent="0.35">
      <c r="A1306" s="3" t="s">
        <v>2491</v>
      </c>
      <c r="B1306" s="2">
        <v>45646</v>
      </c>
      <c r="C1306" s="1" t="s">
        <v>2492</v>
      </c>
      <c r="D1306" s="1" t="s">
        <v>30</v>
      </c>
      <c r="E1306" s="1" t="s">
        <v>129</v>
      </c>
      <c r="F1306" s="1" t="s">
        <v>19</v>
      </c>
      <c r="G1306" s="1" t="s">
        <v>32</v>
      </c>
      <c r="H1306" s="1" t="s">
        <v>33</v>
      </c>
      <c r="I1306" s="1">
        <v>6</v>
      </c>
      <c r="J1306" s="1">
        <v>12.47</v>
      </c>
      <c r="K1306" s="1">
        <v>5</v>
      </c>
      <c r="L1306" s="1">
        <v>71.08</v>
      </c>
      <c r="M1306" s="1">
        <v>8.33</v>
      </c>
      <c r="N1306" s="1">
        <v>29.08</v>
      </c>
      <c r="O1306" s="6" t="s">
        <v>22</v>
      </c>
      <c r="P1306" s="8">
        <f>Table1[Quantity]*Table1[Unit_Price]</f>
        <v>74.820000000000007</v>
      </c>
      <c r="Q1306" s="1">
        <f>Table1[Profit]/Table1[Total_Sales]</f>
        <v>0.40911648846370285</v>
      </c>
      <c r="R1306" s="14">
        <f>Table1[Total_Sales]+Table1[Shipping_Cost]</f>
        <v>79.41</v>
      </c>
    </row>
    <row r="1307" spans="1:18" x14ac:dyDescent="0.35">
      <c r="A1307" s="3" t="s">
        <v>2493</v>
      </c>
      <c r="B1307" s="2">
        <v>45647</v>
      </c>
      <c r="C1307" s="1" t="s">
        <v>97</v>
      </c>
      <c r="D1307" s="1" t="s">
        <v>30</v>
      </c>
      <c r="E1307" s="1" t="s">
        <v>138</v>
      </c>
      <c r="F1307" s="1" t="s">
        <v>54</v>
      </c>
      <c r="G1307" s="1" t="s">
        <v>20</v>
      </c>
      <c r="H1307" s="1" t="s">
        <v>106</v>
      </c>
      <c r="I1307" s="1">
        <v>1</v>
      </c>
      <c r="J1307" s="1">
        <v>70.900000000000006</v>
      </c>
      <c r="K1307" s="1">
        <v>0</v>
      </c>
      <c r="L1307" s="1">
        <v>70.900000000000006</v>
      </c>
      <c r="M1307" s="1">
        <v>11.52</v>
      </c>
      <c r="N1307" s="1">
        <v>20.39</v>
      </c>
      <c r="O1307" s="6" t="s">
        <v>39</v>
      </c>
      <c r="P1307" s="8">
        <f>Table1[Quantity]*Table1[Unit_Price]</f>
        <v>70.900000000000006</v>
      </c>
      <c r="Q1307" s="1">
        <f>Table1[Profit]/Table1[Total_Sales]</f>
        <v>0.2875881523272214</v>
      </c>
      <c r="R1307" s="14">
        <f>Table1[Total_Sales]+Table1[Shipping_Cost]</f>
        <v>82.42</v>
      </c>
    </row>
    <row r="1308" spans="1:18" x14ac:dyDescent="0.35">
      <c r="A1308" s="3" t="s">
        <v>2494</v>
      </c>
      <c r="B1308" s="2">
        <v>45647</v>
      </c>
      <c r="C1308" s="1" t="s">
        <v>2495</v>
      </c>
      <c r="D1308" s="1" t="s">
        <v>30</v>
      </c>
      <c r="E1308" s="1" t="s">
        <v>248</v>
      </c>
      <c r="F1308" s="1" t="s">
        <v>26</v>
      </c>
      <c r="G1308" s="1" t="s">
        <v>32</v>
      </c>
      <c r="H1308" s="1" t="s">
        <v>149</v>
      </c>
      <c r="I1308" s="1">
        <v>1</v>
      </c>
      <c r="J1308" s="1">
        <v>6.45</v>
      </c>
      <c r="K1308" s="1">
        <v>5</v>
      </c>
      <c r="L1308" s="1">
        <v>6.13</v>
      </c>
      <c r="M1308" s="1">
        <v>7.56</v>
      </c>
      <c r="N1308" s="1">
        <v>-4.33</v>
      </c>
      <c r="O1308" s="6" t="s">
        <v>22</v>
      </c>
      <c r="P1308" s="8">
        <f>Table1[Quantity]*Table1[Unit_Price]</f>
        <v>6.45</v>
      </c>
      <c r="Q1308" s="1">
        <f>Table1[Profit]/Table1[Total_Sales]</f>
        <v>-0.70636215334420882</v>
      </c>
      <c r="R1308" s="14">
        <f>Table1[Total_Sales]+Table1[Shipping_Cost]</f>
        <v>13.69</v>
      </c>
    </row>
    <row r="1309" spans="1:18" x14ac:dyDescent="0.35">
      <c r="A1309" s="3" t="s">
        <v>2496</v>
      </c>
      <c r="B1309" s="2">
        <v>45649</v>
      </c>
      <c r="C1309" s="1" t="s">
        <v>2497</v>
      </c>
      <c r="D1309" s="1" t="s">
        <v>49</v>
      </c>
      <c r="E1309" s="1" t="s">
        <v>76</v>
      </c>
      <c r="F1309" s="1" t="s">
        <v>26</v>
      </c>
      <c r="G1309" s="1" t="s">
        <v>69</v>
      </c>
      <c r="H1309" s="1" t="s">
        <v>305</v>
      </c>
      <c r="I1309" s="1">
        <v>2</v>
      </c>
      <c r="J1309" s="1">
        <v>69.3</v>
      </c>
      <c r="K1309" s="1">
        <v>0</v>
      </c>
      <c r="L1309" s="1">
        <v>138.6</v>
      </c>
      <c r="M1309" s="1">
        <v>11.07</v>
      </c>
      <c r="N1309" s="1">
        <v>58.23</v>
      </c>
      <c r="O1309" s="6" t="s">
        <v>39</v>
      </c>
      <c r="P1309" s="8">
        <f>Table1[Quantity]*Table1[Unit_Price]</f>
        <v>138.6</v>
      </c>
      <c r="Q1309" s="1">
        <f>Table1[Profit]/Table1[Total_Sales]</f>
        <v>0.42012987012987013</v>
      </c>
      <c r="R1309" s="14">
        <f>Table1[Total_Sales]+Table1[Shipping_Cost]</f>
        <v>149.66999999999999</v>
      </c>
    </row>
    <row r="1310" spans="1:18" x14ac:dyDescent="0.35">
      <c r="A1310" s="3" t="s">
        <v>2498</v>
      </c>
      <c r="B1310" s="2">
        <v>45649</v>
      </c>
      <c r="C1310" s="1" t="s">
        <v>2499</v>
      </c>
      <c r="D1310" s="1" t="s">
        <v>30</v>
      </c>
      <c r="E1310" s="1" t="s">
        <v>135</v>
      </c>
      <c r="F1310" s="1" t="s">
        <v>26</v>
      </c>
      <c r="G1310" s="1" t="s">
        <v>42</v>
      </c>
      <c r="H1310" s="1" t="s">
        <v>43</v>
      </c>
      <c r="I1310" s="1">
        <v>7</v>
      </c>
      <c r="J1310" s="1">
        <v>212.35</v>
      </c>
      <c r="K1310" s="1">
        <v>20</v>
      </c>
      <c r="L1310" s="1">
        <v>1189.1600000000001</v>
      </c>
      <c r="M1310" s="1">
        <v>14.04</v>
      </c>
      <c r="N1310" s="1">
        <v>283.25</v>
      </c>
      <c r="O1310" s="6" t="s">
        <v>39</v>
      </c>
      <c r="P1310" s="8">
        <f>Table1[Quantity]*Table1[Unit_Price]</f>
        <v>1486.45</v>
      </c>
      <c r="Q1310" s="1">
        <f>Table1[Profit]/Table1[Total_Sales]</f>
        <v>0.2381933465639611</v>
      </c>
      <c r="R1310" s="14">
        <f>Table1[Total_Sales]+Table1[Shipping_Cost]</f>
        <v>1203.2</v>
      </c>
    </row>
    <row r="1311" spans="1:18" x14ac:dyDescent="0.35">
      <c r="A1311" s="3" t="s">
        <v>2500</v>
      </c>
      <c r="B1311" s="2">
        <v>45649</v>
      </c>
      <c r="C1311" s="1" t="s">
        <v>2501</v>
      </c>
      <c r="D1311" s="1" t="s">
        <v>30</v>
      </c>
      <c r="E1311" s="1" t="s">
        <v>129</v>
      </c>
      <c r="F1311" s="1" t="s">
        <v>19</v>
      </c>
      <c r="G1311" s="1" t="s">
        <v>42</v>
      </c>
      <c r="H1311" s="1" t="s">
        <v>64</v>
      </c>
      <c r="I1311" s="1">
        <v>2</v>
      </c>
      <c r="J1311" s="1">
        <v>76.2</v>
      </c>
      <c r="K1311" s="1">
        <v>5</v>
      </c>
      <c r="L1311" s="1">
        <v>144.78</v>
      </c>
      <c r="M1311" s="1">
        <v>8.8800000000000008</v>
      </c>
      <c r="N1311" s="1">
        <v>44.46</v>
      </c>
      <c r="O1311" s="6" t="s">
        <v>34</v>
      </c>
      <c r="P1311" s="8">
        <f>Table1[Quantity]*Table1[Unit_Price]</f>
        <v>152.4</v>
      </c>
      <c r="Q1311" s="1">
        <f>Table1[Profit]/Table1[Total_Sales]</f>
        <v>0.30708661417322836</v>
      </c>
      <c r="R1311" s="14">
        <f>Table1[Total_Sales]+Table1[Shipping_Cost]</f>
        <v>153.66</v>
      </c>
    </row>
    <row r="1312" spans="1:18" x14ac:dyDescent="0.35">
      <c r="A1312" s="3" t="s">
        <v>2502</v>
      </c>
      <c r="B1312" s="2">
        <v>45650</v>
      </c>
      <c r="C1312" s="1" t="s">
        <v>2503</v>
      </c>
      <c r="D1312" s="1" t="s">
        <v>30</v>
      </c>
      <c r="E1312" s="1" t="s">
        <v>53</v>
      </c>
      <c r="F1312" s="1" t="s">
        <v>54</v>
      </c>
      <c r="G1312" s="1" t="s">
        <v>20</v>
      </c>
      <c r="H1312" s="1" t="s">
        <v>106</v>
      </c>
      <c r="I1312" s="1">
        <v>1</v>
      </c>
      <c r="J1312" s="1">
        <v>44.65</v>
      </c>
      <c r="K1312" s="1">
        <v>5</v>
      </c>
      <c r="L1312" s="1">
        <v>42.42</v>
      </c>
      <c r="M1312" s="1">
        <v>13.09</v>
      </c>
      <c r="N1312" s="1">
        <v>4.7699999999999996</v>
      </c>
      <c r="O1312" s="6" t="s">
        <v>34</v>
      </c>
      <c r="P1312" s="8">
        <f>Table1[Quantity]*Table1[Unit_Price]</f>
        <v>44.65</v>
      </c>
      <c r="Q1312" s="1">
        <f>Table1[Profit]/Table1[Total_Sales]</f>
        <v>0.11244695898161243</v>
      </c>
      <c r="R1312" s="14">
        <f>Table1[Total_Sales]+Table1[Shipping_Cost]</f>
        <v>55.510000000000005</v>
      </c>
    </row>
    <row r="1313" spans="1:18" x14ac:dyDescent="0.35">
      <c r="A1313" s="3" t="s">
        <v>2504</v>
      </c>
      <c r="B1313" s="2">
        <v>45651</v>
      </c>
      <c r="C1313" s="1" t="s">
        <v>1933</v>
      </c>
      <c r="D1313" s="1" t="s">
        <v>30</v>
      </c>
      <c r="E1313" s="1" t="s">
        <v>18</v>
      </c>
      <c r="F1313" s="1" t="s">
        <v>19</v>
      </c>
      <c r="G1313" s="1" t="s">
        <v>32</v>
      </c>
      <c r="H1313" s="1" t="s">
        <v>33</v>
      </c>
      <c r="I1313" s="1">
        <v>3</v>
      </c>
      <c r="J1313" s="1">
        <v>13.27</v>
      </c>
      <c r="K1313" s="1">
        <v>25</v>
      </c>
      <c r="L1313" s="1">
        <v>29.86</v>
      </c>
      <c r="M1313" s="1">
        <v>12.34</v>
      </c>
      <c r="N1313" s="1">
        <v>-0.39</v>
      </c>
      <c r="O1313" s="6" t="s">
        <v>34</v>
      </c>
      <c r="P1313" s="8">
        <f>Table1[Quantity]*Table1[Unit_Price]</f>
        <v>39.81</v>
      </c>
      <c r="Q1313" s="1">
        <f>Table1[Profit]/Table1[Total_Sales]</f>
        <v>-1.3060951105157401E-2</v>
      </c>
      <c r="R1313" s="14">
        <f>Table1[Total_Sales]+Table1[Shipping_Cost]</f>
        <v>42.2</v>
      </c>
    </row>
    <row r="1314" spans="1:18" x14ac:dyDescent="0.35">
      <c r="A1314" s="3" t="s">
        <v>2505</v>
      </c>
      <c r="B1314" s="2">
        <v>45652</v>
      </c>
      <c r="C1314" s="1" t="s">
        <v>2506</v>
      </c>
      <c r="D1314" s="1" t="s">
        <v>17</v>
      </c>
      <c r="E1314" s="1" t="s">
        <v>63</v>
      </c>
      <c r="F1314" s="1" t="s">
        <v>54</v>
      </c>
      <c r="G1314" s="1" t="s">
        <v>20</v>
      </c>
      <c r="H1314" s="1" t="s">
        <v>27</v>
      </c>
      <c r="I1314" s="1">
        <v>1</v>
      </c>
      <c r="J1314" s="1">
        <v>105.02</v>
      </c>
      <c r="K1314" s="1">
        <v>10</v>
      </c>
      <c r="L1314" s="1">
        <v>94.52</v>
      </c>
      <c r="M1314" s="1">
        <v>11.57</v>
      </c>
      <c r="N1314" s="1">
        <v>25.19</v>
      </c>
      <c r="O1314" s="6" t="s">
        <v>34</v>
      </c>
      <c r="P1314" s="8">
        <f>Table1[Quantity]*Table1[Unit_Price]</f>
        <v>105.02</v>
      </c>
      <c r="Q1314" s="1">
        <f>Table1[Profit]/Table1[Total_Sales]</f>
        <v>0.26650444350402036</v>
      </c>
      <c r="R1314" s="14">
        <f>Table1[Total_Sales]+Table1[Shipping_Cost]</f>
        <v>106.09</v>
      </c>
    </row>
    <row r="1315" spans="1:18" x14ac:dyDescent="0.35">
      <c r="A1315" s="3" t="s">
        <v>2507</v>
      </c>
      <c r="B1315" s="2">
        <v>45653</v>
      </c>
      <c r="C1315" s="1" t="s">
        <v>2508</v>
      </c>
      <c r="D1315" s="1" t="s">
        <v>49</v>
      </c>
      <c r="E1315" s="1" t="s">
        <v>59</v>
      </c>
      <c r="F1315" s="1" t="s">
        <v>60</v>
      </c>
      <c r="G1315" s="1" t="s">
        <v>69</v>
      </c>
      <c r="H1315" s="1" t="s">
        <v>98</v>
      </c>
      <c r="I1315" s="1">
        <v>7</v>
      </c>
      <c r="J1315" s="1">
        <v>49.09</v>
      </c>
      <c r="K1315" s="1">
        <v>0</v>
      </c>
      <c r="L1315" s="1">
        <v>343.63</v>
      </c>
      <c r="M1315" s="1">
        <v>18.149999999999999</v>
      </c>
      <c r="N1315" s="1">
        <v>153.66</v>
      </c>
      <c r="O1315" s="6" t="s">
        <v>34</v>
      </c>
      <c r="P1315" s="8">
        <f>Table1[Quantity]*Table1[Unit_Price]</f>
        <v>343.63</v>
      </c>
      <c r="Q1315" s="1">
        <f>Table1[Profit]/Table1[Total_Sales]</f>
        <v>0.44716701102930478</v>
      </c>
      <c r="R1315" s="14">
        <f>Table1[Total_Sales]+Table1[Shipping_Cost]</f>
        <v>361.78</v>
      </c>
    </row>
    <row r="1316" spans="1:18" x14ac:dyDescent="0.35">
      <c r="A1316" s="3" t="s">
        <v>2509</v>
      </c>
      <c r="B1316" s="2">
        <v>45653</v>
      </c>
      <c r="C1316" s="1" t="s">
        <v>2510</v>
      </c>
      <c r="D1316" s="1" t="s">
        <v>30</v>
      </c>
      <c r="E1316" s="1" t="s">
        <v>85</v>
      </c>
      <c r="F1316" s="1" t="s">
        <v>60</v>
      </c>
      <c r="G1316" s="1" t="s">
        <v>42</v>
      </c>
      <c r="H1316" s="1" t="s">
        <v>89</v>
      </c>
      <c r="I1316" s="1">
        <v>4</v>
      </c>
      <c r="J1316" s="1">
        <v>416.86</v>
      </c>
      <c r="K1316" s="1">
        <v>0</v>
      </c>
      <c r="L1316" s="1">
        <v>1667.44</v>
      </c>
      <c r="M1316" s="1">
        <v>13.27</v>
      </c>
      <c r="N1316" s="1">
        <v>653.71</v>
      </c>
      <c r="O1316" s="6" t="s">
        <v>22</v>
      </c>
      <c r="P1316" s="8">
        <f>Table1[Quantity]*Table1[Unit_Price]</f>
        <v>1667.44</v>
      </c>
      <c r="Q1316" s="1">
        <f>Table1[Profit]/Table1[Total_Sales]</f>
        <v>0.39204409154152475</v>
      </c>
      <c r="R1316" s="14">
        <f>Table1[Total_Sales]+Table1[Shipping_Cost]</f>
        <v>1680.71</v>
      </c>
    </row>
    <row r="1317" spans="1:18" x14ac:dyDescent="0.35">
      <c r="A1317" s="3" t="s">
        <v>2511</v>
      </c>
      <c r="B1317" s="2">
        <v>45656</v>
      </c>
      <c r="C1317" s="1" t="s">
        <v>2512</v>
      </c>
      <c r="D1317" s="1" t="s">
        <v>17</v>
      </c>
      <c r="E1317" s="1" t="s">
        <v>76</v>
      </c>
      <c r="F1317" s="1" t="s">
        <v>26</v>
      </c>
      <c r="G1317" s="1" t="s">
        <v>69</v>
      </c>
      <c r="H1317" s="1" t="s">
        <v>163</v>
      </c>
      <c r="I1317" s="1">
        <v>7</v>
      </c>
      <c r="J1317" s="1">
        <v>20.149999999999999</v>
      </c>
      <c r="K1317" s="1">
        <v>10</v>
      </c>
      <c r="L1317" s="1">
        <v>126.94</v>
      </c>
      <c r="M1317" s="1">
        <v>22.2</v>
      </c>
      <c r="N1317" s="1">
        <v>34.22</v>
      </c>
      <c r="O1317" s="6" t="s">
        <v>22</v>
      </c>
      <c r="P1317" s="8">
        <f>Table1[Quantity]*Table1[Unit_Price]</f>
        <v>141.04999999999998</v>
      </c>
      <c r="Q1317" s="1">
        <f>Table1[Profit]/Table1[Total_Sales]</f>
        <v>0.26957617772175829</v>
      </c>
      <c r="R1317" s="14">
        <f>Table1[Total_Sales]+Table1[Shipping_Cost]</f>
        <v>149.13999999999999</v>
      </c>
    </row>
    <row r="1318" spans="1:18" x14ac:dyDescent="0.35">
      <c r="A1318" s="3" t="s">
        <v>2513</v>
      </c>
      <c r="B1318" s="2">
        <v>45656</v>
      </c>
      <c r="C1318" s="1" t="s">
        <v>2514</v>
      </c>
      <c r="D1318" s="1" t="s">
        <v>49</v>
      </c>
      <c r="E1318" s="1" t="s">
        <v>109</v>
      </c>
      <c r="F1318" s="1" t="s">
        <v>54</v>
      </c>
      <c r="G1318" s="1" t="s">
        <v>32</v>
      </c>
      <c r="H1318" s="1" t="s">
        <v>132</v>
      </c>
      <c r="I1318" s="1">
        <v>2</v>
      </c>
      <c r="J1318" s="1">
        <v>12.97</v>
      </c>
      <c r="K1318" s="1">
        <v>15</v>
      </c>
      <c r="L1318" s="1">
        <v>22.05</v>
      </c>
      <c r="M1318" s="1">
        <v>14.41</v>
      </c>
      <c r="N1318" s="1">
        <v>-4.03</v>
      </c>
      <c r="O1318" s="6" t="s">
        <v>34</v>
      </c>
      <c r="P1318" s="8">
        <f>Table1[Quantity]*Table1[Unit_Price]</f>
        <v>25.94</v>
      </c>
      <c r="Q1318" s="1">
        <f>Table1[Profit]/Table1[Total_Sales]</f>
        <v>-0.18276643990929706</v>
      </c>
      <c r="R1318" s="14">
        <f>Table1[Total_Sales]+Table1[Shipping_Cost]</f>
        <v>36.46</v>
      </c>
    </row>
    <row r="1319" spans="1:18" x14ac:dyDescent="0.35">
      <c r="A1319" s="3" t="s">
        <v>2515</v>
      </c>
      <c r="B1319" s="2">
        <v>45657</v>
      </c>
      <c r="C1319" s="1" t="s">
        <v>2516</v>
      </c>
      <c r="D1319" s="1" t="s">
        <v>17</v>
      </c>
      <c r="E1319" s="1" t="s">
        <v>148</v>
      </c>
      <c r="F1319" s="1" t="s">
        <v>60</v>
      </c>
      <c r="G1319" s="1" t="s">
        <v>20</v>
      </c>
      <c r="H1319" s="1" t="s">
        <v>175</v>
      </c>
      <c r="I1319" s="1">
        <v>2</v>
      </c>
      <c r="J1319" s="1">
        <v>47.58</v>
      </c>
      <c r="K1319" s="1">
        <v>15</v>
      </c>
      <c r="L1319" s="1">
        <v>80.89</v>
      </c>
      <c r="M1319" s="1">
        <v>11.18</v>
      </c>
      <c r="N1319" s="1">
        <v>17.37</v>
      </c>
      <c r="O1319" s="6" t="s">
        <v>34</v>
      </c>
      <c r="P1319" s="8">
        <f>Table1[Quantity]*Table1[Unit_Price]</f>
        <v>95.16</v>
      </c>
      <c r="Q1319" s="1">
        <f>Table1[Profit]/Table1[Total_Sales]</f>
        <v>0.21473606131783904</v>
      </c>
      <c r="R1319" s="14">
        <f>Table1[Total_Sales]+Table1[Shipping_Cost]</f>
        <v>92.07</v>
      </c>
    </row>
    <row r="1320" spans="1:18" x14ac:dyDescent="0.35">
      <c r="A1320" s="3" t="s">
        <v>2517</v>
      </c>
      <c r="B1320" s="2">
        <v>45657</v>
      </c>
      <c r="C1320" s="1" t="s">
        <v>108</v>
      </c>
      <c r="D1320" s="1" t="s">
        <v>30</v>
      </c>
      <c r="E1320" s="1" t="s">
        <v>138</v>
      </c>
      <c r="F1320" s="1" t="s">
        <v>54</v>
      </c>
      <c r="G1320" s="1" t="s">
        <v>32</v>
      </c>
      <c r="H1320" s="1" t="s">
        <v>82</v>
      </c>
      <c r="I1320" s="1">
        <v>5</v>
      </c>
      <c r="J1320" s="1">
        <v>22.51</v>
      </c>
      <c r="K1320" s="1">
        <v>5</v>
      </c>
      <c r="L1320" s="1">
        <v>106.92</v>
      </c>
      <c r="M1320" s="1">
        <v>19.75</v>
      </c>
      <c r="N1320" s="1">
        <v>36.520000000000003</v>
      </c>
      <c r="O1320" s="6" t="s">
        <v>22</v>
      </c>
      <c r="P1320" s="8">
        <f>Table1[Quantity]*Table1[Unit_Price]</f>
        <v>112.55000000000001</v>
      </c>
      <c r="Q1320" s="1">
        <f>Table1[Profit]/Table1[Total_Sales]</f>
        <v>0.34156378600823045</v>
      </c>
      <c r="R1320" s="14">
        <f>Table1[Total_Sales]+Table1[Shipping_Cost]</f>
        <v>126.67</v>
      </c>
    </row>
    <row r="1321" spans="1:18" x14ac:dyDescent="0.35">
      <c r="A1321" s="3" t="s">
        <v>2518</v>
      </c>
      <c r="B1321" s="2">
        <v>45658</v>
      </c>
      <c r="C1321" s="1" t="s">
        <v>252</v>
      </c>
      <c r="D1321" s="1" t="s">
        <v>30</v>
      </c>
      <c r="E1321" s="1" t="s">
        <v>18</v>
      </c>
      <c r="F1321" s="1" t="s">
        <v>19</v>
      </c>
      <c r="G1321" s="1" t="s">
        <v>42</v>
      </c>
      <c r="H1321" s="1" t="s">
        <v>294</v>
      </c>
      <c r="I1321" s="1">
        <v>1</v>
      </c>
      <c r="J1321" s="1">
        <v>142.21</v>
      </c>
      <c r="K1321" s="1">
        <v>0</v>
      </c>
      <c r="L1321" s="1">
        <v>142.21</v>
      </c>
      <c r="M1321" s="1">
        <v>6.95</v>
      </c>
      <c r="N1321" s="1">
        <v>49.93</v>
      </c>
      <c r="O1321" s="6" t="s">
        <v>39</v>
      </c>
      <c r="P1321" s="8">
        <f>Table1[Quantity]*Table1[Unit_Price]</f>
        <v>142.21</v>
      </c>
      <c r="Q1321" s="1">
        <f>Table1[Profit]/Table1[Total_Sales]</f>
        <v>0.35110048519794668</v>
      </c>
      <c r="R1321" s="14">
        <f>Table1[Total_Sales]+Table1[Shipping_Cost]</f>
        <v>149.16</v>
      </c>
    </row>
    <row r="1322" spans="1:18" x14ac:dyDescent="0.35">
      <c r="A1322" s="3" t="s">
        <v>2519</v>
      </c>
      <c r="B1322" s="2">
        <v>45658</v>
      </c>
      <c r="C1322" s="1" t="s">
        <v>2520</v>
      </c>
      <c r="D1322" s="1" t="s">
        <v>30</v>
      </c>
      <c r="E1322" s="1" t="s">
        <v>129</v>
      </c>
      <c r="F1322" s="1" t="s">
        <v>19</v>
      </c>
      <c r="G1322" s="1" t="s">
        <v>20</v>
      </c>
      <c r="H1322" s="1" t="s">
        <v>170</v>
      </c>
      <c r="I1322" s="1">
        <v>2</v>
      </c>
      <c r="J1322" s="1">
        <v>60.18</v>
      </c>
      <c r="K1322" s="1">
        <v>0</v>
      </c>
      <c r="L1322" s="1">
        <v>120.36</v>
      </c>
      <c r="M1322" s="1">
        <v>8.33</v>
      </c>
      <c r="N1322" s="1">
        <v>45.83</v>
      </c>
      <c r="O1322" s="6" t="s">
        <v>22</v>
      </c>
      <c r="P1322" s="8">
        <f>Table1[Quantity]*Table1[Unit_Price]</f>
        <v>120.36</v>
      </c>
      <c r="Q1322" s="1">
        <f>Table1[Profit]/Table1[Total_Sales]</f>
        <v>0.38077434363575935</v>
      </c>
      <c r="R1322" s="14">
        <f>Table1[Total_Sales]+Table1[Shipping_Cost]</f>
        <v>128.69</v>
      </c>
    </row>
    <row r="1323" spans="1:18" x14ac:dyDescent="0.35">
      <c r="A1323" s="3" t="s">
        <v>2521</v>
      </c>
      <c r="B1323" s="2">
        <v>45659</v>
      </c>
      <c r="C1323" s="1" t="s">
        <v>2522</v>
      </c>
      <c r="D1323" s="1" t="s">
        <v>49</v>
      </c>
      <c r="E1323" s="1" t="s">
        <v>85</v>
      </c>
      <c r="F1323" s="1" t="s">
        <v>60</v>
      </c>
      <c r="G1323" s="1" t="s">
        <v>20</v>
      </c>
      <c r="H1323" s="1" t="s">
        <v>55</v>
      </c>
      <c r="I1323" s="1">
        <v>3</v>
      </c>
      <c r="J1323" s="1">
        <v>44.45</v>
      </c>
      <c r="K1323" s="1">
        <v>15</v>
      </c>
      <c r="L1323" s="1">
        <v>113.35</v>
      </c>
      <c r="M1323" s="1">
        <v>16.34</v>
      </c>
      <c r="N1323" s="1">
        <v>23.67</v>
      </c>
      <c r="O1323" s="6" t="s">
        <v>56</v>
      </c>
      <c r="P1323" s="8">
        <f>Table1[Quantity]*Table1[Unit_Price]</f>
        <v>133.35000000000002</v>
      </c>
      <c r="Q1323" s="1">
        <f>Table1[Profit]/Table1[Total_Sales]</f>
        <v>0.20882223202470226</v>
      </c>
      <c r="R1323" s="14">
        <f>Table1[Total_Sales]+Table1[Shipping_Cost]</f>
        <v>129.69</v>
      </c>
    </row>
    <row r="1324" spans="1:18" x14ac:dyDescent="0.35">
      <c r="A1324" s="3" t="s">
        <v>2523</v>
      </c>
      <c r="B1324" s="2">
        <v>45659</v>
      </c>
      <c r="C1324" s="1" t="s">
        <v>1235</v>
      </c>
      <c r="D1324" s="1" t="s">
        <v>30</v>
      </c>
      <c r="E1324" s="1" t="s">
        <v>31</v>
      </c>
      <c r="F1324" s="1" t="s">
        <v>19</v>
      </c>
      <c r="G1324" s="1" t="s">
        <v>42</v>
      </c>
      <c r="H1324" s="1" t="s">
        <v>371</v>
      </c>
      <c r="I1324" s="1">
        <v>7</v>
      </c>
      <c r="J1324" s="1">
        <v>234.12</v>
      </c>
      <c r="K1324" s="1">
        <v>0</v>
      </c>
      <c r="L1324" s="1">
        <v>1638.84</v>
      </c>
      <c r="M1324" s="1">
        <v>10.77</v>
      </c>
      <c r="N1324" s="1">
        <v>644.77</v>
      </c>
      <c r="O1324" s="6" t="s">
        <v>39</v>
      </c>
      <c r="P1324" s="8">
        <f>Table1[Quantity]*Table1[Unit_Price]</f>
        <v>1638.8400000000001</v>
      </c>
      <c r="Q1324" s="1">
        <f>Table1[Profit]/Table1[Total_Sales]</f>
        <v>0.39343071928925338</v>
      </c>
      <c r="R1324" s="14">
        <f>Table1[Total_Sales]+Table1[Shipping_Cost]</f>
        <v>1649.61</v>
      </c>
    </row>
    <row r="1325" spans="1:18" x14ac:dyDescent="0.35">
      <c r="A1325" s="3" t="s">
        <v>2524</v>
      </c>
      <c r="B1325" s="2">
        <v>45660</v>
      </c>
      <c r="C1325" s="1" t="s">
        <v>350</v>
      </c>
      <c r="D1325" s="1" t="s">
        <v>17</v>
      </c>
      <c r="E1325" s="1" t="s">
        <v>129</v>
      </c>
      <c r="F1325" s="1" t="s">
        <v>19</v>
      </c>
      <c r="G1325" s="1" t="s">
        <v>42</v>
      </c>
      <c r="H1325" s="1" t="s">
        <v>371</v>
      </c>
      <c r="I1325" s="1">
        <v>1</v>
      </c>
      <c r="J1325" s="1">
        <v>115.76</v>
      </c>
      <c r="K1325" s="1">
        <v>10</v>
      </c>
      <c r="L1325" s="1">
        <v>104.18</v>
      </c>
      <c r="M1325" s="1">
        <v>6.46</v>
      </c>
      <c r="N1325" s="1">
        <v>28.26</v>
      </c>
      <c r="O1325" s="6" t="s">
        <v>39</v>
      </c>
      <c r="P1325" s="8">
        <f>Table1[Quantity]*Table1[Unit_Price]</f>
        <v>115.76</v>
      </c>
      <c r="Q1325" s="1">
        <f>Table1[Profit]/Table1[Total_Sales]</f>
        <v>0.2712612785563448</v>
      </c>
      <c r="R1325" s="14">
        <f>Table1[Total_Sales]+Table1[Shipping_Cost]</f>
        <v>110.64</v>
      </c>
    </row>
    <row r="1326" spans="1:18" x14ac:dyDescent="0.35">
      <c r="A1326" s="3" t="s">
        <v>2525</v>
      </c>
      <c r="B1326" s="2">
        <v>45660</v>
      </c>
      <c r="C1326" s="1" t="s">
        <v>2526</v>
      </c>
      <c r="D1326" s="1" t="s">
        <v>30</v>
      </c>
      <c r="E1326" s="1" t="s">
        <v>53</v>
      </c>
      <c r="F1326" s="1" t="s">
        <v>54</v>
      </c>
      <c r="G1326" s="1" t="s">
        <v>42</v>
      </c>
      <c r="H1326" s="1" t="s">
        <v>89</v>
      </c>
      <c r="I1326" s="1">
        <v>3</v>
      </c>
      <c r="J1326" s="1">
        <v>219.08</v>
      </c>
      <c r="K1326" s="1">
        <v>5</v>
      </c>
      <c r="L1326" s="1">
        <v>624.38</v>
      </c>
      <c r="M1326" s="1">
        <v>16.97</v>
      </c>
      <c r="N1326" s="1">
        <v>213.07</v>
      </c>
      <c r="O1326" s="6" t="s">
        <v>34</v>
      </c>
      <c r="P1326" s="8">
        <f>Table1[Quantity]*Table1[Unit_Price]</f>
        <v>657.24</v>
      </c>
      <c r="Q1326" s="1">
        <f>Table1[Profit]/Table1[Total_Sales]</f>
        <v>0.34125052051635224</v>
      </c>
      <c r="R1326" s="14">
        <f>Table1[Total_Sales]+Table1[Shipping_Cost]</f>
        <v>641.35</v>
      </c>
    </row>
    <row r="1327" spans="1:18" x14ac:dyDescent="0.35">
      <c r="A1327" s="3" t="s">
        <v>2527</v>
      </c>
      <c r="B1327" s="2">
        <v>45660</v>
      </c>
      <c r="C1327" s="1" t="s">
        <v>2528</v>
      </c>
      <c r="D1327" s="1" t="s">
        <v>49</v>
      </c>
      <c r="E1327" s="1" t="s">
        <v>31</v>
      </c>
      <c r="F1327" s="1" t="s">
        <v>19</v>
      </c>
      <c r="G1327" s="1" t="s">
        <v>32</v>
      </c>
      <c r="H1327" s="1" t="s">
        <v>50</v>
      </c>
      <c r="I1327" s="1">
        <v>2</v>
      </c>
      <c r="J1327" s="1">
        <v>23.83</v>
      </c>
      <c r="K1327" s="1">
        <v>0</v>
      </c>
      <c r="L1327" s="1">
        <v>47.66</v>
      </c>
      <c r="M1327" s="1">
        <v>8.8699999999999992</v>
      </c>
      <c r="N1327" s="1">
        <v>17.34</v>
      </c>
      <c r="O1327" s="6" t="s">
        <v>56</v>
      </c>
      <c r="P1327" s="8">
        <f>Table1[Quantity]*Table1[Unit_Price]</f>
        <v>47.66</v>
      </c>
      <c r="Q1327" s="1">
        <f>Table1[Profit]/Table1[Total_Sales]</f>
        <v>0.36382710868652962</v>
      </c>
      <c r="R1327" s="14">
        <f>Table1[Total_Sales]+Table1[Shipping_Cost]</f>
        <v>56.529999999999994</v>
      </c>
    </row>
    <row r="1328" spans="1:18" x14ac:dyDescent="0.35">
      <c r="A1328" s="3" t="s">
        <v>2529</v>
      </c>
      <c r="B1328" s="2">
        <v>45661</v>
      </c>
      <c r="C1328" s="1" t="s">
        <v>2530</v>
      </c>
      <c r="D1328" s="1" t="s">
        <v>30</v>
      </c>
      <c r="E1328" s="1" t="s">
        <v>248</v>
      </c>
      <c r="F1328" s="1" t="s">
        <v>26</v>
      </c>
      <c r="G1328" s="1" t="s">
        <v>42</v>
      </c>
      <c r="H1328" s="1" t="s">
        <v>371</v>
      </c>
      <c r="I1328" s="1">
        <v>5</v>
      </c>
      <c r="J1328" s="1">
        <v>127.03</v>
      </c>
      <c r="K1328" s="1">
        <v>5</v>
      </c>
      <c r="L1328" s="1">
        <v>603.39</v>
      </c>
      <c r="M1328" s="1">
        <v>16.489999999999998</v>
      </c>
      <c r="N1328" s="1">
        <v>205.81</v>
      </c>
      <c r="O1328" s="6" t="s">
        <v>39</v>
      </c>
      <c r="P1328" s="8">
        <f>Table1[Quantity]*Table1[Unit_Price]</f>
        <v>635.15</v>
      </c>
      <c r="Q1328" s="1">
        <f>Table1[Profit]/Table1[Total_Sales]</f>
        <v>0.34108951092991269</v>
      </c>
      <c r="R1328" s="14">
        <f>Table1[Total_Sales]+Table1[Shipping_Cost]</f>
        <v>619.88</v>
      </c>
    </row>
    <row r="1329" spans="1:18" x14ac:dyDescent="0.35">
      <c r="A1329" s="3" t="s">
        <v>2531</v>
      </c>
      <c r="B1329" s="2">
        <v>45662</v>
      </c>
      <c r="C1329" s="1" t="s">
        <v>2532</v>
      </c>
      <c r="D1329" s="1" t="s">
        <v>30</v>
      </c>
      <c r="E1329" s="1" t="s">
        <v>31</v>
      </c>
      <c r="F1329" s="1" t="s">
        <v>19</v>
      </c>
      <c r="G1329" s="1" t="s">
        <v>69</v>
      </c>
      <c r="H1329" s="1" t="s">
        <v>139</v>
      </c>
      <c r="I1329" s="1">
        <v>6</v>
      </c>
      <c r="J1329" s="1">
        <v>26.43</v>
      </c>
      <c r="K1329" s="1">
        <v>5</v>
      </c>
      <c r="L1329" s="1">
        <v>150.65</v>
      </c>
      <c r="M1329" s="1">
        <v>8.1</v>
      </c>
      <c r="N1329" s="1">
        <v>63.26</v>
      </c>
      <c r="O1329" s="6" t="s">
        <v>22</v>
      </c>
      <c r="P1329" s="8">
        <f>Table1[Quantity]*Table1[Unit_Price]</f>
        <v>158.57999999999998</v>
      </c>
      <c r="Q1329" s="1">
        <f>Table1[Profit]/Table1[Total_Sales]</f>
        <v>0.41991370726850313</v>
      </c>
      <c r="R1329" s="14">
        <f>Table1[Total_Sales]+Table1[Shipping_Cost]</f>
        <v>158.75</v>
      </c>
    </row>
    <row r="1330" spans="1:18" x14ac:dyDescent="0.35">
      <c r="A1330" s="3" t="s">
        <v>2533</v>
      </c>
      <c r="B1330" s="2">
        <v>45662</v>
      </c>
      <c r="C1330" s="1" t="s">
        <v>680</v>
      </c>
      <c r="D1330" s="1" t="s">
        <v>17</v>
      </c>
      <c r="E1330" s="1" t="s">
        <v>85</v>
      </c>
      <c r="F1330" s="1" t="s">
        <v>60</v>
      </c>
      <c r="G1330" s="1" t="s">
        <v>32</v>
      </c>
      <c r="H1330" s="1" t="s">
        <v>33</v>
      </c>
      <c r="I1330" s="1">
        <v>1</v>
      </c>
      <c r="J1330" s="1">
        <v>9.2100000000000009</v>
      </c>
      <c r="K1330" s="1">
        <v>20</v>
      </c>
      <c r="L1330" s="1">
        <v>7.37</v>
      </c>
      <c r="M1330" s="1">
        <v>11.17</v>
      </c>
      <c r="N1330" s="1">
        <v>-7.94</v>
      </c>
      <c r="O1330" s="6" t="s">
        <v>34</v>
      </c>
      <c r="P1330" s="8">
        <f>Table1[Quantity]*Table1[Unit_Price]</f>
        <v>9.2100000000000009</v>
      </c>
      <c r="Q1330" s="1">
        <f>Table1[Profit]/Table1[Total_Sales]</f>
        <v>-1.0773405698778833</v>
      </c>
      <c r="R1330" s="14">
        <f>Table1[Total_Sales]+Table1[Shipping_Cost]</f>
        <v>18.54</v>
      </c>
    </row>
    <row r="1331" spans="1:18" x14ac:dyDescent="0.35">
      <c r="A1331" s="3" t="s">
        <v>2534</v>
      </c>
      <c r="B1331" s="2">
        <v>45663</v>
      </c>
      <c r="C1331" s="1" t="s">
        <v>2294</v>
      </c>
      <c r="D1331" s="1" t="s">
        <v>30</v>
      </c>
      <c r="E1331" s="1" t="s">
        <v>18</v>
      </c>
      <c r="F1331" s="1" t="s">
        <v>19</v>
      </c>
      <c r="G1331" s="1" t="s">
        <v>32</v>
      </c>
      <c r="H1331" s="1" t="s">
        <v>149</v>
      </c>
      <c r="I1331" s="1">
        <v>4</v>
      </c>
      <c r="J1331" s="1">
        <v>9.43</v>
      </c>
      <c r="K1331" s="1">
        <v>20</v>
      </c>
      <c r="L1331" s="1">
        <v>30.18</v>
      </c>
      <c r="M1331" s="1">
        <v>12.83</v>
      </c>
      <c r="N1331" s="1">
        <v>0.38</v>
      </c>
      <c r="O1331" s="6" t="s">
        <v>39</v>
      </c>
      <c r="P1331" s="8">
        <f>Table1[Quantity]*Table1[Unit_Price]</f>
        <v>37.72</v>
      </c>
      <c r="Q1331" s="1">
        <f>Table1[Profit]/Table1[Total_Sales]</f>
        <v>1.2591119946984758E-2</v>
      </c>
      <c r="R1331" s="14">
        <f>Table1[Total_Sales]+Table1[Shipping_Cost]</f>
        <v>43.01</v>
      </c>
    </row>
    <row r="1332" spans="1:18" x14ac:dyDescent="0.35">
      <c r="A1332" s="3" t="s">
        <v>2535</v>
      </c>
      <c r="B1332" s="2">
        <v>45663</v>
      </c>
      <c r="C1332" s="1" t="s">
        <v>2434</v>
      </c>
      <c r="D1332" s="1" t="s">
        <v>49</v>
      </c>
      <c r="E1332" s="1" t="s">
        <v>31</v>
      </c>
      <c r="F1332" s="1" t="s">
        <v>19</v>
      </c>
      <c r="G1332" s="1" t="s">
        <v>32</v>
      </c>
      <c r="H1332" s="1" t="s">
        <v>50</v>
      </c>
      <c r="I1332" s="1">
        <v>3</v>
      </c>
      <c r="J1332" s="1">
        <v>18.18</v>
      </c>
      <c r="K1332" s="1">
        <v>0</v>
      </c>
      <c r="L1332" s="1">
        <v>54.54</v>
      </c>
      <c r="M1332" s="1">
        <v>7.27</v>
      </c>
      <c r="N1332" s="1">
        <v>22.73</v>
      </c>
      <c r="O1332" s="6" t="s">
        <v>39</v>
      </c>
      <c r="P1332" s="8">
        <f>Table1[Quantity]*Table1[Unit_Price]</f>
        <v>54.54</v>
      </c>
      <c r="Q1332" s="1">
        <f>Table1[Profit]/Table1[Total_Sales]</f>
        <v>0.41675834250091676</v>
      </c>
      <c r="R1332" s="14">
        <f>Table1[Total_Sales]+Table1[Shipping_Cost]</f>
        <v>61.81</v>
      </c>
    </row>
    <row r="1333" spans="1:18" x14ac:dyDescent="0.35">
      <c r="A1333" s="3" t="s">
        <v>2536</v>
      </c>
      <c r="B1333" s="2">
        <v>45665</v>
      </c>
      <c r="C1333" s="1" t="s">
        <v>2537</v>
      </c>
      <c r="D1333" s="1" t="s">
        <v>30</v>
      </c>
      <c r="E1333" s="1" t="s">
        <v>18</v>
      </c>
      <c r="F1333" s="1" t="s">
        <v>19</v>
      </c>
      <c r="G1333" s="1" t="s">
        <v>20</v>
      </c>
      <c r="H1333" s="1" t="s">
        <v>264</v>
      </c>
      <c r="I1333" s="1">
        <v>4</v>
      </c>
      <c r="J1333" s="1">
        <v>45.26</v>
      </c>
      <c r="K1333" s="1">
        <v>0</v>
      </c>
      <c r="L1333" s="1">
        <v>181.04</v>
      </c>
      <c r="M1333" s="1">
        <v>7.24</v>
      </c>
      <c r="N1333" s="1">
        <v>74.23</v>
      </c>
      <c r="O1333" s="6" t="s">
        <v>34</v>
      </c>
      <c r="P1333" s="8">
        <f>Table1[Quantity]*Table1[Unit_Price]</f>
        <v>181.04</v>
      </c>
      <c r="Q1333" s="1">
        <f>Table1[Profit]/Table1[Total_Sales]</f>
        <v>0.41001988510826343</v>
      </c>
      <c r="R1333" s="14">
        <f>Table1[Total_Sales]+Table1[Shipping_Cost]</f>
        <v>188.28</v>
      </c>
    </row>
    <row r="1334" spans="1:18" x14ac:dyDescent="0.35">
      <c r="A1334" s="3" t="s">
        <v>2538</v>
      </c>
      <c r="B1334" s="2">
        <v>45665</v>
      </c>
      <c r="C1334" s="1" t="s">
        <v>2539</v>
      </c>
      <c r="D1334" s="1" t="s">
        <v>30</v>
      </c>
      <c r="E1334" s="1" t="s">
        <v>169</v>
      </c>
      <c r="F1334" s="1" t="s">
        <v>68</v>
      </c>
      <c r="G1334" s="1" t="s">
        <v>32</v>
      </c>
      <c r="H1334" s="1" t="s">
        <v>132</v>
      </c>
      <c r="I1334" s="1">
        <v>2</v>
      </c>
      <c r="J1334" s="1">
        <v>12.48</v>
      </c>
      <c r="K1334" s="1">
        <v>10</v>
      </c>
      <c r="L1334" s="1">
        <v>22.46</v>
      </c>
      <c r="M1334" s="1">
        <v>12.39</v>
      </c>
      <c r="N1334" s="1">
        <v>-1.1599999999999999</v>
      </c>
      <c r="O1334" s="6" t="s">
        <v>56</v>
      </c>
      <c r="P1334" s="8">
        <f>Table1[Quantity]*Table1[Unit_Price]</f>
        <v>24.96</v>
      </c>
      <c r="Q1334" s="1">
        <f>Table1[Profit]/Table1[Total_Sales]</f>
        <v>-5.1647373107747099E-2</v>
      </c>
      <c r="R1334" s="14">
        <f>Table1[Total_Sales]+Table1[Shipping_Cost]</f>
        <v>34.85</v>
      </c>
    </row>
    <row r="1335" spans="1:18" x14ac:dyDescent="0.35">
      <c r="A1335" s="3" t="s">
        <v>2540</v>
      </c>
      <c r="B1335" s="2">
        <v>45666</v>
      </c>
      <c r="C1335" s="1" t="s">
        <v>1078</v>
      </c>
      <c r="D1335" s="1" t="s">
        <v>30</v>
      </c>
      <c r="E1335" s="1" t="s">
        <v>37</v>
      </c>
      <c r="F1335" s="1" t="s">
        <v>26</v>
      </c>
      <c r="G1335" s="1" t="s">
        <v>32</v>
      </c>
      <c r="H1335" s="1" t="s">
        <v>50</v>
      </c>
      <c r="I1335" s="1">
        <v>3</v>
      </c>
      <c r="J1335" s="1">
        <v>9.4</v>
      </c>
      <c r="K1335" s="1">
        <v>5</v>
      </c>
      <c r="L1335" s="1">
        <v>26.79</v>
      </c>
      <c r="M1335" s="1">
        <v>11.24</v>
      </c>
      <c r="N1335" s="1">
        <v>2.86</v>
      </c>
      <c r="O1335" s="6" t="s">
        <v>56</v>
      </c>
      <c r="P1335" s="8">
        <f>Table1[Quantity]*Table1[Unit_Price]</f>
        <v>28.200000000000003</v>
      </c>
      <c r="Q1335" s="1">
        <f>Table1[Profit]/Table1[Total_Sales]</f>
        <v>0.10675625233296006</v>
      </c>
      <c r="R1335" s="14">
        <f>Table1[Total_Sales]+Table1[Shipping_Cost]</f>
        <v>38.03</v>
      </c>
    </row>
    <row r="1336" spans="1:18" x14ac:dyDescent="0.35">
      <c r="A1336" s="3" t="s">
        <v>2541</v>
      </c>
      <c r="B1336" s="2">
        <v>45666</v>
      </c>
      <c r="C1336" s="1" t="s">
        <v>2542</v>
      </c>
      <c r="D1336" s="1" t="s">
        <v>30</v>
      </c>
      <c r="E1336" s="1" t="s">
        <v>129</v>
      </c>
      <c r="F1336" s="1" t="s">
        <v>19</v>
      </c>
      <c r="G1336" s="1" t="s">
        <v>32</v>
      </c>
      <c r="H1336" s="1" t="s">
        <v>149</v>
      </c>
      <c r="I1336" s="1">
        <v>3</v>
      </c>
      <c r="J1336" s="1">
        <v>9.86</v>
      </c>
      <c r="K1336" s="1">
        <v>10</v>
      </c>
      <c r="L1336" s="1">
        <v>26.62</v>
      </c>
      <c r="M1336" s="1">
        <v>7.69</v>
      </c>
      <c r="N1336" s="1">
        <v>5.62</v>
      </c>
      <c r="O1336" s="6" t="s">
        <v>34</v>
      </c>
      <c r="P1336" s="8">
        <f>Table1[Quantity]*Table1[Unit_Price]</f>
        <v>29.58</v>
      </c>
      <c r="Q1336" s="1">
        <f>Table1[Profit]/Table1[Total_Sales]</f>
        <v>0.21111945905334334</v>
      </c>
      <c r="R1336" s="14">
        <f>Table1[Total_Sales]+Table1[Shipping_Cost]</f>
        <v>34.31</v>
      </c>
    </row>
    <row r="1337" spans="1:18" x14ac:dyDescent="0.35">
      <c r="A1337" s="3" t="s">
        <v>2543</v>
      </c>
      <c r="B1337" s="2">
        <v>45667</v>
      </c>
      <c r="C1337" s="1" t="s">
        <v>2544</v>
      </c>
      <c r="D1337" s="1" t="s">
        <v>17</v>
      </c>
      <c r="E1337" s="1" t="s">
        <v>76</v>
      </c>
      <c r="F1337" s="1" t="s">
        <v>26</v>
      </c>
      <c r="G1337" s="1" t="s">
        <v>20</v>
      </c>
      <c r="H1337" s="1" t="s">
        <v>106</v>
      </c>
      <c r="I1337" s="1">
        <v>3</v>
      </c>
      <c r="J1337" s="1">
        <v>73.19</v>
      </c>
      <c r="K1337" s="1">
        <v>10</v>
      </c>
      <c r="L1337" s="1">
        <v>197.61</v>
      </c>
      <c r="M1337" s="1">
        <v>12.36</v>
      </c>
      <c r="N1337" s="1">
        <v>64.489999999999995</v>
      </c>
      <c r="O1337" s="6" t="s">
        <v>34</v>
      </c>
      <c r="P1337" s="8">
        <f>Table1[Quantity]*Table1[Unit_Price]</f>
        <v>219.57</v>
      </c>
      <c r="Q1337" s="1">
        <f>Table1[Profit]/Table1[Total_Sales]</f>
        <v>0.32634988107889273</v>
      </c>
      <c r="R1337" s="14">
        <f>Table1[Total_Sales]+Table1[Shipping_Cost]</f>
        <v>209.97000000000003</v>
      </c>
    </row>
    <row r="1338" spans="1:18" x14ac:dyDescent="0.35">
      <c r="A1338" s="3" t="s">
        <v>2545</v>
      </c>
      <c r="B1338" s="2">
        <v>45668</v>
      </c>
      <c r="C1338" s="1" t="s">
        <v>2546</v>
      </c>
      <c r="D1338" s="1" t="s">
        <v>30</v>
      </c>
      <c r="E1338" s="1" t="s">
        <v>85</v>
      </c>
      <c r="F1338" s="1" t="s">
        <v>60</v>
      </c>
      <c r="G1338" s="1" t="s">
        <v>32</v>
      </c>
      <c r="H1338" s="1" t="s">
        <v>115</v>
      </c>
      <c r="I1338" s="1">
        <v>12</v>
      </c>
      <c r="J1338" s="1">
        <v>11.27</v>
      </c>
      <c r="K1338" s="1">
        <v>10</v>
      </c>
      <c r="L1338" s="1">
        <v>121.72</v>
      </c>
      <c r="M1338" s="1">
        <v>19.04</v>
      </c>
      <c r="N1338" s="1">
        <v>41.82</v>
      </c>
      <c r="O1338" s="6" t="s">
        <v>34</v>
      </c>
      <c r="P1338" s="8">
        <f>Table1[Quantity]*Table1[Unit_Price]</f>
        <v>135.24</v>
      </c>
      <c r="Q1338" s="1">
        <f>Table1[Profit]/Table1[Total_Sales]</f>
        <v>0.34357541899441341</v>
      </c>
      <c r="R1338" s="14">
        <f>Table1[Total_Sales]+Table1[Shipping_Cost]</f>
        <v>140.76</v>
      </c>
    </row>
    <row r="1339" spans="1:18" x14ac:dyDescent="0.35">
      <c r="A1339" s="3" t="s">
        <v>2547</v>
      </c>
      <c r="B1339" s="2">
        <v>45669</v>
      </c>
      <c r="C1339" s="1" t="s">
        <v>703</v>
      </c>
      <c r="D1339" s="1" t="s">
        <v>30</v>
      </c>
      <c r="E1339" s="1" t="s">
        <v>76</v>
      </c>
      <c r="F1339" s="1" t="s">
        <v>26</v>
      </c>
      <c r="G1339" s="1" t="s">
        <v>69</v>
      </c>
      <c r="H1339" s="1" t="s">
        <v>70</v>
      </c>
      <c r="I1339" s="1">
        <v>10</v>
      </c>
      <c r="J1339" s="1">
        <v>56.84</v>
      </c>
      <c r="K1339" s="1">
        <v>5</v>
      </c>
      <c r="L1339" s="1">
        <v>539.98</v>
      </c>
      <c r="M1339" s="1">
        <v>24.76</v>
      </c>
      <c r="N1339" s="1">
        <v>231.02</v>
      </c>
      <c r="O1339" s="6" t="s">
        <v>22</v>
      </c>
      <c r="P1339" s="8">
        <f>Table1[Quantity]*Table1[Unit_Price]</f>
        <v>568.40000000000009</v>
      </c>
      <c r="Q1339" s="1">
        <f>Table1[Profit]/Table1[Total_Sales]</f>
        <v>0.42783066039482942</v>
      </c>
      <c r="R1339" s="14">
        <f>Table1[Total_Sales]+Table1[Shipping_Cost]</f>
        <v>564.74</v>
      </c>
    </row>
    <row r="1340" spans="1:18" x14ac:dyDescent="0.35">
      <c r="A1340" s="3" t="s">
        <v>2548</v>
      </c>
      <c r="B1340" s="2">
        <v>45669</v>
      </c>
      <c r="C1340" s="1" t="s">
        <v>2549</v>
      </c>
      <c r="D1340" s="1" t="s">
        <v>30</v>
      </c>
      <c r="E1340" s="1" t="s">
        <v>18</v>
      </c>
      <c r="F1340" s="1" t="s">
        <v>19</v>
      </c>
      <c r="G1340" s="1" t="s">
        <v>69</v>
      </c>
      <c r="H1340" s="1" t="s">
        <v>70</v>
      </c>
      <c r="I1340" s="1">
        <v>3</v>
      </c>
      <c r="J1340" s="1">
        <v>17.66</v>
      </c>
      <c r="K1340" s="1">
        <v>0</v>
      </c>
      <c r="L1340" s="1">
        <v>52.98</v>
      </c>
      <c r="M1340" s="1">
        <v>6.7</v>
      </c>
      <c r="N1340" s="1">
        <v>19.79</v>
      </c>
      <c r="O1340" s="6" t="s">
        <v>34</v>
      </c>
      <c r="P1340" s="8">
        <f>Table1[Quantity]*Table1[Unit_Price]</f>
        <v>52.980000000000004</v>
      </c>
      <c r="Q1340" s="1">
        <f>Table1[Profit]/Table1[Total_Sales]</f>
        <v>0.37353718384295959</v>
      </c>
      <c r="R1340" s="14">
        <f>Table1[Total_Sales]+Table1[Shipping_Cost]</f>
        <v>59.68</v>
      </c>
    </row>
    <row r="1341" spans="1:18" x14ac:dyDescent="0.35">
      <c r="A1341" s="3" t="s">
        <v>2550</v>
      </c>
      <c r="B1341" s="2">
        <v>45671</v>
      </c>
      <c r="C1341" s="1" t="s">
        <v>2028</v>
      </c>
      <c r="D1341" s="1" t="s">
        <v>30</v>
      </c>
      <c r="E1341" s="1" t="s">
        <v>129</v>
      </c>
      <c r="F1341" s="1" t="s">
        <v>19</v>
      </c>
      <c r="G1341" s="1" t="s">
        <v>20</v>
      </c>
      <c r="H1341" s="1" t="s">
        <v>21</v>
      </c>
      <c r="I1341" s="1">
        <v>5</v>
      </c>
      <c r="J1341" s="1">
        <v>185.01</v>
      </c>
      <c r="K1341" s="1">
        <v>0</v>
      </c>
      <c r="L1341" s="1">
        <v>925.05</v>
      </c>
      <c r="M1341" s="1">
        <v>11.11</v>
      </c>
      <c r="N1341" s="1">
        <v>405.16</v>
      </c>
      <c r="O1341" s="6" t="s">
        <v>56</v>
      </c>
      <c r="P1341" s="8">
        <f>Table1[Quantity]*Table1[Unit_Price]</f>
        <v>925.05</v>
      </c>
      <c r="Q1341" s="1">
        <f>Table1[Profit]/Table1[Total_Sales]</f>
        <v>0.4379871358304957</v>
      </c>
      <c r="R1341" s="14">
        <f>Table1[Total_Sales]+Table1[Shipping_Cost]</f>
        <v>936.16</v>
      </c>
    </row>
    <row r="1342" spans="1:18" x14ac:dyDescent="0.35">
      <c r="A1342" s="3" t="s">
        <v>2551</v>
      </c>
      <c r="B1342" s="2">
        <v>45673</v>
      </c>
      <c r="C1342" s="1" t="s">
        <v>2222</v>
      </c>
      <c r="D1342" s="1" t="s">
        <v>17</v>
      </c>
      <c r="E1342" s="1" t="s">
        <v>135</v>
      </c>
      <c r="F1342" s="1" t="s">
        <v>26</v>
      </c>
      <c r="G1342" s="1" t="s">
        <v>69</v>
      </c>
      <c r="H1342" s="1" t="s">
        <v>79</v>
      </c>
      <c r="I1342" s="1">
        <v>5</v>
      </c>
      <c r="J1342" s="1">
        <v>82.49</v>
      </c>
      <c r="K1342" s="1">
        <v>10</v>
      </c>
      <c r="L1342" s="1">
        <v>371.2</v>
      </c>
      <c r="M1342" s="1">
        <v>12.32</v>
      </c>
      <c r="N1342" s="1">
        <v>152.66</v>
      </c>
      <c r="O1342" s="6" t="s">
        <v>34</v>
      </c>
      <c r="P1342" s="8">
        <f>Table1[Quantity]*Table1[Unit_Price]</f>
        <v>412.45</v>
      </c>
      <c r="Q1342" s="1">
        <f>Table1[Profit]/Table1[Total_Sales]</f>
        <v>0.41126077586206899</v>
      </c>
      <c r="R1342" s="14">
        <f>Table1[Total_Sales]+Table1[Shipping_Cost]</f>
        <v>383.52</v>
      </c>
    </row>
    <row r="1343" spans="1:18" x14ac:dyDescent="0.35">
      <c r="A1343" s="3" t="s">
        <v>2552</v>
      </c>
      <c r="B1343" s="2">
        <v>45674</v>
      </c>
      <c r="C1343" s="1" t="s">
        <v>2553</v>
      </c>
      <c r="D1343" s="1" t="s">
        <v>17</v>
      </c>
      <c r="E1343" s="1" t="s">
        <v>18</v>
      </c>
      <c r="F1343" s="1" t="s">
        <v>19</v>
      </c>
      <c r="G1343" s="1" t="s">
        <v>42</v>
      </c>
      <c r="H1343" s="1" t="s">
        <v>46</v>
      </c>
      <c r="I1343" s="1">
        <v>6</v>
      </c>
      <c r="J1343" s="1">
        <v>71.81</v>
      </c>
      <c r="K1343" s="1">
        <v>5</v>
      </c>
      <c r="L1343" s="1">
        <v>409.32</v>
      </c>
      <c r="M1343" s="1">
        <v>15.55</v>
      </c>
      <c r="N1343" s="1">
        <v>135.25</v>
      </c>
      <c r="O1343" s="6" t="s">
        <v>34</v>
      </c>
      <c r="P1343" s="8">
        <f>Table1[Quantity]*Table1[Unit_Price]</f>
        <v>430.86</v>
      </c>
      <c r="Q1343" s="1">
        <f>Table1[Profit]/Table1[Total_Sales]</f>
        <v>0.33042607251050521</v>
      </c>
      <c r="R1343" s="14">
        <f>Table1[Total_Sales]+Table1[Shipping_Cost]</f>
        <v>424.87</v>
      </c>
    </row>
    <row r="1344" spans="1:18" x14ac:dyDescent="0.35">
      <c r="A1344" s="3" t="s">
        <v>2554</v>
      </c>
      <c r="B1344" s="2">
        <v>45675</v>
      </c>
      <c r="C1344" s="1" t="s">
        <v>2555</v>
      </c>
      <c r="D1344" s="1" t="s">
        <v>30</v>
      </c>
      <c r="E1344" s="1" t="s">
        <v>53</v>
      </c>
      <c r="F1344" s="1" t="s">
        <v>54</v>
      </c>
      <c r="G1344" s="1" t="s">
        <v>20</v>
      </c>
      <c r="H1344" s="1" t="s">
        <v>264</v>
      </c>
      <c r="I1344" s="1">
        <v>5</v>
      </c>
      <c r="J1344" s="1">
        <v>67.72</v>
      </c>
      <c r="K1344" s="1">
        <v>0</v>
      </c>
      <c r="L1344" s="1">
        <v>338.6</v>
      </c>
      <c r="M1344" s="1">
        <v>14.18</v>
      </c>
      <c r="N1344" s="1">
        <v>138.19</v>
      </c>
      <c r="O1344" s="6" t="s">
        <v>34</v>
      </c>
      <c r="P1344" s="8">
        <f>Table1[Quantity]*Table1[Unit_Price]</f>
        <v>338.6</v>
      </c>
      <c r="Q1344" s="1">
        <f>Table1[Profit]/Table1[Total_Sales]</f>
        <v>0.40812167749556993</v>
      </c>
      <c r="R1344" s="14">
        <f>Table1[Total_Sales]+Table1[Shipping_Cost]</f>
        <v>352.78000000000003</v>
      </c>
    </row>
    <row r="1345" spans="1:18" x14ac:dyDescent="0.35">
      <c r="A1345" s="3" t="s">
        <v>2556</v>
      </c>
      <c r="B1345" s="2">
        <v>45676</v>
      </c>
      <c r="C1345" s="1" t="s">
        <v>2557</v>
      </c>
      <c r="D1345" s="1" t="s">
        <v>49</v>
      </c>
      <c r="E1345" s="1" t="s">
        <v>121</v>
      </c>
      <c r="F1345" s="1" t="s">
        <v>68</v>
      </c>
      <c r="G1345" s="1" t="s">
        <v>32</v>
      </c>
      <c r="H1345" s="1" t="s">
        <v>33</v>
      </c>
      <c r="I1345" s="1">
        <v>2</v>
      </c>
      <c r="J1345" s="1">
        <v>5.74</v>
      </c>
      <c r="K1345" s="1">
        <v>20</v>
      </c>
      <c r="L1345" s="1">
        <v>9.18</v>
      </c>
      <c r="M1345" s="1">
        <v>13.02</v>
      </c>
      <c r="N1345" s="1">
        <v>-9.01</v>
      </c>
      <c r="O1345" s="6" t="s">
        <v>34</v>
      </c>
      <c r="P1345" s="8">
        <f>Table1[Quantity]*Table1[Unit_Price]</f>
        <v>11.48</v>
      </c>
      <c r="Q1345" s="1">
        <f>Table1[Profit]/Table1[Total_Sales]</f>
        <v>-0.98148148148148151</v>
      </c>
      <c r="R1345" s="14">
        <f>Table1[Total_Sales]+Table1[Shipping_Cost]</f>
        <v>22.2</v>
      </c>
    </row>
    <row r="1346" spans="1:18" x14ac:dyDescent="0.35">
      <c r="A1346" s="3" t="s">
        <v>2558</v>
      </c>
      <c r="B1346" s="2">
        <v>45676</v>
      </c>
      <c r="C1346" s="1" t="s">
        <v>2559</v>
      </c>
      <c r="D1346" s="1" t="s">
        <v>30</v>
      </c>
      <c r="E1346" s="1" t="s">
        <v>85</v>
      </c>
      <c r="F1346" s="1" t="s">
        <v>60</v>
      </c>
      <c r="G1346" s="1" t="s">
        <v>20</v>
      </c>
      <c r="H1346" s="1" t="s">
        <v>38</v>
      </c>
      <c r="I1346" s="1">
        <v>4</v>
      </c>
      <c r="J1346" s="1">
        <v>87.29</v>
      </c>
      <c r="K1346" s="1">
        <v>0</v>
      </c>
      <c r="L1346" s="1">
        <v>349.16</v>
      </c>
      <c r="M1346" s="1">
        <v>12.84</v>
      </c>
      <c r="N1346" s="1">
        <v>144.28</v>
      </c>
      <c r="O1346" s="6" t="s">
        <v>56</v>
      </c>
      <c r="P1346" s="8">
        <f>Table1[Quantity]*Table1[Unit_Price]</f>
        <v>349.16</v>
      </c>
      <c r="Q1346" s="1">
        <f>Table1[Profit]/Table1[Total_Sales]</f>
        <v>0.41322030014892885</v>
      </c>
      <c r="R1346" s="14">
        <f>Table1[Total_Sales]+Table1[Shipping_Cost]</f>
        <v>362</v>
      </c>
    </row>
    <row r="1347" spans="1:18" x14ac:dyDescent="0.35">
      <c r="A1347" s="3" t="s">
        <v>2560</v>
      </c>
      <c r="B1347" s="2">
        <v>45677</v>
      </c>
      <c r="C1347" s="1" t="s">
        <v>2561</v>
      </c>
      <c r="D1347" s="1" t="s">
        <v>17</v>
      </c>
      <c r="E1347" s="1" t="s">
        <v>121</v>
      </c>
      <c r="F1347" s="1" t="s">
        <v>68</v>
      </c>
      <c r="G1347" s="1" t="s">
        <v>20</v>
      </c>
      <c r="H1347" s="1" t="s">
        <v>199</v>
      </c>
      <c r="I1347" s="1">
        <v>2</v>
      </c>
      <c r="J1347" s="1">
        <v>95.46</v>
      </c>
      <c r="K1347" s="1">
        <v>10</v>
      </c>
      <c r="L1347" s="1">
        <v>171.83</v>
      </c>
      <c r="M1347" s="1">
        <v>14.34</v>
      </c>
      <c r="N1347" s="1">
        <v>52.48</v>
      </c>
      <c r="O1347" s="6" t="s">
        <v>34</v>
      </c>
      <c r="P1347" s="8">
        <f>Table1[Quantity]*Table1[Unit_Price]</f>
        <v>190.92</v>
      </c>
      <c r="Q1347" s="1">
        <f>Table1[Profit]/Table1[Total_Sales]</f>
        <v>0.30541814584182037</v>
      </c>
      <c r="R1347" s="14">
        <f>Table1[Total_Sales]+Table1[Shipping_Cost]</f>
        <v>186.17000000000002</v>
      </c>
    </row>
    <row r="1348" spans="1:18" x14ac:dyDescent="0.35">
      <c r="A1348" s="3" t="s">
        <v>2562</v>
      </c>
      <c r="B1348" s="2">
        <v>45677</v>
      </c>
      <c r="C1348" s="1" t="s">
        <v>2563</v>
      </c>
      <c r="D1348" s="1" t="s">
        <v>30</v>
      </c>
      <c r="E1348" s="1" t="s">
        <v>148</v>
      </c>
      <c r="F1348" s="1" t="s">
        <v>60</v>
      </c>
      <c r="G1348" s="1" t="s">
        <v>42</v>
      </c>
      <c r="H1348" s="1" t="s">
        <v>118</v>
      </c>
      <c r="I1348" s="1">
        <v>1</v>
      </c>
      <c r="J1348" s="1">
        <v>32.200000000000003</v>
      </c>
      <c r="K1348" s="1">
        <v>0</v>
      </c>
      <c r="L1348" s="1">
        <v>32.200000000000003</v>
      </c>
      <c r="M1348" s="1">
        <v>11.24</v>
      </c>
      <c r="N1348" s="1">
        <v>1.64</v>
      </c>
      <c r="O1348" s="6" t="s">
        <v>34</v>
      </c>
      <c r="P1348" s="8">
        <f>Table1[Quantity]*Table1[Unit_Price]</f>
        <v>32.200000000000003</v>
      </c>
      <c r="Q1348" s="1">
        <f>Table1[Profit]/Table1[Total_Sales]</f>
        <v>5.0931677018633534E-2</v>
      </c>
      <c r="R1348" s="14">
        <f>Table1[Total_Sales]+Table1[Shipping_Cost]</f>
        <v>43.440000000000005</v>
      </c>
    </row>
    <row r="1349" spans="1:18" x14ac:dyDescent="0.35">
      <c r="A1349" s="3" t="s">
        <v>2564</v>
      </c>
      <c r="B1349" s="2">
        <v>45678</v>
      </c>
      <c r="C1349" s="1" t="s">
        <v>2565</v>
      </c>
      <c r="D1349" s="1" t="s">
        <v>30</v>
      </c>
      <c r="E1349" s="1" t="s">
        <v>63</v>
      </c>
      <c r="F1349" s="1" t="s">
        <v>54</v>
      </c>
      <c r="G1349" s="1" t="s">
        <v>42</v>
      </c>
      <c r="H1349" s="1" t="s">
        <v>294</v>
      </c>
      <c r="I1349" s="1">
        <v>1</v>
      </c>
      <c r="J1349" s="1">
        <v>266.33</v>
      </c>
      <c r="K1349" s="1">
        <v>10</v>
      </c>
      <c r="L1349" s="1">
        <v>239.7</v>
      </c>
      <c r="M1349" s="1">
        <v>12.81</v>
      </c>
      <c r="N1349" s="1">
        <v>67.09</v>
      </c>
      <c r="O1349" s="6" t="s">
        <v>56</v>
      </c>
      <c r="P1349" s="8">
        <f>Table1[Quantity]*Table1[Unit_Price]</f>
        <v>266.33</v>
      </c>
      <c r="Q1349" s="1">
        <f>Table1[Profit]/Table1[Total_Sales]</f>
        <v>0.27989153108051734</v>
      </c>
      <c r="R1349" s="14">
        <f>Table1[Total_Sales]+Table1[Shipping_Cost]</f>
        <v>252.51</v>
      </c>
    </row>
    <row r="1350" spans="1:18" x14ac:dyDescent="0.35">
      <c r="A1350" s="3" t="s">
        <v>2566</v>
      </c>
      <c r="B1350" s="2">
        <v>45679</v>
      </c>
      <c r="C1350" s="1" t="s">
        <v>2567</v>
      </c>
      <c r="D1350" s="1" t="s">
        <v>30</v>
      </c>
      <c r="E1350" s="1" t="s">
        <v>76</v>
      </c>
      <c r="F1350" s="1" t="s">
        <v>26</v>
      </c>
      <c r="G1350" s="1" t="s">
        <v>42</v>
      </c>
      <c r="H1350" s="1" t="s">
        <v>93</v>
      </c>
      <c r="I1350" s="1">
        <v>8</v>
      </c>
      <c r="J1350" s="1">
        <v>162.72999999999999</v>
      </c>
      <c r="K1350" s="1">
        <v>5</v>
      </c>
      <c r="L1350" s="1">
        <v>1236.75</v>
      </c>
      <c r="M1350" s="1">
        <v>21.92</v>
      </c>
      <c r="N1350" s="1">
        <v>433.73</v>
      </c>
      <c r="O1350" s="6" t="s">
        <v>56</v>
      </c>
      <c r="P1350" s="8">
        <f>Table1[Quantity]*Table1[Unit_Price]</f>
        <v>1301.8399999999999</v>
      </c>
      <c r="Q1350" s="1">
        <f>Table1[Profit]/Table1[Total_Sales]</f>
        <v>0.35070143521326058</v>
      </c>
      <c r="R1350" s="14">
        <f>Table1[Total_Sales]+Table1[Shipping_Cost]</f>
        <v>1258.67</v>
      </c>
    </row>
    <row r="1351" spans="1:18" x14ac:dyDescent="0.35">
      <c r="A1351" s="3" t="s">
        <v>2568</v>
      </c>
      <c r="B1351" s="2">
        <v>45681</v>
      </c>
      <c r="C1351" s="1" t="s">
        <v>2569</v>
      </c>
      <c r="D1351" s="1" t="s">
        <v>30</v>
      </c>
      <c r="E1351" s="1" t="s">
        <v>135</v>
      </c>
      <c r="F1351" s="1" t="s">
        <v>26</v>
      </c>
      <c r="G1351" s="1" t="s">
        <v>32</v>
      </c>
      <c r="H1351" s="1" t="s">
        <v>348</v>
      </c>
      <c r="I1351" s="1">
        <v>4</v>
      </c>
      <c r="J1351" s="1">
        <v>9.15</v>
      </c>
      <c r="K1351" s="1">
        <v>0</v>
      </c>
      <c r="L1351" s="1">
        <v>36.6</v>
      </c>
      <c r="M1351" s="1">
        <v>14.1</v>
      </c>
      <c r="N1351" s="1">
        <v>6.03</v>
      </c>
      <c r="O1351" s="6" t="s">
        <v>22</v>
      </c>
      <c r="P1351" s="8">
        <f>Table1[Quantity]*Table1[Unit_Price]</f>
        <v>36.6</v>
      </c>
      <c r="Q1351" s="1">
        <f>Table1[Profit]/Table1[Total_Sales]</f>
        <v>0.16475409836065574</v>
      </c>
      <c r="R1351" s="14">
        <f>Table1[Total_Sales]+Table1[Shipping_Cost]</f>
        <v>50.7</v>
      </c>
    </row>
    <row r="1352" spans="1:18" x14ac:dyDescent="0.35">
      <c r="A1352" s="3" t="s">
        <v>2570</v>
      </c>
      <c r="B1352" s="2">
        <v>45681</v>
      </c>
      <c r="C1352" s="1" t="s">
        <v>2571</v>
      </c>
      <c r="D1352" s="1" t="s">
        <v>49</v>
      </c>
      <c r="E1352" s="1" t="s">
        <v>59</v>
      </c>
      <c r="F1352" s="1" t="s">
        <v>60</v>
      </c>
      <c r="G1352" s="1" t="s">
        <v>69</v>
      </c>
      <c r="H1352" s="1" t="s">
        <v>305</v>
      </c>
      <c r="I1352" s="1">
        <v>2</v>
      </c>
      <c r="J1352" s="1">
        <v>31.26</v>
      </c>
      <c r="K1352" s="1">
        <v>15</v>
      </c>
      <c r="L1352" s="1">
        <v>53.14</v>
      </c>
      <c r="M1352" s="1">
        <v>10.33</v>
      </c>
      <c r="N1352" s="1">
        <v>11.55</v>
      </c>
      <c r="O1352" s="6" t="s">
        <v>22</v>
      </c>
      <c r="P1352" s="8">
        <f>Table1[Quantity]*Table1[Unit_Price]</f>
        <v>62.52</v>
      </c>
      <c r="Q1352" s="1">
        <f>Table1[Profit]/Table1[Total_Sales]</f>
        <v>0.21735039518253671</v>
      </c>
      <c r="R1352" s="14">
        <f>Table1[Total_Sales]+Table1[Shipping_Cost]</f>
        <v>63.47</v>
      </c>
    </row>
    <row r="1353" spans="1:18" x14ac:dyDescent="0.35">
      <c r="A1353" s="3" t="s">
        <v>2572</v>
      </c>
      <c r="B1353" s="2">
        <v>45681</v>
      </c>
      <c r="C1353" s="1" t="s">
        <v>2303</v>
      </c>
      <c r="D1353" s="1" t="s">
        <v>30</v>
      </c>
      <c r="E1353" s="1" t="s">
        <v>129</v>
      </c>
      <c r="F1353" s="1" t="s">
        <v>19</v>
      </c>
      <c r="G1353" s="1" t="s">
        <v>42</v>
      </c>
      <c r="H1353" s="1" t="s">
        <v>294</v>
      </c>
      <c r="I1353" s="1">
        <v>5</v>
      </c>
      <c r="J1353" s="1">
        <v>186.71</v>
      </c>
      <c r="K1353" s="1">
        <v>15</v>
      </c>
      <c r="L1353" s="1">
        <v>793.52</v>
      </c>
      <c r="M1353" s="1">
        <v>11.33</v>
      </c>
      <c r="N1353" s="1">
        <v>222.06</v>
      </c>
      <c r="O1353" s="6" t="s">
        <v>56</v>
      </c>
      <c r="P1353" s="8">
        <f>Table1[Quantity]*Table1[Unit_Price]</f>
        <v>933.55000000000007</v>
      </c>
      <c r="Q1353" s="1">
        <f>Table1[Profit]/Table1[Total_Sales]</f>
        <v>0.27984171791511242</v>
      </c>
      <c r="R1353" s="14">
        <f>Table1[Total_Sales]+Table1[Shipping_Cost]</f>
        <v>804.85</v>
      </c>
    </row>
    <row r="1354" spans="1:18" x14ac:dyDescent="0.35">
      <c r="A1354" s="3" t="s">
        <v>2573</v>
      </c>
      <c r="B1354" s="2">
        <v>45681</v>
      </c>
      <c r="C1354" s="1" t="s">
        <v>75</v>
      </c>
      <c r="D1354" s="1" t="s">
        <v>49</v>
      </c>
      <c r="E1354" s="1" t="s">
        <v>18</v>
      </c>
      <c r="F1354" s="1" t="s">
        <v>19</v>
      </c>
      <c r="G1354" s="1" t="s">
        <v>42</v>
      </c>
      <c r="H1354" s="1" t="s">
        <v>255</v>
      </c>
      <c r="I1354" s="1">
        <v>4</v>
      </c>
      <c r="J1354" s="1">
        <v>49.36</v>
      </c>
      <c r="K1354" s="1">
        <v>20</v>
      </c>
      <c r="L1354" s="1">
        <v>157.94999999999999</v>
      </c>
      <c r="M1354" s="1">
        <v>12.59</v>
      </c>
      <c r="N1354" s="1">
        <v>26.9</v>
      </c>
      <c r="O1354" s="6" t="s">
        <v>39</v>
      </c>
      <c r="P1354" s="8">
        <f>Table1[Quantity]*Table1[Unit_Price]</f>
        <v>197.44</v>
      </c>
      <c r="Q1354" s="1">
        <f>Table1[Profit]/Table1[Total_Sales]</f>
        <v>0.1703070591959481</v>
      </c>
      <c r="R1354" s="14">
        <f>Table1[Total_Sales]+Table1[Shipping_Cost]</f>
        <v>170.54</v>
      </c>
    </row>
    <row r="1355" spans="1:18" x14ac:dyDescent="0.35">
      <c r="A1355" s="3" t="s">
        <v>2574</v>
      </c>
      <c r="B1355" s="2">
        <v>45682</v>
      </c>
      <c r="C1355" s="1" t="s">
        <v>2575</v>
      </c>
      <c r="D1355" s="1" t="s">
        <v>30</v>
      </c>
      <c r="E1355" s="1" t="s">
        <v>166</v>
      </c>
      <c r="F1355" s="1" t="s">
        <v>60</v>
      </c>
      <c r="G1355" s="1" t="s">
        <v>42</v>
      </c>
      <c r="H1355" s="1" t="s">
        <v>46</v>
      </c>
      <c r="I1355" s="1">
        <v>3</v>
      </c>
      <c r="J1355" s="1">
        <v>68.02</v>
      </c>
      <c r="K1355" s="1">
        <v>15</v>
      </c>
      <c r="L1355" s="1">
        <v>173.45</v>
      </c>
      <c r="M1355" s="1">
        <v>15.65</v>
      </c>
      <c r="N1355" s="1">
        <v>35.36</v>
      </c>
      <c r="O1355" s="6" t="s">
        <v>39</v>
      </c>
      <c r="P1355" s="8">
        <f>Table1[Quantity]*Table1[Unit_Price]</f>
        <v>204.06</v>
      </c>
      <c r="Q1355" s="1">
        <f>Table1[Profit]/Table1[Total_Sales]</f>
        <v>0.20386278466416835</v>
      </c>
      <c r="R1355" s="14">
        <f>Table1[Total_Sales]+Table1[Shipping_Cost]</f>
        <v>189.1</v>
      </c>
    </row>
    <row r="1356" spans="1:18" x14ac:dyDescent="0.35">
      <c r="A1356" s="3" t="s">
        <v>2576</v>
      </c>
      <c r="B1356" s="2">
        <v>45683</v>
      </c>
      <c r="C1356" s="1" t="s">
        <v>2577</v>
      </c>
      <c r="D1356" s="1" t="s">
        <v>49</v>
      </c>
      <c r="E1356" s="1" t="s">
        <v>63</v>
      </c>
      <c r="F1356" s="1" t="s">
        <v>54</v>
      </c>
      <c r="G1356" s="1" t="s">
        <v>42</v>
      </c>
      <c r="H1356" s="1" t="s">
        <v>118</v>
      </c>
      <c r="I1356" s="1">
        <v>4</v>
      </c>
      <c r="J1356" s="1">
        <v>79.25</v>
      </c>
      <c r="K1356" s="1">
        <v>20</v>
      </c>
      <c r="L1356" s="1">
        <v>253.6</v>
      </c>
      <c r="M1356" s="1">
        <v>18.23</v>
      </c>
      <c r="N1356" s="1">
        <v>45.17</v>
      </c>
      <c r="O1356" s="6" t="s">
        <v>34</v>
      </c>
      <c r="P1356" s="8">
        <f>Table1[Quantity]*Table1[Unit_Price]</f>
        <v>317</v>
      </c>
      <c r="Q1356" s="1">
        <f>Table1[Profit]/Table1[Total_Sales]</f>
        <v>0.17811514195583597</v>
      </c>
      <c r="R1356" s="14">
        <f>Table1[Total_Sales]+Table1[Shipping_Cost]</f>
        <v>271.83</v>
      </c>
    </row>
    <row r="1357" spans="1:18" x14ac:dyDescent="0.35">
      <c r="A1357" s="3" t="s">
        <v>2578</v>
      </c>
      <c r="B1357" s="2">
        <v>45683</v>
      </c>
      <c r="C1357" s="1" t="s">
        <v>514</v>
      </c>
      <c r="D1357" s="1" t="s">
        <v>17</v>
      </c>
      <c r="E1357" s="1" t="s">
        <v>129</v>
      </c>
      <c r="F1357" s="1" t="s">
        <v>19</v>
      </c>
      <c r="G1357" s="1" t="s">
        <v>20</v>
      </c>
      <c r="H1357" s="1" t="s">
        <v>264</v>
      </c>
      <c r="I1357" s="1">
        <v>1</v>
      </c>
      <c r="J1357" s="1">
        <v>43.25</v>
      </c>
      <c r="K1357" s="1">
        <v>5</v>
      </c>
      <c r="L1357" s="1">
        <v>41.09</v>
      </c>
      <c r="M1357" s="1">
        <v>5.62</v>
      </c>
      <c r="N1357" s="1">
        <v>11.68</v>
      </c>
      <c r="O1357" s="6" t="s">
        <v>56</v>
      </c>
      <c r="P1357" s="8">
        <f>Table1[Quantity]*Table1[Unit_Price]</f>
        <v>43.25</v>
      </c>
      <c r="Q1357" s="1">
        <f>Table1[Profit]/Table1[Total_Sales]</f>
        <v>0.28425407641761985</v>
      </c>
      <c r="R1357" s="14">
        <f>Table1[Total_Sales]+Table1[Shipping_Cost]</f>
        <v>46.71</v>
      </c>
    </row>
    <row r="1358" spans="1:18" x14ac:dyDescent="0.35">
      <c r="A1358" s="3" t="s">
        <v>2579</v>
      </c>
      <c r="B1358" s="2">
        <v>45683</v>
      </c>
      <c r="C1358" s="1" t="s">
        <v>2580</v>
      </c>
      <c r="D1358" s="1" t="s">
        <v>30</v>
      </c>
      <c r="E1358" s="1" t="s">
        <v>59</v>
      </c>
      <c r="F1358" s="1" t="s">
        <v>60</v>
      </c>
      <c r="G1358" s="1" t="s">
        <v>42</v>
      </c>
      <c r="H1358" s="1" t="s">
        <v>93</v>
      </c>
      <c r="I1358" s="1">
        <v>2</v>
      </c>
      <c r="J1358" s="1">
        <v>306.48</v>
      </c>
      <c r="K1358" s="1">
        <v>0</v>
      </c>
      <c r="L1358" s="1">
        <v>612.96</v>
      </c>
      <c r="M1358" s="1">
        <v>11.3</v>
      </c>
      <c r="N1358" s="1">
        <v>233.88</v>
      </c>
      <c r="O1358" s="6" t="s">
        <v>34</v>
      </c>
      <c r="P1358" s="8">
        <f>Table1[Quantity]*Table1[Unit_Price]</f>
        <v>612.96</v>
      </c>
      <c r="Q1358" s="1">
        <f>Table1[Profit]/Table1[Total_Sales]</f>
        <v>0.38155833985904458</v>
      </c>
      <c r="R1358" s="14">
        <f>Table1[Total_Sales]+Table1[Shipping_Cost]</f>
        <v>624.26</v>
      </c>
    </row>
    <row r="1359" spans="1:18" x14ac:dyDescent="0.35">
      <c r="A1359" s="3" t="s">
        <v>2581</v>
      </c>
      <c r="B1359" s="2">
        <v>45683</v>
      </c>
      <c r="C1359" s="1" t="s">
        <v>254</v>
      </c>
      <c r="D1359" s="1" t="s">
        <v>49</v>
      </c>
      <c r="E1359" s="1" t="s">
        <v>31</v>
      </c>
      <c r="F1359" s="1" t="s">
        <v>19</v>
      </c>
      <c r="G1359" s="1" t="s">
        <v>20</v>
      </c>
      <c r="H1359" s="1" t="s">
        <v>175</v>
      </c>
      <c r="I1359" s="1">
        <v>2</v>
      </c>
      <c r="J1359" s="1">
        <v>52.22</v>
      </c>
      <c r="K1359" s="1">
        <v>15</v>
      </c>
      <c r="L1359" s="1">
        <v>88.77</v>
      </c>
      <c r="M1359" s="1">
        <v>9.8800000000000008</v>
      </c>
      <c r="N1359" s="1">
        <v>21.45</v>
      </c>
      <c r="O1359" s="6" t="s">
        <v>22</v>
      </c>
      <c r="P1359" s="8">
        <f>Table1[Quantity]*Table1[Unit_Price]</f>
        <v>104.44</v>
      </c>
      <c r="Q1359" s="1">
        <f>Table1[Profit]/Table1[Total_Sales]</f>
        <v>0.24163568773234201</v>
      </c>
      <c r="R1359" s="14">
        <f>Table1[Total_Sales]+Table1[Shipping_Cost]</f>
        <v>98.649999999999991</v>
      </c>
    </row>
    <row r="1360" spans="1:18" x14ac:dyDescent="0.35">
      <c r="A1360" s="3" t="s">
        <v>2582</v>
      </c>
      <c r="B1360" s="2">
        <v>45683</v>
      </c>
      <c r="C1360" s="1" t="s">
        <v>2583</v>
      </c>
      <c r="D1360" s="1" t="s">
        <v>30</v>
      </c>
      <c r="E1360" s="1" t="s">
        <v>135</v>
      </c>
      <c r="F1360" s="1" t="s">
        <v>26</v>
      </c>
      <c r="G1360" s="1" t="s">
        <v>42</v>
      </c>
      <c r="H1360" s="1" t="s">
        <v>255</v>
      </c>
      <c r="I1360" s="1">
        <v>1</v>
      </c>
      <c r="J1360" s="1">
        <v>16.32</v>
      </c>
      <c r="K1360" s="1">
        <v>10</v>
      </c>
      <c r="L1360" s="1">
        <v>14.69</v>
      </c>
      <c r="M1360" s="1">
        <v>9.3699999999999992</v>
      </c>
      <c r="N1360" s="1">
        <v>-4.47</v>
      </c>
      <c r="O1360" s="6" t="s">
        <v>34</v>
      </c>
      <c r="P1360" s="8">
        <f>Table1[Quantity]*Table1[Unit_Price]</f>
        <v>16.32</v>
      </c>
      <c r="Q1360" s="1">
        <f>Table1[Profit]/Table1[Total_Sales]</f>
        <v>-0.30428863172226006</v>
      </c>
      <c r="R1360" s="14">
        <f>Table1[Total_Sales]+Table1[Shipping_Cost]</f>
        <v>24.06</v>
      </c>
    </row>
    <row r="1361" spans="1:18" x14ac:dyDescent="0.35">
      <c r="A1361" s="3" t="s">
        <v>2584</v>
      </c>
      <c r="B1361" s="2">
        <v>45683</v>
      </c>
      <c r="C1361" s="1" t="s">
        <v>2585</v>
      </c>
      <c r="D1361" s="1" t="s">
        <v>30</v>
      </c>
      <c r="E1361" s="1" t="s">
        <v>18</v>
      </c>
      <c r="F1361" s="1" t="s">
        <v>19</v>
      </c>
      <c r="G1361" s="1" t="s">
        <v>20</v>
      </c>
      <c r="H1361" s="1" t="s">
        <v>122</v>
      </c>
      <c r="I1361" s="1">
        <v>6</v>
      </c>
      <c r="J1361" s="1">
        <v>92.96</v>
      </c>
      <c r="K1361" s="1">
        <v>0</v>
      </c>
      <c r="L1361" s="1">
        <v>557.76</v>
      </c>
      <c r="M1361" s="1">
        <v>10.11</v>
      </c>
      <c r="N1361" s="1">
        <v>240.88</v>
      </c>
      <c r="O1361" s="6" t="s">
        <v>56</v>
      </c>
      <c r="P1361" s="8">
        <f>Table1[Quantity]*Table1[Unit_Price]</f>
        <v>557.76</v>
      </c>
      <c r="Q1361" s="1">
        <f>Table1[Profit]/Table1[Total_Sales]</f>
        <v>0.43187033849684453</v>
      </c>
      <c r="R1361" s="14">
        <f>Table1[Total_Sales]+Table1[Shipping_Cost]</f>
        <v>567.87</v>
      </c>
    </row>
    <row r="1362" spans="1:18" x14ac:dyDescent="0.35">
      <c r="A1362" s="3" t="s">
        <v>2586</v>
      </c>
      <c r="B1362" s="2">
        <v>45686</v>
      </c>
      <c r="C1362" s="1" t="s">
        <v>2587</v>
      </c>
      <c r="D1362" s="1" t="s">
        <v>30</v>
      </c>
      <c r="E1362" s="1" t="s">
        <v>121</v>
      </c>
      <c r="F1362" s="1" t="s">
        <v>68</v>
      </c>
      <c r="G1362" s="1" t="s">
        <v>20</v>
      </c>
      <c r="H1362" s="1" t="s">
        <v>55</v>
      </c>
      <c r="I1362" s="1">
        <v>7</v>
      </c>
      <c r="J1362" s="1">
        <v>63.72</v>
      </c>
      <c r="K1362" s="1">
        <v>20</v>
      </c>
      <c r="L1362" s="1">
        <v>356.83</v>
      </c>
      <c r="M1362" s="1">
        <v>27.31</v>
      </c>
      <c r="N1362" s="1">
        <v>84.2</v>
      </c>
      <c r="O1362" s="6" t="s">
        <v>34</v>
      </c>
      <c r="P1362" s="8">
        <f>Table1[Quantity]*Table1[Unit_Price]</f>
        <v>446.03999999999996</v>
      </c>
      <c r="Q1362" s="1">
        <f>Table1[Profit]/Table1[Total_Sales]</f>
        <v>0.23596670683518764</v>
      </c>
      <c r="R1362" s="14">
        <f>Table1[Total_Sales]+Table1[Shipping_Cost]</f>
        <v>384.14</v>
      </c>
    </row>
    <row r="1363" spans="1:18" x14ac:dyDescent="0.35">
      <c r="A1363" s="3" t="s">
        <v>2588</v>
      </c>
      <c r="B1363" s="2">
        <v>45687</v>
      </c>
      <c r="C1363" s="1" t="s">
        <v>1148</v>
      </c>
      <c r="D1363" s="1" t="s">
        <v>30</v>
      </c>
      <c r="E1363" s="1" t="s">
        <v>37</v>
      </c>
      <c r="F1363" s="1" t="s">
        <v>26</v>
      </c>
      <c r="G1363" s="1" t="s">
        <v>42</v>
      </c>
      <c r="H1363" s="1" t="s">
        <v>294</v>
      </c>
      <c r="I1363" s="1">
        <v>1</v>
      </c>
      <c r="J1363" s="1">
        <v>291.52</v>
      </c>
      <c r="K1363" s="1">
        <v>0</v>
      </c>
      <c r="L1363" s="1">
        <v>291.52</v>
      </c>
      <c r="M1363" s="1">
        <v>8.7799999999999994</v>
      </c>
      <c r="N1363" s="1">
        <v>107.83</v>
      </c>
      <c r="O1363" s="6" t="s">
        <v>34</v>
      </c>
      <c r="P1363" s="8">
        <f>Table1[Quantity]*Table1[Unit_Price]</f>
        <v>291.52</v>
      </c>
      <c r="Q1363" s="1">
        <f>Table1[Profit]/Table1[Total_Sales]</f>
        <v>0.36988885839736557</v>
      </c>
      <c r="R1363" s="14">
        <f>Table1[Total_Sales]+Table1[Shipping_Cost]</f>
        <v>300.29999999999995</v>
      </c>
    </row>
    <row r="1364" spans="1:18" x14ac:dyDescent="0.35">
      <c r="A1364" s="3" t="s">
        <v>2589</v>
      </c>
      <c r="B1364" s="2">
        <v>45689</v>
      </c>
      <c r="C1364" s="1" t="s">
        <v>2590</v>
      </c>
      <c r="D1364" s="1" t="s">
        <v>30</v>
      </c>
      <c r="E1364" s="1" t="s">
        <v>248</v>
      </c>
      <c r="F1364" s="1" t="s">
        <v>26</v>
      </c>
      <c r="G1364" s="1" t="s">
        <v>69</v>
      </c>
      <c r="H1364" s="1" t="s">
        <v>139</v>
      </c>
      <c r="I1364" s="1">
        <v>3</v>
      </c>
      <c r="J1364" s="1">
        <v>62.51</v>
      </c>
      <c r="K1364" s="1">
        <v>20</v>
      </c>
      <c r="L1364" s="1">
        <v>150.02000000000001</v>
      </c>
      <c r="M1364" s="1">
        <v>12.95</v>
      </c>
      <c r="N1364" s="1">
        <v>43.31</v>
      </c>
      <c r="O1364" s="6" t="s">
        <v>39</v>
      </c>
      <c r="P1364" s="8">
        <f>Table1[Quantity]*Table1[Unit_Price]</f>
        <v>187.53</v>
      </c>
      <c r="Q1364" s="1">
        <f>Table1[Profit]/Table1[Total_Sales]</f>
        <v>0.28869484068790829</v>
      </c>
      <c r="R1364" s="14">
        <f>Table1[Total_Sales]+Table1[Shipping_Cost]</f>
        <v>162.97</v>
      </c>
    </row>
    <row r="1365" spans="1:18" x14ac:dyDescent="0.35">
      <c r="A1365" s="3" t="s">
        <v>2591</v>
      </c>
      <c r="B1365" s="2">
        <v>45690</v>
      </c>
      <c r="C1365" s="1" t="s">
        <v>2592</v>
      </c>
      <c r="D1365" s="1" t="s">
        <v>30</v>
      </c>
      <c r="E1365" s="1" t="s">
        <v>25</v>
      </c>
      <c r="F1365" s="1" t="s">
        <v>26</v>
      </c>
      <c r="G1365" s="1" t="s">
        <v>20</v>
      </c>
      <c r="H1365" s="1" t="s">
        <v>199</v>
      </c>
      <c r="I1365" s="1">
        <v>1</v>
      </c>
      <c r="J1365" s="1">
        <v>72.27</v>
      </c>
      <c r="K1365" s="1">
        <v>10</v>
      </c>
      <c r="L1365" s="1">
        <v>65.040000000000006</v>
      </c>
      <c r="M1365" s="1">
        <v>9.2200000000000006</v>
      </c>
      <c r="N1365" s="1">
        <v>16.07</v>
      </c>
      <c r="O1365" s="6" t="s">
        <v>56</v>
      </c>
      <c r="P1365" s="8">
        <f>Table1[Quantity]*Table1[Unit_Price]</f>
        <v>72.27</v>
      </c>
      <c r="Q1365" s="1">
        <f>Table1[Profit]/Table1[Total_Sales]</f>
        <v>0.24707872078720786</v>
      </c>
      <c r="R1365" s="14">
        <f>Table1[Total_Sales]+Table1[Shipping_Cost]</f>
        <v>74.260000000000005</v>
      </c>
    </row>
    <row r="1366" spans="1:18" x14ac:dyDescent="0.35">
      <c r="A1366" s="3" t="s">
        <v>2593</v>
      </c>
      <c r="B1366" s="2">
        <v>45691</v>
      </c>
      <c r="C1366" s="1" t="s">
        <v>2594</v>
      </c>
      <c r="D1366" s="1" t="s">
        <v>17</v>
      </c>
      <c r="E1366" s="1" t="s">
        <v>67</v>
      </c>
      <c r="F1366" s="1" t="s">
        <v>68</v>
      </c>
      <c r="G1366" s="1" t="s">
        <v>20</v>
      </c>
      <c r="H1366" s="1" t="s">
        <v>199</v>
      </c>
      <c r="I1366" s="1">
        <v>1</v>
      </c>
      <c r="J1366" s="1">
        <v>62.62</v>
      </c>
      <c r="K1366" s="1">
        <v>10</v>
      </c>
      <c r="L1366" s="1">
        <v>56.36</v>
      </c>
      <c r="M1366" s="1">
        <v>11.29</v>
      </c>
      <c r="N1366" s="1">
        <v>10.63</v>
      </c>
      <c r="O1366" s="6" t="s">
        <v>39</v>
      </c>
      <c r="P1366" s="8">
        <f>Table1[Quantity]*Table1[Unit_Price]</f>
        <v>62.62</v>
      </c>
      <c r="Q1366" s="1">
        <f>Table1[Profit]/Table1[Total_Sales]</f>
        <v>0.18860894251242016</v>
      </c>
      <c r="R1366" s="14">
        <f>Table1[Total_Sales]+Table1[Shipping_Cost]</f>
        <v>67.650000000000006</v>
      </c>
    </row>
    <row r="1367" spans="1:18" x14ac:dyDescent="0.35">
      <c r="A1367" s="3" t="s">
        <v>2595</v>
      </c>
      <c r="B1367" s="2">
        <v>45691</v>
      </c>
      <c r="C1367" s="1" t="s">
        <v>347</v>
      </c>
      <c r="D1367" s="1" t="s">
        <v>30</v>
      </c>
      <c r="E1367" s="1" t="s">
        <v>37</v>
      </c>
      <c r="F1367" s="1" t="s">
        <v>26</v>
      </c>
      <c r="G1367" s="1" t="s">
        <v>42</v>
      </c>
      <c r="H1367" s="1" t="s">
        <v>64</v>
      </c>
      <c r="I1367" s="1">
        <v>7</v>
      </c>
      <c r="J1367" s="1">
        <v>46.41</v>
      </c>
      <c r="K1367" s="1">
        <v>25</v>
      </c>
      <c r="L1367" s="1">
        <v>243.65</v>
      </c>
      <c r="M1367" s="1">
        <v>12.24</v>
      </c>
      <c r="N1367" s="1">
        <v>36.49</v>
      </c>
      <c r="O1367" s="6" t="s">
        <v>22</v>
      </c>
      <c r="P1367" s="8">
        <f>Table1[Quantity]*Table1[Unit_Price]</f>
        <v>324.87</v>
      </c>
      <c r="Q1367" s="1">
        <f>Table1[Profit]/Table1[Total_Sales]</f>
        <v>0.14976400574594706</v>
      </c>
      <c r="R1367" s="14">
        <f>Table1[Total_Sales]+Table1[Shipping_Cost]</f>
        <v>255.89000000000001</v>
      </c>
    </row>
    <row r="1368" spans="1:18" x14ac:dyDescent="0.35">
      <c r="A1368" s="3" t="s">
        <v>2596</v>
      </c>
      <c r="B1368" s="2">
        <v>45693</v>
      </c>
      <c r="C1368" s="1" t="s">
        <v>2597</v>
      </c>
      <c r="D1368" s="1" t="s">
        <v>30</v>
      </c>
      <c r="E1368" s="1" t="s">
        <v>92</v>
      </c>
      <c r="F1368" s="1" t="s">
        <v>60</v>
      </c>
      <c r="G1368" s="1" t="s">
        <v>69</v>
      </c>
      <c r="H1368" s="1" t="s">
        <v>243</v>
      </c>
      <c r="I1368" s="1">
        <v>4</v>
      </c>
      <c r="J1368" s="1">
        <v>27.85</v>
      </c>
      <c r="K1368" s="1">
        <v>5</v>
      </c>
      <c r="L1368" s="1">
        <v>105.83</v>
      </c>
      <c r="M1368" s="1">
        <v>18.91</v>
      </c>
      <c r="N1368" s="1">
        <v>31.22</v>
      </c>
      <c r="O1368" s="6" t="s">
        <v>39</v>
      </c>
      <c r="P1368" s="8">
        <f>Table1[Quantity]*Table1[Unit_Price]</f>
        <v>111.4</v>
      </c>
      <c r="Q1368" s="1">
        <f>Table1[Profit]/Table1[Total_Sales]</f>
        <v>0.29500141736747615</v>
      </c>
      <c r="R1368" s="14">
        <f>Table1[Total_Sales]+Table1[Shipping_Cost]</f>
        <v>124.74</v>
      </c>
    </row>
    <row r="1369" spans="1:18" x14ac:dyDescent="0.35">
      <c r="A1369" s="3" t="s">
        <v>2598</v>
      </c>
      <c r="B1369" s="2">
        <v>45693</v>
      </c>
      <c r="C1369" s="1" t="s">
        <v>2599</v>
      </c>
      <c r="D1369" s="1" t="s">
        <v>30</v>
      </c>
      <c r="E1369" s="1" t="s">
        <v>135</v>
      </c>
      <c r="F1369" s="1" t="s">
        <v>26</v>
      </c>
      <c r="G1369" s="1" t="s">
        <v>69</v>
      </c>
      <c r="H1369" s="1" t="s">
        <v>243</v>
      </c>
      <c r="I1369" s="1">
        <v>6</v>
      </c>
      <c r="J1369" s="1">
        <v>35.29</v>
      </c>
      <c r="K1369" s="1">
        <v>5</v>
      </c>
      <c r="L1369" s="1">
        <v>201.15</v>
      </c>
      <c r="M1369" s="1">
        <v>17.46</v>
      </c>
      <c r="N1369" s="1">
        <v>77.819999999999993</v>
      </c>
      <c r="O1369" s="6" t="s">
        <v>22</v>
      </c>
      <c r="P1369" s="8">
        <f>Table1[Quantity]*Table1[Unit_Price]</f>
        <v>211.74</v>
      </c>
      <c r="Q1369" s="1">
        <f>Table1[Profit]/Table1[Total_Sales]</f>
        <v>0.38687546607009687</v>
      </c>
      <c r="R1369" s="14">
        <f>Table1[Total_Sales]+Table1[Shipping_Cost]</f>
        <v>218.61</v>
      </c>
    </row>
    <row r="1370" spans="1:18" x14ac:dyDescent="0.35">
      <c r="A1370" s="3" t="s">
        <v>2600</v>
      </c>
      <c r="B1370" s="2">
        <v>45693</v>
      </c>
      <c r="C1370" s="1" t="s">
        <v>2601</v>
      </c>
      <c r="D1370" s="1" t="s">
        <v>17</v>
      </c>
      <c r="E1370" s="1" t="s">
        <v>31</v>
      </c>
      <c r="F1370" s="1" t="s">
        <v>19</v>
      </c>
      <c r="G1370" s="1" t="s">
        <v>20</v>
      </c>
      <c r="H1370" s="1" t="s">
        <v>27</v>
      </c>
      <c r="I1370" s="1">
        <v>2</v>
      </c>
      <c r="J1370" s="1">
        <v>148.04</v>
      </c>
      <c r="K1370" s="1">
        <v>5</v>
      </c>
      <c r="L1370" s="1">
        <v>281.27999999999997</v>
      </c>
      <c r="M1370" s="1">
        <v>9.59</v>
      </c>
      <c r="N1370" s="1">
        <v>108.85</v>
      </c>
      <c r="O1370" s="6" t="s">
        <v>34</v>
      </c>
      <c r="P1370" s="8">
        <f>Table1[Quantity]*Table1[Unit_Price]</f>
        <v>296.08</v>
      </c>
      <c r="Q1370" s="1">
        <f>Table1[Profit]/Table1[Total_Sales]</f>
        <v>0.38698094425483504</v>
      </c>
      <c r="R1370" s="14">
        <f>Table1[Total_Sales]+Table1[Shipping_Cost]</f>
        <v>290.86999999999995</v>
      </c>
    </row>
    <row r="1371" spans="1:18" x14ac:dyDescent="0.35">
      <c r="A1371" s="3" t="s">
        <v>2602</v>
      </c>
      <c r="B1371" s="2">
        <v>45693</v>
      </c>
      <c r="C1371" s="1" t="s">
        <v>2603</v>
      </c>
      <c r="D1371" s="1" t="s">
        <v>30</v>
      </c>
      <c r="E1371" s="1" t="s">
        <v>37</v>
      </c>
      <c r="F1371" s="1" t="s">
        <v>26</v>
      </c>
      <c r="G1371" s="1" t="s">
        <v>69</v>
      </c>
      <c r="H1371" s="1" t="s">
        <v>305</v>
      </c>
      <c r="I1371" s="1">
        <v>5</v>
      </c>
      <c r="J1371" s="1">
        <v>26.79</v>
      </c>
      <c r="K1371" s="1">
        <v>0</v>
      </c>
      <c r="L1371" s="1">
        <v>133.94999999999999</v>
      </c>
      <c r="M1371" s="1">
        <v>18.600000000000001</v>
      </c>
      <c r="N1371" s="1">
        <v>48.37</v>
      </c>
      <c r="O1371" s="6" t="s">
        <v>39</v>
      </c>
      <c r="P1371" s="8">
        <f>Table1[Quantity]*Table1[Unit_Price]</f>
        <v>133.94999999999999</v>
      </c>
      <c r="Q1371" s="1">
        <f>Table1[Profit]/Table1[Total_Sales]</f>
        <v>0.36110488988428519</v>
      </c>
      <c r="R1371" s="14">
        <f>Table1[Total_Sales]+Table1[Shipping_Cost]</f>
        <v>152.54999999999998</v>
      </c>
    </row>
    <row r="1372" spans="1:18" x14ac:dyDescent="0.35">
      <c r="A1372" s="3" t="s">
        <v>2604</v>
      </c>
      <c r="B1372" s="2">
        <v>45695</v>
      </c>
      <c r="C1372" s="1" t="s">
        <v>2605</v>
      </c>
      <c r="D1372" s="1" t="s">
        <v>30</v>
      </c>
      <c r="E1372" s="1" t="s">
        <v>59</v>
      </c>
      <c r="F1372" s="1" t="s">
        <v>60</v>
      </c>
      <c r="G1372" s="1" t="s">
        <v>69</v>
      </c>
      <c r="H1372" s="1" t="s">
        <v>139</v>
      </c>
      <c r="I1372" s="1">
        <v>2</v>
      </c>
      <c r="J1372" s="1">
        <v>27.73</v>
      </c>
      <c r="K1372" s="1">
        <v>10</v>
      </c>
      <c r="L1372" s="1">
        <v>49.91</v>
      </c>
      <c r="M1372" s="1">
        <v>11.7</v>
      </c>
      <c r="N1372" s="1">
        <v>10.48</v>
      </c>
      <c r="O1372" s="6" t="s">
        <v>39</v>
      </c>
      <c r="P1372" s="8">
        <f>Table1[Quantity]*Table1[Unit_Price]</f>
        <v>55.46</v>
      </c>
      <c r="Q1372" s="1">
        <f>Table1[Profit]/Table1[Total_Sales]</f>
        <v>0.20997796032859148</v>
      </c>
      <c r="R1372" s="14">
        <f>Table1[Total_Sales]+Table1[Shipping_Cost]</f>
        <v>61.61</v>
      </c>
    </row>
    <row r="1373" spans="1:18" x14ac:dyDescent="0.35">
      <c r="A1373" s="3" t="s">
        <v>2606</v>
      </c>
      <c r="B1373" s="2">
        <v>45695</v>
      </c>
      <c r="C1373" s="1" t="s">
        <v>2607</v>
      </c>
      <c r="D1373" s="1" t="s">
        <v>30</v>
      </c>
      <c r="E1373" s="1" t="s">
        <v>31</v>
      </c>
      <c r="F1373" s="1" t="s">
        <v>19</v>
      </c>
      <c r="G1373" s="1" t="s">
        <v>32</v>
      </c>
      <c r="H1373" s="1" t="s">
        <v>101</v>
      </c>
      <c r="I1373" s="1">
        <v>4</v>
      </c>
      <c r="J1373" s="1">
        <v>9.42</v>
      </c>
      <c r="K1373" s="1">
        <v>5</v>
      </c>
      <c r="L1373" s="1">
        <v>35.799999999999997</v>
      </c>
      <c r="M1373" s="1">
        <v>14.51</v>
      </c>
      <c r="N1373" s="1">
        <v>4.33</v>
      </c>
      <c r="O1373" s="6" t="s">
        <v>22</v>
      </c>
      <c r="P1373" s="8">
        <f>Table1[Quantity]*Table1[Unit_Price]</f>
        <v>37.68</v>
      </c>
      <c r="Q1373" s="1">
        <f>Table1[Profit]/Table1[Total_Sales]</f>
        <v>0.12094972067039107</v>
      </c>
      <c r="R1373" s="14">
        <f>Table1[Total_Sales]+Table1[Shipping_Cost]</f>
        <v>50.309999999999995</v>
      </c>
    </row>
    <row r="1374" spans="1:18" x14ac:dyDescent="0.35">
      <c r="A1374" s="3" t="s">
        <v>2608</v>
      </c>
      <c r="B1374" s="2">
        <v>45696</v>
      </c>
      <c r="C1374" s="1" t="s">
        <v>2609</v>
      </c>
      <c r="D1374" s="1" t="s">
        <v>30</v>
      </c>
      <c r="E1374" s="1" t="s">
        <v>166</v>
      </c>
      <c r="F1374" s="1" t="s">
        <v>60</v>
      </c>
      <c r="G1374" s="1" t="s">
        <v>20</v>
      </c>
      <c r="H1374" s="1" t="s">
        <v>21</v>
      </c>
      <c r="I1374" s="1">
        <v>1</v>
      </c>
      <c r="J1374" s="1">
        <v>119.38</v>
      </c>
      <c r="K1374" s="1">
        <v>0</v>
      </c>
      <c r="L1374" s="1">
        <v>119.38</v>
      </c>
      <c r="M1374" s="1">
        <v>9.73</v>
      </c>
      <c r="N1374" s="1">
        <v>43.99</v>
      </c>
      <c r="O1374" s="6" t="s">
        <v>34</v>
      </c>
      <c r="P1374" s="8">
        <f>Table1[Quantity]*Table1[Unit_Price]</f>
        <v>119.38</v>
      </c>
      <c r="Q1374" s="1">
        <f>Table1[Profit]/Table1[Total_Sales]</f>
        <v>0.36848718378287826</v>
      </c>
      <c r="R1374" s="14">
        <f>Table1[Total_Sales]+Table1[Shipping_Cost]</f>
        <v>129.10999999999999</v>
      </c>
    </row>
    <row r="1375" spans="1:18" x14ac:dyDescent="0.35">
      <c r="A1375" s="3" t="s">
        <v>2610</v>
      </c>
      <c r="B1375" s="2">
        <v>45696</v>
      </c>
      <c r="C1375" s="1" t="s">
        <v>2611</v>
      </c>
      <c r="D1375" s="1" t="s">
        <v>30</v>
      </c>
      <c r="E1375" s="1" t="s">
        <v>85</v>
      </c>
      <c r="F1375" s="1" t="s">
        <v>60</v>
      </c>
      <c r="G1375" s="1" t="s">
        <v>20</v>
      </c>
      <c r="H1375" s="1" t="s">
        <v>38</v>
      </c>
      <c r="I1375" s="1">
        <v>3</v>
      </c>
      <c r="J1375" s="1">
        <v>57.05</v>
      </c>
      <c r="K1375" s="1">
        <v>15</v>
      </c>
      <c r="L1375" s="1">
        <v>145.47999999999999</v>
      </c>
      <c r="M1375" s="1">
        <v>10.86</v>
      </c>
      <c r="N1375" s="1">
        <v>40.49</v>
      </c>
      <c r="O1375" s="6" t="s">
        <v>56</v>
      </c>
      <c r="P1375" s="8">
        <f>Table1[Quantity]*Table1[Unit_Price]</f>
        <v>171.14999999999998</v>
      </c>
      <c r="Q1375" s="1">
        <f>Table1[Profit]/Table1[Total_Sales]</f>
        <v>0.27832004399230137</v>
      </c>
      <c r="R1375" s="14">
        <f>Table1[Total_Sales]+Table1[Shipping_Cost]</f>
        <v>156.33999999999997</v>
      </c>
    </row>
    <row r="1376" spans="1:18" x14ac:dyDescent="0.35">
      <c r="A1376" s="3" t="s">
        <v>2612</v>
      </c>
      <c r="B1376" s="2">
        <v>45698</v>
      </c>
      <c r="C1376" s="1" t="s">
        <v>2373</v>
      </c>
      <c r="D1376" s="1" t="s">
        <v>30</v>
      </c>
      <c r="E1376" s="1" t="s">
        <v>53</v>
      </c>
      <c r="F1376" s="1" t="s">
        <v>54</v>
      </c>
      <c r="G1376" s="1" t="s">
        <v>32</v>
      </c>
      <c r="H1376" s="1" t="s">
        <v>115</v>
      </c>
      <c r="I1376" s="1">
        <v>8</v>
      </c>
      <c r="J1376" s="1">
        <v>14.06</v>
      </c>
      <c r="K1376" s="1">
        <v>15</v>
      </c>
      <c r="L1376" s="1">
        <v>95.61</v>
      </c>
      <c r="M1376" s="1">
        <v>23.41</v>
      </c>
      <c r="N1376" s="1">
        <v>21.58</v>
      </c>
      <c r="O1376" s="6" t="s">
        <v>34</v>
      </c>
      <c r="P1376" s="8">
        <f>Table1[Quantity]*Table1[Unit_Price]</f>
        <v>112.48</v>
      </c>
      <c r="Q1376" s="1">
        <f>Table1[Profit]/Table1[Total_Sales]</f>
        <v>0.22570860788620437</v>
      </c>
      <c r="R1376" s="14">
        <f>Table1[Total_Sales]+Table1[Shipping_Cost]</f>
        <v>119.02</v>
      </c>
    </row>
    <row r="1377" spans="1:18" x14ac:dyDescent="0.35">
      <c r="A1377" s="3" t="s">
        <v>2613</v>
      </c>
      <c r="B1377" s="2">
        <v>45698</v>
      </c>
      <c r="C1377" s="1" t="s">
        <v>2614</v>
      </c>
      <c r="D1377" s="1" t="s">
        <v>49</v>
      </c>
      <c r="E1377" s="1" t="s">
        <v>129</v>
      </c>
      <c r="F1377" s="1" t="s">
        <v>19</v>
      </c>
      <c r="G1377" s="1" t="s">
        <v>69</v>
      </c>
      <c r="H1377" s="1" t="s">
        <v>305</v>
      </c>
      <c r="I1377" s="1">
        <v>5</v>
      </c>
      <c r="J1377" s="1">
        <v>51.1</v>
      </c>
      <c r="K1377" s="1">
        <v>10</v>
      </c>
      <c r="L1377" s="1">
        <v>229.95</v>
      </c>
      <c r="M1377" s="1">
        <v>11.04</v>
      </c>
      <c r="N1377" s="1">
        <v>91.16</v>
      </c>
      <c r="O1377" s="6" t="s">
        <v>56</v>
      </c>
      <c r="P1377" s="8">
        <f>Table1[Quantity]*Table1[Unit_Price]</f>
        <v>255.5</v>
      </c>
      <c r="Q1377" s="1">
        <f>Table1[Profit]/Table1[Total_Sales]</f>
        <v>0.39643400739291151</v>
      </c>
      <c r="R1377" s="14">
        <f>Table1[Total_Sales]+Table1[Shipping_Cost]</f>
        <v>240.98999999999998</v>
      </c>
    </row>
    <row r="1378" spans="1:18" x14ac:dyDescent="0.35">
      <c r="A1378" s="3" t="s">
        <v>2615</v>
      </c>
      <c r="B1378" s="2">
        <v>45699</v>
      </c>
      <c r="C1378" s="1" t="s">
        <v>2616</v>
      </c>
      <c r="D1378" s="1" t="s">
        <v>30</v>
      </c>
      <c r="E1378" s="1" t="s">
        <v>129</v>
      </c>
      <c r="F1378" s="1" t="s">
        <v>19</v>
      </c>
      <c r="G1378" s="1" t="s">
        <v>69</v>
      </c>
      <c r="H1378" s="1" t="s">
        <v>98</v>
      </c>
      <c r="I1378" s="1">
        <v>1</v>
      </c>
      <c r="J1378" s="1">
        <v>26.45</v>
      </c>
      <c r="K1378" s="1">
        <v>15</v>
      </c>
      <c r="L1378" s="1">
        <v>22.48</v>
      </c>
      <c r="M1378" s="1">
        <v>6.09</v>
      </c>
      <c r="N1378" s="1">
        <v>3.17</v>
      </c>
      <c r="O1378" s="6" t="s">
        <v>39</v>
      </c>
      <c r="P1378" s="8">
        <f>Table1[Quantity]*Table1[Unit_Price]</f>
        <v>26.45</v>
      </c>
      <c r="Q1378" s="1">
        <f>Table1[Profit]/Table1[Total_Sales]</f>
        <v>0.14101423487544484</v>
      </c>
      <c r="R1378" s="14">
        <f>Table1[Total_Sales]+Table1[Shipping_Cost]</f>
        <v>28.57</v>
      </c>
    </row>
    <row r="1379" spans="1:18" x14ac:dyDescent="0.35">
      <c r="A1379" s="3" t="s">
        <v>2617</v>
      </c>
      <c r="B1379" s="2">
        <v>45699</v>
      </c>
      <c r="C1379" s="1" t="s">
        <v>2618</v>
      </c>
      <c r="D1379" s="1" t="s">
        <v>17</v>
      </c>
      <c r="E1379" s="1" t="s">
        <v>129</v>
      </c>
      <c r="F1379" s="1" t="s">
        <v>19</v>
      </c>
      <c r="G1379" s="1" t="s">
        <v>32</v>
      </c>
      <c r="H1379" s="1" t="s">
        <v>132</v>
      </c>
      <c r="I1379" s="1">
        <v>1</v>
      </c>
      <c r="J1379" s="1">
        <v>15.54</v>
      </c>
      <c r="K1379" s="1">
        <v>25</v>
      </c>
      <c r="L1379" s="1">
        <v>11.65</v>
      </c>
      <c r="M1379" s="1">
        <v>6.71</v>
      </c>
      <c r="N1379" s="1">
        <v>-2.0499999999999998</v>
      </c>
      <c r="O1379" s="6" t="s">
        <v>22</v>
      </c>
      <c r="P1379" s="8">
        <f>Table1[Quantity]*Table1[Unit_Price]</f>
        <v>15.54</v>
      </c>
      <c r="Q1379" s="1">
        <f>Table1[Profit]/Table1[Total_Sales]</f>
        <v>-0.17596566523605148</v>
      </c>
      <c r="R1379" s="14">
        <f>Table1[Total_Sales]+Table1[Shipping_Cost]</f>
        <v>18.36</v>
      </c>
    </row>
    <row r="1380" spans="1:18" x14ac:dyDescent="0.35">
      <c r="A1380" s="3" t="s">
        <v>2619</v>
      </c>
      <c r="B1380" s="2">
        <v>45700</v>
      </c>
      <c r="C1380" s="1" t="s">
        <v>567</v>
      </c>
      <c r="D1380" s="1" t="s">
        <v>30</v>
      </c>
      <c r="E1380" s="1" t="s">
        <v>31</v>
      </c>
      <c r="F1380" s="1" t="s">
        <v>19</v>
      </c>
      <c r="G1380" s="1" t="s">
        <v>42</v>
      </c>
      <c r="H1380" s="1" t="s">
        <v>234</v>
      </c>
      <c r="I1380" s="1">
        <v>1</v>
      </c>
      <c r="J1380" s="1">
        <v>42.63</v>
      </c>
      <c r="K1380" s="1">
        <v>0</v>
      </c>
      <c r="L1380" s="1">
        <v>42.63</v>
      </c>
      <c r="M1380" s="1">
        <v>7.17</v>
      </c>
      <c r="N1380" s="1">
        <v>9.8800000000000008</v>
      </c>
      <c r="O1380" s="6" t="s">
        <v>34</v>
      </c>
      <c r="P1380" s="8">
        <f>Table1[Quantity]*Table1[Unit_Price]</f>
        <v>42.63</v>
      </c>
      <c r="Q1380" s="1">
        <f>Table1[Profit]/Table1[Total_Sales]</f>
        <v>0.23176167018531552</v>
      </c>
      <c r="R1380" s="14">
        <f>Table1[Total_Sales]+Table1[Shipping_Cost]</f>
        <v>49.800000000000004</v>
      </c>
    </row>
    <row r="1381" spans="1:18" x14ac:dyDescent="0.35">
      <c r="A1381" s="3" t="s">
        <v>2620</v>
      </c>
      <c r="B1381" s="2">
        <v>45700</v>
      </c>
      <c r="C1381" s="1" t="s">
        <v>1669</v>
      </c>
      <c r="D1381" s="1" t="s">
        <v>30</v>
      </c>
      <c r="E1381" s="1" t="s">
        <v>129</v>
      </c>
      <c r="F1381" s="1" t="s">
        <v>19</v>
      </c>
      <c r="G1381" s="1" t="s">
        <v>42</v>
      </c>
      <c r="H1381" s="1" t="s">
        <v>43</v>
      </c>
      <c r="I1381" s="1">
        <v>1</v>
      </c>
      <c r="J1381" s="1">
        <v>302.08</v>
      </c>
      <c r="K1381" s="1">
        <v>10</v>
      </c>
      <c r="L1381" s="1">
        <v>271.87</v>
      </c>
      <c r="M1381" s="1">
        <v>6.17</v>
      </c>
      <c r="N1381" s="1">
        <v>84.45</v>
      </c>
      <c r="O1381" s="6" t="s">
        <v>39</v>
      </c>
      <c r="P1381" s="8">
        <f>Table1[Quantity]*Table1[Unit_Price]</f>
        <v>302.08</v>
      </c>
      <c r="Q1381" s="1">
        <f>Table1[Profit]/Table1[Total_Sales]</f>
        <v>0.31062640232464045</v>
      </c>
      <c r="R1381" s="14">
        <f>Table1[Total_Sales]+Table1[Shipping_Cost]</f>
        <v>278.04000000000002</v>
      </c>
    </row>
    <row r="1382" spans="1:18" x14ac:dyDescent="0.35">
      <c r="A1382" s="3" t="s">
        <v>2621</v>
      </c>
      <c r="B1382" s="2">
        <v>45702</v>
      </c>
      <c r="C1382" s="1" t="s">
        <v>2622</v>
      </c>
      <c r="D1382" s="1" t="s">
        <v>30</v>
      </c>
      <c r="E1382" s="1" t="s">
        <v>135</v>
      </c>
      <c r="F1382" s="1" t="s">
        <v>26</v>
      </c>
      <c r="G1382" s="1" t="s">
        <v>42</v>
      </c>
      <c r="H1382" s="1" t="s">
        <v>255</v>
      </c>
      <c r="I1382" s="1">
        <v>3</v>
      </c>
      <c r="J1382" s="1">
        <v>22.63</v>
      </c>
      <c r="K1382" s="1">
        <v>5</v>
      </c>
      <c r="L1382" s="1">
        <v>64.5</v>
      </c>
      <c r="M1382" s="1">
        <v>12.28</v>
      </c>
      <c r="N1382" s="1">
        <v>11.49</v>
      </c>
      <c r="O1382" s="6" t="s">
        <v>34</v>
      </c>
      <c r="P1382" s="8">
        <f>Table1[Quantity]*Table1[Unit_Price]</f>
        <v>67.89</v>
      </c>
      <c r="Q1382" s="1">
        <f>Table1[Profit]/Table1[Total_Sales]</f>
        <v>0.17813953488372095</v>
      </c>
      <c r="R1382" s="14">
        <f>Table1[Total_Sales]+Table1[Shipping_Cost]</f>
        <v>76.78</v>
      </c>
    </row>
    <row r="1383" spans="1:18" x14ac:dyDescent="0.35">
      <c r="A1383" s="3" t="s">
        <v>2623</v>
      </c>
      <c r="B1383" s="2">
        <v>45702</v>
      </c>
      <c r="C1383" s="1" t="s">
        <v>2429</v>
      </c>
      <c r="D1383" s="1" t="s">
        <v>30</v>
      </c>
      <c r="E1383" s="1" t="s">
        <v>18</v>
      </c>
      <c r="F1383" s="1" t="s">
        <v>19</v>
      </c>
      <c r="G1383" s="1" t="s">
        <v>42</v>
      </c>
      <c r="H1383" s="1" t="s">
        <v>234</v>
      </c>
      <c r="I1383" s="1">
        <v>2</v>
      </c>
      <c r="J1383" s="1">
        <v>60.59</v>
      </c>
      <c r="K1383" s="1">
        <v>0</v>
      </c>
      <c r="L1383" s="1">
        <v>121.18</v>
      </c>
      <c r="M1383" s="1">
        <v>7.99</v>
      </c>
      <c r="N1383" s="1">
        <v>40.479999999999997</v>
      </c>
      <c r="O1383" s="6" t="s">
        <v>34</v>
      </c>
      <c r="P1383" s="8">
        <f>Table1[Quantity]*Table1[Unit_Price]</f>
        <v>121.18</v>
      </c>
      <c r="Q1383" s="1">
        <f>Table1[Profit]/Table1[Total_Sales]</f>
        <v>0.33404852285855746</v>
      </c>
      <c r="R1383" s="14">
        <f>Table1[Total_Sales]+Table1[Shipping_Cost]</f>
        <v>129.17000000000002</v>
      </c>
    </row>
    <row r="1384" spans="1:18" x14ac:dyDescent="0.35">
      <c r="A1384" s="3" t="s">
        <v>2624</v>
      </c>
      <c r="B1384" s="2">
        <v>45703</v>
      </c>
      <c r="C1384" s="1" t="s">
        <v>2625</v>
      </c>
      <c r="D1384" s="1" t="s">
        <v>17</v>
      </c>
      <c r="E1384" s="1" t="s">
        <v>31</v>
      </c>
      <c r="F1384" s="1" t="s">
        <v>19</v>
      </c>
      <c r="G1384" s="1" t="s">
        <v>32</v>
      </c>
      <c r="H1384" s="1" t="s">
        <v>82</v>
      </c>
      <c r="I1384" s="1">
        <v>2</v>
      </c>
      <c r="J1384" s="1">
        <v>16.2</v>
      </c>
      <c r="K1384" s="1">
        <v>10</v>
      </c>
      <c r="L1384" s="1">
        <v>29.16</v>
      </c>
      <c r="M1384" s="1">
        <v>6.5</v>
      </c>
      <c r="N1384" s="1">
        <v>8.08</v>
      </c>
      <c r="O1384" s="6" t="s">
        <v>56</v>
      </c>
      <c r="P1384" s="8">
        <f>Table1[Quantity]*Table1[Unit_Price]</f>
        <v>32.4</v>
      </c>
      <c r="Q1384" s="1">
        <f>Table1[Profit]/Table1[Total_Sales]</f>
        <v>0.27709190672153633</v>
      </c>
      <c r="R1384" s="14">
        <f>Table1[Total_Sales]+Table1[Shipping_Cost]</f>
        <v>35.659999999999997</v>
      </c>
    </row>
    <row r="1385" spans="1:18" x14ac:dyDescent="0.35">
      <c r="A1385" s="3" t="s">
        <v>2626</v>
      </c>
      <c r="B1385" s="2">
        <v>45703</v>
      </c>
      <c r="C1385" s="1" t="s">
        <v>1755</v>
      </c>
      <c r="D1385" s="1" t="s">
        <v>49</v>
      </c>
      <c r="E1385" s="1" t="s">
        <v>129</v>
      </c>
      <c r="F1385" s="1" t="s">
        <v>19</v>
      </c>
      <c r="G1385" s="1" t="s">
        <v>20</v>
      </c>
      <c r="H1385" s="1" t="s">
        <v>21</v>
      </c>
      <c r="I1385" s="1">
        <v>1</v>
      </c>
      <c r="J1385" s="1">
        <v>230.1</v>
      </c>
      <c r="K1385" s="1">
        <v>5</v>
      </c>
      <c r="L1385" s="1">
        <v>218.59</v>
      </c>
      <c r="M1385" s="1">
        <v>7.29</v>
      </c>
      <c r="N1385" s="1">
        <v>84.74</v>
      </c>
      <c r="O1385" s="6" t="s">
        <v>34</v>
      </c>
      <c r="P1385" s="8">
        <f>Table1[Quantity]*Table1[Unit_Price]</f>
        <v>230.1</v>
      </c>
      <c r="Q1385" s="1">
        <f>Table1[Profit]/Table1[Total_Sales]</f>
        <v>0.38766640742943409</v>
      </c>
      <c r="R1385" s="14">
        <f>Table1[Total_Sales]+Table1[Shipping_Cost]</f>
        <v>225.88</v>
      </c>
    </row>
    <row r="1386" spans="1:18" x14ac:dyDescent="0.35">
      <c r="A1386" s="3" t="s">
        <v>2627</v>
      </c>
      <c r="B1386" s="2">
        <v>45705</v>
      </c>
      <c r="C1386" s="1" t="s">
        <v>1292</v>
      </c>
      <c r="D1386" s="1" t="s">
        <v>17</v>
      </c>
      <c r="E1386" s="1" t="s">
        <v>85</v>
      </c>
      <c r="F1386" s="1" t="s">
        <v>60</v>
      </c>
      <c r="G1386" s="1" t="s">
        <v>20</v>
      </c>
      <c r="H1386" s="1" t="s">
        <v>38</v>
      </c>
      <c r="I1386" s="1">
        <v>7</v>
      </c>
      <c r="J1386" s="1">
        <v>78.3</v>
      </c>
      <c r="K1386" s="1">
        <v>15</v>
      </c>
      <c r="L1386" s="1">
        <v>465.88</v>
      </c>
      <c r="M1386" s="1">
        <v>25.97</v>
      </c>
      <c r="N1386" s="1">
        <v>138.44999999999999</v>
      </c>
      <c r="O1386" s="6" t="s">
        <v>34</v>
      </c>
      <c r="P1386" s="8">
        <f>Table1[Quantity]*Table1[Unit_Price]</f>
        <v>548.1</v>
      </c>
      <c r="Q1386" s="1">
        <f>Table1[Profit]/Table1[Total_Sales]</f>
        <v>0.29717953120975354</v>
      </c>
      <c r="R1386" s="14">
        <f>Table1[Total_Sales]+Table1[Shipping_Cost]</f>
        <v>491.85</v>
      </c>
    </row>
    <row r="1387" spans="1:18" x14ac:dyDescent="0.35">
      <c r="A1387" s="3" t="s">
        <v>2628</v>
      </c>
      <c r="B1387" s="2">
        <v>45706</v>
      </c>
      <c r="C1387" s="1" t="s">
        <v>2629</v>
      </c>
      <c r="D1387" s="1" t="s">
        <v>30</v>
      </c>
      <c r="E1387" s="1" t="s">
        <v>37</v>
      </c>
      <c r="F1387" s="1" t="s">
        <v>26</v>
      </c>
      <c r="G1387" s="1" t="s">
        <v>42</v>
      </c>
      <c r="H1387" s="1" t="s">
        <v>64</v>
      </c>
      <c r="I1387" s="1">
        <v>3</v>
      </c>
      <c r="J1387" s="1">
        <v>46.46</v>
      </c>
      <c r="K1387" s="1">
        <v>20</v>
      </c>
      <c r="L1387" s="1">
        <v>111.5</v>
      </c>
      <c r="M1387" s="1">
        <v>8.73</v>
      </c>
      <c r="N1387" s="1">
        <v>19.14</v>
      </c>
      <c r="O1387" s="6" t="s">
        <v>39</v>
      </c>
      <c r="P1387" s="8">
        <f>Table1[Quantity]*Table1[Unit_Price]</f>
        <v>139.38</v>
      </c>
      <c r="Q1387" s="1">
        <f>Table1[Profit]/Table1[Total_Sales]</f>
        <v>0.17165919282511211</v>
      </c>
      <c r="R1387" s="14">
        <f>Table1[Total_Sales]+Table1[Shipping_Cost]</f>
        <v>120.23</v>
      </c>
    </row>
    <row r="1388" spans="1:18" x14ac:dyDescent="0.35">
      <c r="A1388" s="3" t="s">
        <v>2630</v>
      </c>
      <c r="B1388" s="2">
        <v>45707</v>
      </c>
      <c r="C1388" s="1" t="s">
        <v>2631</v>
      </c>
      <c r="D1388" s="1" t="s">
        <v>30</v>
      </c>
      <c r="E1388" s="1" t="s">
        <v>166</v>
      </c>
      <c r="F1388" s="1" t="s">
        <v>60</v>
      </c>
      <c r="G1388" s="1" t="s">
        <v>69</v>
      </c>
      <c r="H1388" s="1" t="s">
        <v>163</v>
      </c>
      <c r="I1388" s="1">
        <v>3</v>
      </c>
      <c r="J1388" s="1">
        <v>53.74</v>
      </c>
      <c r="K1388" s="1">
        <v>10</v>
      </c>
      <c r="L1388" s="1">
        <v>145.1</v>
      </c>
      <c r="M1388" s="1">
        <v>16.16</v>
      </c>
      <c r="N1388" s="1">
        <v>48.33</v>
      </c>
      <c r="O1388" s="6" t="s">
        <v>34</v>
      </c>
      <c r="P1388" s="8">
        <f>Table1[Quantity]*Table1[Unit_Price]</f>
        <v>161.22</v>
      </c>
      <c r="Q1388" s="1">
        <f>Table1[Profit]/Table1[Total_Sales]</f>
        <v>0.33308063404548588</v>
      </c>
      <c r="R1388" s="14">
        <f>Table1[Total_Sales]+Table1[Shipping_Cost]</f>
        <v>161.26</v>
      </c>
    </row>
    <row r="1389" spans="1:18" x14ac:dyDescent="0.35">
      <c r="A1389" s="3" t="s">
        <v>2632</v>
      </c>
      <c r="B1389" s="2">
        <v>45708</v>
      </c>
      <c r="C1389" s="1" t="s">
        <v>619</v>
      </c>
      <c r="D1389" s="1" t="s">
        <v>17</v>
      </c>
      <c r="E1389" s="1" t="s">
        <v>85</v>
      </c>
      <c r="F1389" s="1" t="s">
        <v>60</v>
      </c>
      <c r="G1389" s="1" t="s">
        <v>32</v>
      </c>
      <c r="H1389" s="1" t="s">
        <v>73</v>
      </c>
      <c r="I1389" s="1">
        <v>1</v>
      </c>
      <c r="J1389" s="1">
        <v>3.03</v>
      </c>
      <c r="K1389" s="1">
        <v>20</v>
      </c>
      <c r="L1389" s="1">
        <v>2.42</v>
      </c>
      <c r="M1389" s="1">
        <v>11.16</v>
      </c>
      <c r="N1389" s="1">
        <v>-10.1</v>
      </c>
      <c r="O1389" s="6" t="s">
        <v>22</v>
      </c>
      <c r="P1389" s="8">
        <f>Table1[Quantity]*Table1[Unit_Price]</f>
        <v>3.03</v>
      </c>
      <c r="Q1389" s="1">
        <f>Table1[Profit]/Table1[Total_Sales]</f>
        <v>-4.1735537190082646</v>
      </c>
      <c r="R1389" s="14">
        <f>Table1[Total_Sales]+Table1[Shipping_Cost]</f>
        <v>13.58</v>
      </c>
    </row>
    <row r="1390" spans="1:18" x14ac:dyDescent="0.35">
      <c r="A1390" s="3" t="s">
        <v>2633</v>
      </c>
      <c r="B1390" s="2">
        <v>45708</v>
      </c>
      <c r="C1390" s="1" t="s">
        <v>2634</v>
      </c>
      <c r="D1390" s="1" t="s">
        <v>30</v>
      </c>
      <c r="E1390" s="1" t="s">
        <v>166</v>
      </c>
      <c r="F1390" s="1" t="s">
        <v>60</v>
      </c>
      <c r="G1390" s="1" t="s">
        <v>32</v>
      </c>
      <c r="H1390" s="1" t="s">
        <v>101</v>
      </c>
      <c r="I1390" s="1">
        <v>1</v>
      </c>
      <c r="J1390" s="1">
        <v>15.32</v>
      </c>
      <c r="K1390" s="1">
        <v>0</v>
      </c>
      <c r="L1390" s="1">
        <v>15.32</v>
      </c>
      <c r="M1390" s="1">
        <v>10.87</v>
      </c>
      <c r="N1390" s="1">
        <v>-2.44</v>
      </c>
      <c r="O1390" s="6" t="s">
        <v>34</v>
      </c>
      <c r="P1390" s="8">
        <f>Table1[Quantity]*Table1[Unit_Price]</f>
        <v>15.32</v>
      </c>
      <c r="Q1390" s="1">
        <f>Table1[Profit]/Table1[Total_Sales]</f>
        <v>-0.15926892950391644</v>
      </c>
      <c r="R1390" s="14">
        <f>Table1[Total_Sales]+Table1[Shipping_Cost]</f>
        <v>26.189999999999998</v>
      </c>
    </row>
    <row r="1391" spans="1:18" x14ac:dyDescent="0.35">
      <c r="A1391" s="3" t="s">
        <v>2635</v>
      </c>
      <c r="B1391" s="2">
        <v>45708</v>
      </c>
      <c r="C1391" s="1" t="s">
        <v>801</v>
      </c>
      <c r="D1391" s="1" t="s">
        <v>49</v>
      </c>
      <c r="E1391" s="1" t="s">
        <v>248</v>
      </c>
      <c r="F1391" s="1" t="s">
        <v>26</v>
      </c>
      <c r="G1391" s="1" t="s">
        <v>20</v>
      </c>
      <c r="H1391" s="1" t="s">
        <v>264</v>
      </c>
      <c r="I1391" s="1">
        <v>1</v>
      </c>
      <c r="J1391" s="1">
        <v>47.45</v>
      </c>
      <c r="K1391" s="1">
        <v>20</v>
      </c>
      <c r="L1391" s="1">
        <v>37.96</v>
      </c>
      <c r="M1391" s="1">
        <v>8.7200000000000006</v>
      </c>
      <c r="N1391" s="1">
        <v>3.14</v>
      </c>
      <c r="O1391" s="6" t="s">
        <v>34</v>
      </c>
      <c r="P1391" s="8">
        <f>Table1[Quantity]*Table1[Unit_Price]</f>
        <v>47.45</v>
      </c>
      <c r="Q1391" s="1">
        <f>Table1[Profit]/Table1[Total_Sales]</f>
        <v>8.27186512118019E-2</v>
      </c>
      <c r="R1391" s="14">
        <f>Table1[Total_Sales]+Table1[Shipping_Cost]</f>
        <v>46.68</v>
      </c>
    </row>
    <row r="1392" spans="1:18" x14ac:dyDescent="0.35">
      <c r="A1392" s="3" t="s">
        <v>2636</v>
      </c>
      <c r="B1392" s="2">
        <v>45708</v>
      </c>
      <c r="C1392" s="1" t="s">
        <v>2637</v>
      </c>
      <c r="D1392" s="1" t="s">
        <v>30</v>
      </c>
      <c r="E1392" s="1" t="s">
        <v>135</v>
      </c>
      <c r="F1392" s="1" t="s">
        <v>26</v>
      </c>
      <c r="G1392" s="1" t="s">
        <v>32</v>
      </c>
      <c r="H1392" s="1" t="s">
        <v>110</v>
      </c>
      <c r="I1392" s="1">
        <v>1</v>
      </c>
      <c r="J1392" s="1">
        <v>12.93</v>
      </c>
      <c r="K1392" s="1">
        <v>0</v>
      </c>
      <c r="L1392" s="1">
        <v>12.93</v>
      </c>
      <c r="M1392" s="1">
        <v>8.94</v>
      </c>
      <c r="N1392" s="1">
        <v>-1.83</v>
      </c>
      <c r="O1392" s="6" t="s">
        <v>39</v>
      </c>
      <c r="P1392" s="8">
        <f>Table1[Quantity]*Table1[Unit_Price]</f>
        <v>12.93</v>
      </c>
      <c r="Q1392" s="1">
        <f>Table1[Profit]/Table1[Total_Sales]</f>
        <v>-0.14153132250580047</v>
      </c>
      <c r="R1392" s="14">
        <f>Table1[Total_Sales]+Table1[Shipping_Cost]</f>
        <v>21.869999999999997</v>
      </c>
    </row>
    <row r="1393" spans="1:18" x14ac:dyDescent="0.35">
      <c r="A1393" s="3" t="s">
        <v>2638</v>
      </c>
      <c r="B1393" s="2">
        <v>45709</v>
      </c>
      <c r="C1393" s="1" t="s">
        <v>2639</v>
      </c>
      <c r="D1393" s="1" t="s">
        <v>49</v>
      </c>
      <c r="E1393" s="1" t="s">
        <v>31</v>
      </c>
      <c r="F1393" s="1" t="s">
        <v>19</v>
      </c>
      <c r="G1393" s="1" t="s">
        <v>69</v>
      </c>
      <c r="H1393" s="1" t="s">
        <v>86</v>
      </c>
      <c r="I1393" s="1">
        <v>1</v>
      </c>
      <c r="J1393" s="1">
        <v>71.91</v>
      </c>
      <c r="K1393" s="1">
        <v>5</v>
      </c>
      <c r="L1393" s="1">
        <v>68.31</v>
      </c>
      <c r="M1393" s="1">
        <v>7.27</v>
      </c>
      <c r="N1393" s="1">
        <v>25.09</v>
      </c>
      <c r="O1393" s="6" t="s">
        <v>34</v>
      </c>
      <c r="P1393" s="8">
        <f>Table1[Quantity]*Table1[Unit_Price]</f>
        <v>71.91</v>
      </c>
      <c r="Q1393" s="1">
        <f>Table1[Profit]/Table1[Total_Sales]</f>
        <v>0.36729614990484555</v>
      </c>
      <c r="R1393" s="14">
        <f>Table1[Total_Sales]+Table1[Shipping_Cost]</f>
        <v>75.58</v>
      </c>
    </row>
    <row r="1394" spans="1:18" x14ac:dyDescent="0.35">
      <c r="A1394" s="3" t="s">
        <v>2640</v>
      </c>
      <c r="B1394" s="2">
        <v>45709</v>
      </c>
      <c r="C1394" s="1" t="s">
        <v>2641</v>
      </c>
      <c r="D1394" s="1" t="s">
        <v>30</v>
      </c>
      <c r="E1394" s="1" t="s">
        <v>148</v>
      </c>
      <c r="F1394" s="1" t="s">
        <v>60</v>
      </c>
      <c r="G1394" s="1" t="s">
        <v>20</v>
      </c>
      <c r="H1394" s="1" t="s">
        <v>27</v>
      </c>
      <c r="I1394" s="1">
        <v>1</v>
      </c>
      <c r="J1394" s="1">
        <v>167.77</v>
      </c>
      <c r="K1394" s="1">
        <v>0</v>
      </c>
      <c r="L1394" s="1">
        <v>167.77</v>
      </c>
      <c r="M1394" s="1">
        <v>10.07</v>
      </c>
      <c r="N1394" s="1">
        <v>65.430000000000007</v>
      </c>
      <c r="O1394" s="6" t="s">
        <v>34</v>
      </c>
      <c r="P1394" s="8">
        <f>Table1[Quantity]*Table1[Unit_Price]</f>
        <v>167.77</v>
      </c>
      <c r="Q1394" s="1">
        <f>Table1[Profit]/Table1[Total_Sales]</f>
        <v>0.38999821183763489</v>
      </c>
      <c r="R1394" s="14">
        <f>Table1[Total_Sales]+Table1[Shipping_Cost]</f>
        <v>177.84</v>
      </c>
    </row>
    <row r="1395" spans="1:18" x14ac:dyDescent="0.35">
      <c r="A1395" s="3" t="s">
        <v>2642</v>
      </c>
      <c r="B1395" s="2">
        <v>45710</v>
      </c>
      <c r="C1395" s="1" t="s">
        <v>1700</v>
      </c>
      <c r="D1395" s="1" t="s">
        <v>30</v>
      </c>
      <c r="E1395" s="1" t="s">
        <v>59</v>
      </c>
      <c r="F1395" s="1" t="s">
        <v>60</v>
      </c>
      <c r="G1395" s="1" t="s">
        <v>69</v>
      </c>
      <c r="H1395" s="1" t="s">
        <v>86</v>
      </c>
      <c r="I1395" s="1">
        <v>2</v>
      </c>
      <c r="J1395" s="1">
        <v>61.54</v>
      </c>
      <c r="K1395" s="1">
        <v>0</v>
      </c>
      <c r="L1395" s="1">
        <v>123.08</v>
      </c>
      <c r="M1395" s="1">
        <v>12.34</v>
      </c>
      <c r="N1395" s="1">
        <v>49.2</v>
      </c>
      <c r="O1395" s="6" t="s">
        <v>34</v>
      </c>
      <c r="P1395" s="8">
        <f>Table1[Quantity]*Table1[Unit_Price]</f>
        <v>123.08</v>
      </c>
      <c r="Q1395" s="1">
        <f>Table1[Profit]/Table1[Total_Sales]</f>
        <v>0.39974000649983754</v>
      </c>
      <c r="R1395" s="14">
        <f>Table1[Total_Sales]+Table1[Shipping_Cost]</f>
        <v>135.41999999999999</v>
      </c>
    </row>
    <row r="1396" spans="1:18" x14ac:dyDescent="0.35">
      <c r="A1396" s="3" t="s">
        <v>2643</v>
      </c>
      <c r="B1396" s="2">
        <v>45710</v>
      </c>
      <c r="C1396" s="1" t="s">
        <v>2644</v>
      </c>
      <c r="D1396" s="1" t="s">
        <v>30</v>
      </c>
      <c r="E1396" s="1" t="s">
        <v>248</v>
      </c>
      <c r="F1396" s="1" t="s">
        <v>26</v>
      </c>
      <c r="G1396" s="1" t="s">
        <v>20</v>
      </c>
      <c r="H1396" s="1" t="s">
        <v>27</v>
      </c>
      <c r="I1396" s="1">
        <v>1</v>
      </c>
      <c r="J1396" s="1">
        <v>146.19999999999999</v>
      </c>
      <c r="K1396" s="1">
        <v>5</v>
      </c>
      <c r="L1396" s="1">
        <v>138.88999999999999</v>
      </c>
      <c r="M1396" s="1">
        <v>7.89</v>
      </c>
      <c r="N1396" s="1">
        <v>50.59</v>
      </c>
      <c r="O1396" s="6" t="s">
        <v>22</v>
      </c>
      <c r="P1396" s="8">
        <f>Table1[Quantity]*Table1[Unit_Price]</f>
        <v>146.19999999999999</v>
      </c>
      <c r="Q1396" s="1">
        <f>Table1[Profit]/Table1[Total_Sales]</f>
        <v>0.36424508603931177</v>
      </c>
      <c r="R1396" s="14">
        <f>Table1[Total_Sales]+Table1[Shipping_Cost]</f>
        <v>146.77999999999997</v>
      </c>
    </row>
    <row r="1397" spans="1:18" x14ac:dyDescent="0.35">
      <c r="A1397" s="3" t="s">
        <v>2645</v>
      </c>
      <c r="B1397" s="2">
        <v>45712</v>
      </c>
      <c r="C1397" s="1" t="s">
        <v>2646</v>
      </c>
      <c r="D1397" s="1" t="s">
        <v>17</v>
      </c>
      <c r="E1397" s="1" t="s">
        <v>135</v>
      </c>
      <c r="F1397" s="1" t="s">
        <v>26</v>
      </c>
      <c r="G1397" s="1" t="s">
        <v>42</v>
      </c>
      <c r="H1397" s="1" t="s">
        <v>255</v>
      </c>
      <c r="I1397" s="1">
        <v>1</v>
      </c>
      <c r="J1397" s="1">
        <v>40.32</v>
      </c>
      <c r="K1397" s="1">
        <v>10</v>
      </c>
      <c r="L1397" s="1">
        <v>36.29</v>
      </c>
      <c r="M1397" s="1">
        <v>9.2899999999999991</v>
      </c>
      <c r="N1397" s="1">
        <v>2.81</v>
      </c>
      <c r="O1397" s="6" t="s">
        <v>22</v>
      </c>
      <c r="P1397" s="8">
        <f>Table1[Quantity]*Table1[Unit_Price]</f>
        <v>40.32</v>
      </c>
      <c r="Q1397" s="1">
        <f>Table1[Profit]/Table1[Total_Sales]</f>
        <v>7.7431799393772399E-2</v>
      </c>
      <c r="R1397" s="14">
        <f>Table1[Total_Sales]+Table1[Shipping_Cost]</f>
        <v>45.58</v>
      </c>
    </row>
    <row r="1398" spans="1:18" x14ac:dyDescent="0.35">
      <c r="A1398" s="3" t="s">
        <v>2647</v>
      </c>
      <c r="B1398" s="2">
        <v>45713</v>
      </c>
      <c r="C1398" s="1" t="s">
        <v>2648</v>
      </c>
      <c r="D1398" s="1" t="s">
        <v>30</v>
      </c>
      <c r="E1398" s="1" t="s">
        <v>59</v>
      </c>
      <c r="F1398" s="1" t="s">
        <v>60</v>
      </c>
      <c r="G1398" s="1" t="s">
        <v>20</v>
      </c>
      <c r="H1398" s="1" t="s">
        <v>21</v>
      </c>
      <c r="I1398" s="1">
        <v>6</v>
      </c>
      <c r="J1398" s="1">
        <v>228</v>
      </c>
      <c r="K1398" s="1">
        <v>15</v>
      </c>
      <c r="L1398" s="1">
        <v>1162.8</v>
      </c>
      <c r="M1398" s="1">
        <v>21.34</v>
      </c>
      <c r="N1398" s="1">
        <v>389.06</v>
      </c>
      <c r="O1398" s="6" t="s">
        <v>34</v>
      </c>
      <c r="P1398" s="8">
        <f>Table1[Quantity]*Table1[Unit_Price]</f>
        <v>1368</v>
      </c>
      <c r="Q1398" s="1">
        <f>Table1[Profit]/Table1[Total_Sales]</f>
        <v>0.33458892328861373</v>
      </c>
      <c r="R1398" s="14">
        <f>Table1[Total_Sales]+Table1[Shipping_Cost]</f>
        <v>1184.1399999999999</v>
      </c>
    </row>
    <row r="1399" spans="1:18" x14ac:dyDescent="0.35">
      <c r="A1399" s="3" t="s">
        <v>2649</v>
      </c>
      <c r="B1399" s="2">
        <v>45713</v>
      </c>
      <c r="C1399" s="1" t="s">
        <v>66</v>
      </c>
      <c r="D1399" s="1" t="s">
        <v>30</v>
      </c>
      <c r="E1399" s="1" t="s">
        <v>169</v>
      </c>
      <c r="F1399" s="1" t="s">
        <v>68</v>
      </c>
      <c r="G1399" s="1" t="s">
        <v>20</v>
      </c>
      <c r="H1399" s="1" t="s">
        <v>21</v>
      </c>
      <c r="I1399" s="1">
        <v>9</v>
      </c>
      <c r="J1399" s="1">
        <v>107.1</v>
      </c>
      <c r="K1399" s="1">
        <v>0</v>
      </c>
      <c r="L1399" s="1">
        <v>963.9</v>
      </c>
      <c r="M1399" s="1">
        <v>24.75</v>
      </c>
      <c r="N1399" s="1">
        <v>409</v>
      </c>
      <c r="O1399" s="6" t="s">
        <v>39</v>
      </c>
      <c r="P1399" s="8">
        <f>Table1[Quantity]*Table1[Unit_Price]</f>
        <v>963.9</v>
      </c>
      <c r="Q1399" s="1">
        <f>Table1[Profit]/Table1[Total_Sales]</f>
        <v>0.42431787529826748</v>
      </c>
      <c r="R1399" s="14">
        <f>Table1[Total_Sales]+Table1[Shipping_Cost]</f>
        <v>988.65</v>
      </c>
    </row>
    <row r="1400" spans="1:18" x14ac:dyDescent="0.35">
      <c r="A1400" s="3" t="s">
        <v>2650</v>
      </c>
      <c r="B1400" s="2">
        <v>45714</v>
      </c>
      <c r="C1400" s="1" t="s">
        <v>2651</v>
      </c>
      <c r="D1400" s="1" t="s">
        <v>30</v>
      </c>
      <c r="E1400" s="1" t="s">
        <v>31</v>
      </c>
      <c r="F1400" s="1" t="s">
        <v>19</v>
      </c>
      <c r="G1400" s="1" t="s">
        <v>32</v>
      </c>
      <c r="H1400" s="1" t="s">
        <v>149</v>
      </c>
      <c r="I1400" s="1">
        <v>1</v>
      </c>
      <c r="J1400" s="1">
        <v>11.74</v>
      </c>
      <c r="K1400" s="1">
        <v>5</v>
      </c>
      <c r="L1400" s="1">
        <v>11.15</v>
      </c>
      <c r="M1400" s="1">
        <v>7.16</v>
      </c>
      <c r="N1400" s="1">
        <v>-1.29</v>
      </c>
      <c r="O1400" s="6" t="s">
        <v>34</v>
      </c>
      <c r="P1400" s="8">
        <f>Table1[Quantity]*Table1[Unit_Price]</f>
        <v>11.74</v>
      </c>
      <c r="Q1400" s="1">
        <f>Table1[Profit]/Table1[Total_Sales]</f>
        <v>-0.11569506726457399</v>
      </c>
      <c r="R1400" s="14">
        <f>Table1[Total_Sales]+Table1[Shipping_Cost]</f>
        <v>18.310000000000002</v>
      </c>
    </row>
    <row r="1401" spans="1:18" x14ac:dyDescent="0.35">
      <c r="A1401" s="3" t="s">
        <v>2652</v>
      </c>
      <c r="B1401" s="2">
        <v>45714</v>
      </c>
      <c r="C1401" s="1" t="s">
        <v>16</v>
      </c>
      <c r="D1401" s="1" t="s">
        <v>49</v>
      </c>
      <c r="E1401" s="1" t="s">
        <v>85</v>
      </c>
      <c r="F1401" s="1" t="s">
        <v>60</v>
      </c>
      <c r="G1401" s="1" t="s">
        <v>20</v>
      </c>
      <c r="H1401" s="1" t="s">
        <v>199</v>
      </c>
      <c r="I1401" s="1">
        <v>2</v>
      </c>
      <c r="J1401" s="1">
        <v>182.51</v>
      </c>
      <c r="K1401" s="1">
        <v>5</v>
      </c>
      <c r="L1401" s="1">
        <v>346.77</v>
      </c>
      <c r="M1401" s="1">
        <v>10.49</v>
      </c>
      <c r="N1401" s="1">
        <v>135.52000000000001</v>
      </c>
      <c r="O1401" s="6" t="s">
        <v>56</v>
      </c>
      <c r="P1401" s="8">
        <f>Table1[Quantity]*Table1[Unit_Price]</f>
        <v>365.02</v>
      </c>
      <c r="Q1401" s="1">
        <f>Table1[Profit]/Table1[Total_Sales]</f>
        <v>0.39080658649825539</v>
      </c>
      <c r="R1401" s="14">
        <f>Table1[Total_Sales]+Table1[Shipping_Cost]</f>
        <v>357.26</v>
      </c>
    </row>
    <row r="1402" spans="1:18" x14ac:dyDescent="0.35">
      <c r="A1402" s="3" t="s">
        <v>2653</v>
      </c>
      <c r="B1402" s="2">
        <v>45715</v>
      </c>
      <c r="C1402" s="1" t="s">
        <v>2654</v>
      </c>
      <c r="D1402" s="1" t="s">
        <v>49</v>
      </c>
      <c r="E1402" s="1" t="s">
        <v>67</v>
      </c>
      <c r="F1402" s="1" t="s">
        <v>68</v>
      </c>
      <c r="G1402" s="1" t="s">
        <v>20</v>
      </c>
      <c r="H1402" s="1" t="s">
        <v>170</v>
      </c>
      <c r="I1402" s="1">
        <v>7</v>
      </c>
      <c r="J1402" s="1">
        <v>59.14</v>
      </c>
      <c r="K1402" s="1">
        <v>15</v>
      </c>
      <c r="L1402" s="1">
        <v>351.88</v>
      </c>
      <c r="M1402" s="1">
        <v>23.53</v>
      </c>
      <c r="N1402" s="1">
        <v>100.66</v>
      </c>
      <c r="O1402" s="6" t="s">
        <v>34</v>
      </c>
      <c r="P1402" s="8">
        <f>Table1[Quantity]*Table1[Unit_Price]</f>
        <v>413.98</v>
      </c>
      <c r="Q1402" s="1">
        <f>Table1[Profit]/Table1[Total_Sales]</f>
        <v>0.2860634307150165</v>
      </c>
      <c r="R1402" s="14">
        <f>Table1[Total_Sales]+Table1[Shipping_Cost]</f>
        <v>375.40999999999997</v>
      </c>
    </row>
    <row r="1403" spans="1:18" x14ac:dyDescent="0.35">
      <c r="A1403" s="3" t="s">
        <v>2655</v>
      </c>
      <c r="B1403" s="2">
        <v>45716</v>
      </c>
      <c r="C1403" s="1" t="s">
        <v>2656</v>
      </c>
      <c r="D1403" s="1" t="s">
        <v>49</v>
      </c>
      <c r="E1403" s="1" t="s">
        <v>18</v>
      </c>
      <c r="F1403" s="1" t="s">
        <v>19</v>
      </c>
      <c r="G1403" s="1" t="s">
        <v>42</v>
      </c>
      <c r="H1403" s="1" t="s">
        <v>93</v>
      </c>
      <c r="I1403" s="1">
        <v>2</v>
      </c>
      <c r="J1403" s="1">
        <v>239.93</v>
      </c>
      <c r="K1403" s="1">
        <v>0</v>
      </c>
      <c r="L1403" s="1">
        <v>479.86</v>
      </c>
      <c r="M1403" s="1">
        <v>6.98</v>
      </c>
      <c r="N1403" s="1">
        <v>184.96</v>
      </c>
      <c r="O1403" s="6" t="s">
        <v>34</v>
      </c>
      <c r="P1403" s="8">
        <f>Table1[Quantity]*Table1[Unit_Price]</f>
        <v>479.86</v>
      </c>
      <c r="Q1403" s="1">
        <f>Table1[Profit]/Table1[Total_Sales]</f>
        <v>0.38544575501187844</v>
      </c>
      <c r="R1403" s="14">
        <f>Table1[Total_Sales]+Table1[Shipping_Cost]</f>
        <v>486.84000000000003</v>
      </c>
    </row>
    <row r="1404" spans="1:18" x14ac:dyDescent="0.35">
      <c r="A1404" s="3" t="s">
        <v>2657</v>
      </c>
      <c r="B1404" s="2">
        <v>45717</v>
      </c>
      <c r="C1404" s="1" t="s">
        <v>2658</v>
      </c>
      <c r="D1404" s="1" t="s">
        <v>30</v>
      </c>
      <c r="E1404" s="1" t="s">
        <v>138</v>
      </c>
      <c r="F1404" s="1" t="s">
        <v>54</v>
      </c>
      <c r="G1404" s="1" t="s">
        <v>20</v>
      </c>
      <c r="H1404" s="1" t="s">
        <v>38</v>
      </c>
      <c r="I1404" s="1">
        <v>2</v>
      </c>
      <c r="J1404" s="1">
        <v>48.49</v>
      </c>
      <c r="K1404" s="1">
        <v>10</v>
      </c>
      <c r="L1404" s="1">
        <v>87.28</v>
      </c>
      <c r="M1404" s="1">
        <v>12.86</v>
      </c>
      <c r="N1404" s="1">
        <v>21.08</v>
      </c>
      <c r="O1404" s="6" t="s">
        <v>22</v>
      </c>
      <c r="P1404" s="8">
        <f>Table1[Quantity]*Table1[Unit_Price]</f>
        <v>96.98</v>
      </c>
      <c r="Q1404" s="1">
        <f>Table1[Profit]/Table1[Total_Sales]</f>
        <v>0.24152153987167735</v>
      </c>
      <c r="R1404" s="14">
        <f>Table1[Total_Sales]+Table1[Shipping_Cost]</f>
        <v>100.14</v>
      </c>
    </row>
    <row r="1405" spans="1:18" x14ac:dyDescent="0.35">
      <c r="A1405" s="3" t="s">
        <v>2659</v>
      </c>
      <c r="B1405" s="2">
        <v>45717</v>
      </c>
      <c r="C1405" s="1" t="s">
        <v>950</v>
      </c>
      <c r="D1405" s="1" t="s">
        <v>49</v>
      </c>
      <c r="E1405" s="1" t="s">
        <v>18</v>
      </c>
      <c r="F1405" s="1" t="s">
        <v>19</v>
      </c>
      <c r="G1405" s="1" t="s">
        <v>20</v>
      </c>
      <c r="H1405" s="1" t="s">
        <v>175</v>
      </c>
      <c r="I1405" s="1">
        <v>4</v>
      </c>
      <c r="J1405" s="1">
        <v>45.77</v>
      </c>
      <c r="K1405" s="1">
        <v>10</v>
      </c>
      <c r="L1405" s="1">
        <v>164.77</v>
      </c>
      <c r="M1405" s="1">
        <v>13.41</v>
      </c>
      <c r="N1405" s="1">
        <v>50.67</v>
      </c>
      <c r="O1405" s="6" t="s">
        <v>34</v>
      </c>
      <c r="P1405" s="8">
        <f>Table1[Quantity]*Table1[Unit_Price]</f>
        <v>183.08</v>
      </c>
      <c r="Q1405" s="1">
        <f>Table1[Profit]/Table1[Total_Sales]</f>
        <v>0.30751957273775565</v>
      </c>
      <c r="R1405" s="14">
        <f>Table1[Total_Sales]+Table1[Shipping_Cost]</f>
        <v>178.18</v>
      </c>
    </row>
    <row r="1406" spans="1:18" x14ac:dyDescent="0.35">
      <c r="A1406" s="3" t="s">
        <v>2660</v>
      </c>
      <c r="B1406" s="2">
        <v>45719</v>
      </c>
      <c r="C1406" s="1" t="s">
        <v>1787</v>
      </c>
      <c r="D1406" s="1" t="s">
        <v>30</v>
      </c>
      <c r="E1406" s="1" t="s">
        <v>248</v>
      </c>
      <c r="F1406" s="1" t="s">
        <v>26</v>
      </c>
      <c r="G1406" s="1" t="s">
        <v>32</v>
      </c>
      <c r="H1406" s="1" t="s">
        <v>110</v>
      </c>
      <c r="I1406" s="1">
        <v>6</v>
      </c>
      <c r="J1406" s="1">
        <v>14.68</v>
      </c>
      <c r="K1406" s="1">
        <v>15</v>
      </c>
      <c r="L1406" s="1">
        <v>74.87</v>
      </c>
      <c r="M1406" s="1">
        <v>15.34</v>
      </c>
      <c r="N1406" s="1">
        <v>19.89</v>
      </c>
      <c r="O1406" s="6" t="s">
        <v>34</v>
      </c>
      <c r="P1406" s="8">
        <f>Table1[Quantity]*Table1[Unit_Price]</f>
        <v>88.08</v>
      </c>
      <c r="Q1406" s="1">
        <f>Table1[Profit]/Table1[Total_Sales]</f>
        <v>0.26566047816214772</v>
      </c>
      <c r="R1406" s="14">
        <f>Table1[Total_Sales]+Table1[Shipping_Cost]</f>
        <v>90.210000000000008</v>
      </c>
    </row>
    <row r="1407" spans="1:18" x14ac:dyDescent="0.35">
      <c r="A1407" s="3" t="s">
        <v>2661</v>
      </c>
      <c r="B1407" s="2">
        <v>45721</v>
      </c>
      <c r="C1407" s="1" t="s">
        <v>2662</v>
      </c>
      <c r="D1407" s="1" t="s">
        <v>17</v>
      </c>
      <c r="E1407" s="1" t="s">
        <v>248</v>
      </c>
      <c r="F1407" s="1" t="s">
        <v>26</v>
      </c>
      <c r="G1407" s="1" t="s">
        <v>42</v>
      </c>
      <c r="H1407" s="1" t="s">
        <v>93</v>
      </c>
      <c r="I1407" s="1">
        <v>4</v>
      </c>
      <c r="J1407" s="1">
        <v>163.97</v>
      </c>
      <c r="K1407" s="1">
        <v>0</v>
      </c>
      <c r="L1407" s="1">
        <v>655.88</v>
      </c>
      <c r="M1407" s="1">
        <v>16.75</v>
      </c>
      <c r="N1407" s="1">
        <v>245.6</v>
      </c>
      <c r="O1407" s="6" t="s">
        <v>39</v>
      </c>
      <c r="P1407" s="8">
        <f>Table1[Quantity]*Table1[Unit_Price]</f>
        <v>655.88</v>
      </c>
      <c r="Q1407" s="1">
        <f>Table1[Profit]/Table1[Total_Sales]</f>
        <v>0.37445874245288774</v>
      </c>
      <c r="R1407" s="14">
        <f>Table1[Total_Sales]+Table1[Shipping_Cost]</f>
        <v>672.63</v>
      </c>
    </row>
    <row r="1408" spans="1:18" x14ac:dyDescent="0.35">
      <c r="A1408" s="3" t="s">
        <v>2663</v>
      </c>
      <c r="B1408" s="2">
        <v>45721</v>
      </c>
      <c r="C1408" s="1" t="s">
        <v>2664</v>
      </c>
      <c r="D1408" s="1" t="s">
        <v>30</v>
      </c>
      <c r="E1408" s="1" t="s">
        <v>169</v>
      </c>
      <c r="F1408" s="1" t="s">
        <v>68</v>
      </c>
      <c r="G1408" s="1" t="s">
        <v>69</v>
      </c>
      <c r="H1408" s="1" t="s">
        <v>79</v>
      </c>
      <c r="I1408" s="1">
        <v>3</v>
      </c>
      <c r="J1408" s="1">
        <v>55.66</v>
      </c>
      <c r="K1408" s="1">
        <v>5</v>
      </c>
      <c r="L1408" s="1">
        <v>158.63</v>
      </c>
      <c r="M1408" s="1">
        <v>16.73</v>
      </c>
      <c r="N1408" s="1">
        <v>58.41</v>
      </c>
      <c r="O1408" s="6" t="s">
        <v>22</v>
      </c>
      <c r="P1408" s="8">
        <f>Table1[Quantity]*Table1[Unit_Price]</f>
        <v>166.98</v>
      </c>
      <c r="Q1408" s="1">
        <f>Table1[Profit]/Table1[Total_Sales]</f>
        <v>0.36821534388198951</v>
      </c>
      <c r="R1408" s="14">
        <f>Table1[Total_Sales]+Table1[Shipping_Cost]</f>
        <v>175.35999999999999</v>
      </c>
    </row>
    <row r="1409" spans="1:18" x14ac:dyDescent="0.35">
      <c r="A1409" s="3" t="s">
        <v>2665</v>
      </c>
      <c r="B1409" s="2">
        <v>45721</v>
      </c>
      <c r="C1409" s="1" t="s">
        <v>2666</v>
      </c>
      <c r="D1409" s="1" t="s">
        <v>30</v>
      </c>
      <c r="E1409" s="1" t="s">
        <v>129</v>
      </c>
      <c r="F1409" s="1" t="s">
        <v>19</v>
      </c>
      <c r="G1409" s="1" t="s">
        <v>20</v>
      </c>
      <c r="H1409" s="1" t="s">
        <v>199</v>
      </c>
      <c r="I1409" s="1">
        <v>1</v>
      </c>
      <c r="J1409" s="1">
        <v>112.7</v>
      </c>
      <c r="K1409" s="1">
        <v>5</v>
      </c>
      <c r="L1409" s="1">
        <v>107.06</v>
      </c>
      <c r="M1409" s="1">
        <v>6.08</v>
      </c>
      <c r="N1409" s="1">
        <v>38.99</v>
      </c>
      <c r="O1409" s="6" t="s">
        <v>34</v>
      </c>
      <c r="P1409" s="8">
        <f>Table1[Quantity]*Table1[Unit_Price]</f>
        <v>112.7</v>
      </c>
      <c r="Q1409" s="1">
        <f>Table1[Profit]/Table1[Total_Sales]</f>
        <v>0.36418830562301513</v>
      </c>
      <c r="R1409" s="14">
        <f>Table1[Total_Sales]+Table1[Shipping_Cost]</f>
        <v>113.14</v>
      </c>
    </row>
    <row r="1410" spans="1:18" x14ac:dyDescent="0.35">
      <c r="A1410" s="3" t="s">
        <v>2667</v>
      </c>
      <c r="B1410" s="2">
        <v>45721</v>
      </c>
      <c r="C1410" s="1" t="s">
        <v>2668</v>
      </c>
      <c r="D1410" s="1" t="s">
        <v>17</v>
      </c>
      <c r="E1410" s="1" t="s">
        <v>31</v>
      </c>
      <c r="F1410" s="1" t="s">
        <v>19</v>
      </c>
      <c r="G1410" s="1" t="s">
        <v>20</v>
      </c>
      <c r="H1410" s="1" t="s">
        <v>38</v>
      </c>
      <c r="I1410" s="1">
        <v>4</v>
      </c>
      <c r="J1410" s="1">
        <v>71.02</v>
      </c>
      <c r="K1410" s="1">
        <v>15</v>
      </c>
      <c r="L1410" s="1">
        <v>241.47</v>
      </c>
      <c r="M1410" s="1">
        <v>7.41</v>
      </c>
      <c r="N1410" s="1">
        <v>77.819999999999993</v>
      </c>
      <c r="O1410" s="6" t="s">
        <v>39</v>
      </c>
      <c r="P1410" s="8">
        <f>Table1[Quantity]*Table1[Unit_Price]</f>
        <v>284.08</v>
      </c>
      <c r="Q1410" s="1">
        <f>Table1[Profit]/Table1[Total_Sales]</f>
        <v>0.32227605913778107</v>
      </c>
      <c r="R1410" s="14">
        <f>Table1[Total_Sales]+Table1[Shipping_Cost]</f>
        <v>248.88</v>
      </c>
    </row>
    <row r="1411" spans="1:18" x14ac:dyDescent="0.35">
      <c r="A1411" s="3" t="s">
        <v>2669</v>
      </c>
      <c r="B1411" s="2">
        <v>45722</v>
      </c>
      <c r="C1411" s="1" t="s">
        <v>2415</v>
      </c>
      <c r="D1411" s="1" t="s">
        <v>30</v>
      </c>
      <c r="E1411" s="1" t="s">
        <v>31</v>
      </c>
      <c r="F1411" s="1" t="s">
        <v>19</v>
      </c>
      <c r="G1411" s="1" t="s">
        <v>32</v>
      </c>
      <c r="H1411" s="1" t="s">
        <v>73</v>
      </c>
      <c r="I1411" s="1">
        <v>3</v>
      </c>
      <c r="J1411" s="1">
        <v>3.72</v>
      </c>
      <c r="K1411" s="1">
        <v>0</v>
      </c>
      <c r="L1411" s="1">
        <v>11.16</v>
      </c>
      <c r="M1411" s="1">
        <v>9.25</v>
      </c>
      <c r="N1411" s="1">
        <v>-3.11</v>
      </c>
      <c r="O1411" s="6" t="s">
        <v>39</v>
      </c>
      <c r="P1411" s="8">
        <f>Table1[Quantity]*Table1[Unit_Price]</f>
        <v>11.16</v>
      </c>
      <c r="Q1411" s="1">
        <f>Table1[Profit]/Table1[Total_Sales]</f>
        <v>-0.27867383512544802</v>
      </c>
      <c r="R1411" s="14">
        <f>Table1[Total_Sales]+Table1[Shipping_Cost]</f>
        <v>20.41</v>
      </c>
    </row>
    <row r="1412" spans="1:18" x14ac:dyDescent="0.35">
      <c r="A1412" s="3" t="s">
        <v>2670</v>
      </c>
      <c r="B1412" s="2">
        <v>45723</v>
      </c>
      <c r="C1412" s="1" t="s">
        <v>547</v>
      </c>
      <c r="D1412" s="1" t="s">
        <v>30</v>
      </c>
      <c r="E1412" s="1" t="s">
        <v>148</v>
      </c>
      <c r="F1412" s="1" t="s">
        <v>60</v>
      </c>
      <c r="G1412" s="1" t="s">
        <v>32</v>
      </c>
      <c r="H1412" s="1" t="s">
        <v>101</v>
      </c>
      <c r="I1412" s="1">
        <v>2</v>
      </c>
      <c r="J1412" s="1">
        <v>11.45</v>
      </c>
      <c r="K1412" s="1">
        <v>5</v>
      </c>
      <c r="L1412" s="1">
        <v>21.75</v>
      </c>
      <c r="M1412" s="1">
        <v>11.85</v>
      </c>
      <c r="N1412" s="1">
        <v>-0.4</v>
      </c>
      <c r="O1412" s="6" t="s">
        <v>56</v>
      </c>
      <c r="P1412" s="8">
        <f>Table1[Quantity]*Table1[Unit_Price]</f>
        <v>22.9</v>
      </c>
      <c r="Q1412" s="1">
        <f>Table1[Profit]/Table1[Total_Sales]</f>
        <v>-1.8390804597701149E-2</v>
      </c>
      <c r="R1412" s="14">
        <f>Table1[Total_Sales]+Table1[Shipping_Cost]</f>
        <v>33.6</v>
      </c>
    </row>
    <row r="1413" spans="1:18" x14ac:dyDescent="0.35">
      <c r="A1413" s="3" t="s">
        <v>2671</v>
      </c>
      <c r="B1413" s="2">
        <v>45723</v>
      </c>
      <c r="C1413" s="1" t="s">
        <v>2672</v>
      </c>
      <c r="D1413" s="1" t="s">
        <v>49</v>
      </c>
      <c r="E1413" s="1" t="s">
        <v>18</v>
      </c>
      <c r="F1413" s="1" t="s">
        <v>19</v>
      </c>
      <c r="G1413" s="1" t="s">
        <v>32</v>
      </c>
      <c r="H1413" s="1" t="s">
        <v>149</v>
      </c>
      <c r="I1413" s="1">
        <v>6</v>
      </c>
      <c r="J1413" s="1">
        <v>14.94</v>
      </c>
      <c r="K1413" s="1">
        <v>15</v>
      </c>
      <c r="L1413" s="1">
        <v>76.19</v>
      </c>
      <c r="M1413" s="1">
        <v>10.4</v>
      </c>
      <c r="N1413" s="1">
        <v>25.45</v>
      </c>
      <c r="O1413" s="6" t="s">
        <v>34</v>
      </c>
      <c r="P1413" s="8">
        <f>Table1[Quantity]*Table1[Unit_Price]</f>
        <v>89.64</v>
      </c>
      <c r="Q1413" s="1">
        <f>Table1[Profit]/Table1[Total_Sales]</f>
        <v>0.33403333770836069</v>
      </c>
      <c r="R1413" s="14">
        <f>Table1[Total_Sales]+Table1[Shipping_Cost]</f>
        <v>86.59</v>
      </c>
    </row>
    <row r="1414" spans="1:18" x14ac:dyDescent="0.35">
      <c r="A1414" s="3" t="s">
        <v>2673</v>
      </c>
      <c r="B1414" s="2">
        <v>45723</v>
      </c>
      <c r="C1414" s="1" t="s">
        <v>2674</v>
      </c>
      <c r="D1414" s="1" t="s">
        <v>30</v>
      </c>
      <c r="E1414" s="1" t="s">
        <v>37</v>
      </c>
      <c r="F1414" s="1" t="s">
        <v>26</v>
      </c>
      <c r="G1414" s="1" t="s">
        <v>20</v>
      </c>
      <c r="H1414" s="1" t="s">
        <v>38</v>
      </c>
      <c r="I1414" s="1">
        <v>1</v>
      </c>
      <c r="J1414" s="1">
        <v>52.34</v>
      </c>
      <c r="K1414" s="1">
        <v>5</v>
      </c>
      <c r="L1414" s="1">
        <v>49.72</v>
      </c>
      <c r="M1414" s="1">
        <v>7.84</v>
      </c>
      <c r="N1414" s="1">
        <v>13.09</v>
      </c>
      <c r="O1414" s="6" t="s">
        <v>56</v>
      </c>
      <c r="P1414" s="8">
        <f>Table1[Quantity]*Table1[Unit_Price]</f>
        <v>52.34</v>
      </c>
      <c r="Q1414" s="1">
        <f>Table1[Profit]/Table1[Total_Sales]</f>
        <v>0.26327433628318586</v>
      </c>
      <c r="R1414" s="14">
        <f>Table1[Total_Sales]+Table1[Shipping_Cost]</f>
        <v>57.56</v>
      </c>
    </row>
    <row r="1415" spans="1:18" x14ac:dyDescent="0.35">
      <c r="A1415" s="3" t="s">
        <v>2675</v>
      </c>
      <c r="B1415" s="2">
        <v>45724</v>
      </c>
      <c r="C1415" s="1" t="s">
        <v>2676</v>
      </c>
      <c r="D1415" s="1" t="s">
        <v>17</v>
      </c>
      <c r="E1415" s="1" t="s">
        <v>148</v>
      </c>
      <c r="F1415" s="1" t="s">
        <v>60</v>
      </c>
      <c r="G1415" s="1" t="s">
        <v>42</v>
      </c>
      <c r="H1415" s="1" t="s">
        <v>371</v>
      </c>
      <c r="I1415" s="1">
        <v>6</v>
      </c>
      <c r="J1415" s="1">
        <v>128.18</v>
      </c>
      <c r="K1415" s="1">
        <v>5</v>
      </c>
      <c r="L1415" s="1">
        <v>730.63</v>
      </c>
      <c r="M1415" s="1">
        <v>15.96</v>
      </c>
      <c r="N1415" s="1">
        <v>253.22</v>
      </c>
      <c r="O1415" s="6" t="s">
        <v>22</v>
      </c>
      <c r="P1415" s="8">
        <f>Table1[Quantity]*Table1[Unit_Price]</f>
        <v>769.08</v>
      </c>
      <c r="Q1415" s="1">
        <f>Table1[Profit]/Table1[Total_Sales]</f>
        <v>0.34657761110274693</v>
      </c>
      <c r="R1415" s="14">
        <f>Table1[Total_Sales]+Table1[Shipping_Cost]</f>
        <v>746.59</v>
      </c>
    </row>
    <row r="1416" spans="1:18" x14ac:dyDescent="0.35">
      <c r="A1416" s="3" t="s">
        <v>2677</v>
      </c>
      <c r="B1416" s="2">
        <v>45725</v>
      </c>
      <c r="C1416" s="1" t="s">
        <v>1177</v>
      </c>
      <c r="D1416" s="1" t="s">
        <v>49</v>
      </c>
      <c r="E1416" s="1" t="s">
        <v>25</v>
      </c>
      <c r="F1416" s="1" t="s">
        <v>26</v>
      </c>
      <c r="G1416" s="1" t="s">
        <v>32</v>
      </c>
      <c r="H1416" s="1" t="s">
        <v>33</v>
      </c>
      <c r="I1416" s="1">
        <v>1</v>
      </c>
      <c r="J1416" s="1">
        <v>7.4</v>
      </c>
      <c r="K1416" s="1">
        <v>0</v>
      </c>
      <c r="L1416" s="1">
        <v>7.4</v>
      </c>
      <c r="M1416" s="1">
        <v>8.0500000000000007</v>
      </c>
      <c r="N1416" s="1">
        <v>-3.98</v>
      </c>
      <c r="O1416" s="6" t="s">
        <v>39</v>
      </c>
      <c r="P1416" s="8">
        <f>Table1[Quantity]*Table1[Unit_Price]</f>
        <v>7.4</v>
      </c>
      <c r="Q1416" s="1">
        <f>Table1[Profit]/Table1[Total_Sales]</f>
        <v>-0.53783783783783778</v>
      </c>
      <c r="R1416" s="14">
        <f>Table1[Total_Sales]+Table1[Shipping_Cost]</f>
        <v>15.450000000000001</v>
      </c>
    </row>
    <row r="1417" spans="1:18" x14ac:dyDescent="0.35">
      <c r="A1417" s="3" t="s">
        <v>2678</v>
      </c>
      <c r="B1417" s="2">
        <v>45725</v>
      </c>
      <c r="C1417" s="1" t="s">
        <v>2679</v>
      </c>
      <c r="D1417" s="1" t="s">
        <v>17</v>
      </c>
      <c r="E1417" s="1" t="s">
        <v>18</v>
      </c>
      <c r="F1417" s="1" t="s">
        <v>19</v>
      </c>
      <c r="G1417" s="1" t="s">
        <v>32</v>
      </c>
      <c r="H1417" s="1" t="s">
        <v>101</v>
      </c>
      <c r="I1417" s="1">
        <v>1</v>
      </c>
      <c r="J1417" s="1">
        <v>12.48</v>
      </c>
      <c r="K1417" s="1">
        <v>10</v>
      </c>
      <c r="L1417" s="1">
        <v>11.23</v>
      </c>
      <c r="M1417" s="1">
        <v>5.52</v>
      </c>
      <c r="N1417" s="1">
        <v>0.09</v>
      </c>
      <c r="O1417" s="6" t="s">
        <v>34</v>
      </c>
      <c r="P1417" s="8">
        <f>Table1[Quantity]*Table1[Unit_Price]</f>
        <v>12.48</v>
      </c>
      <c r="Q1417" s="1">
        <f>Table1[Profit]/Table1[Total_Sales]</f>
        <v>8.0142475512021364E-3</v>
      </c>
      <c r="R1417" s="14">
        <f>Table1[Total_Sales]+Table1[Shipping_Cost]</f>
        <v>16.75</v>
      </c>
    </row>
    <row r="1418" spans="1:18" x14ac:dyDescent="0.35">
      <c r="A1418" s="3" t="s">
        <v>2680</v>
      </c>
      <c r="B1418" s="2">
        <v>45726</v>
      </c>
      <c r="C1418" s="1" t="s">
        <v>1653</v>
      </c>
      <c r="D1418" s="1" t="s">
        <v>30</v>
      </c>
      <c r="E1418" s="1" t="s">
        <v>53</v>
      </c>
      <c r="F1418" s="1" t="s">
        <v>54</v>
      </c>
      <c r="G1418" s="1" t="s">
        <v>42</v>
      </c>
      <c r="H1418" s="1" t="s">
        <v>89</v>
      </c>
      <c r="I1418" s="1">
        <v>1</v>
      </c>
      <c r="J1418" s="1">
        <v>418.59</v>
      </c>
      <c r="K1418" s="1">
        <v>0</v>
      </c>
      <c r="L1418" s="1">
        <v>418.59</v>
      </c>
      <c r="M1418" s="1">
        <v>12.47</v>
      </c>
      <c r="N1418" s="1">
        <v>154.97</v>
      </c>
      <c r="O1418" s="6" t="s">
        <v>34</v>
      </c>
      <c r="P1418" s="8">
        <f>Table1[Quantity]*Table1[Unit_Price]</f>
        <v>418.59</v>
      </c>
      <c r="Q1418" s="1">
        <f>Table1[Profit]/Table1[Total_Sales]</f>
        <v>0.3702190687785184</v>
      </c>
      <c r="R1418" s="14">
        <f>Table1[Total_Sales]+Table1[Shipping_Cost]</f>
        <v>431.06</v>
      </c>
    </row>
    <row r="1419" spans="1:18" x14ac:dyDescent="0.35">
      <c r="A1419" s="3" t="s">
        <v>2681</v>
      </c>
      <c r="B1419" s="2">
        <v>45727</v>
      </c>
      <c r="C1419" s="1" t="s">
        <v>2682</v>
      </c>
      <c r="D1419" s="1" t="s">
        <v>30</v>
      </c>
      <c r="E1419" s="1" t="s">
        <v>121</v>
      </c>
      <c r="F1419" s="1" t="s">
        <v>68</v>
      </c>
      <c r="G1419" s="1" t="s">
        <v>20</v>
      </c>
      <c r="H1419" s="1" t="s">
        <v>106</v>
      </c>
      <c r="I1419" s="1">
        <v>2</v>
      </c>
      <c r="J1419" s="1">
        <v>28.19</v>
      </c>
      <c r="K1419" s="1">
        <v>5</v>
      </c>
      <c r="L1419" s="1">
        <v>53.56</v>
      </c>
      <c r="M1419" s="1">
        <v>12.32</v>
      </c>
      <c r="N1419" s="1">
        <v>10.23</v>
      </c>
      <c r="O1419" s="6" t="s">
        <v>22</v>
      </c>
      <c r="P1419" s="8">
        <f>Table1[Quantity]*Table1[Unit_Price]</f>
        <v>56.38</v>
      </c>
      <c r="Q1419" s="1">
        <f>Table1[Profit]/Table1[Total_Sales]</f>
        <v>0.19100074682598955</v>
      </c>
      <c r="R1419" s="14">
        <f>Table1[Total_Sales]+Table1[Shipping_Cost]</f>
        <v>65.88</v>
      </c>
    </row>
    <row r="1420" spans="1:18" x14ac:dyDescent="0.35">
      <c r="A1420" s="3" t="s">
        <v>2683</v>
      </c>
      <c r="B1420" s="2">
        <v>45728</v>
      </c>
      <c r="C1420" s="1" t="s">
        <v>389</v>
      </c>
      <c r="D1420" s="1" t="s">
        <v>49</v>
      </c>
      <c r="E1420" s="1" t="s">
        <v>169</v>
      </c>
      <c r="F1420" s="1" t="s">
        <v>68</v>
      </c>
      <c r="G1420" s="1" t="s">
        <v>20</v>
      </c>
      <c r="H1420" s="1" t="s">
        <v>264</v>
      </c>
      <c r="I1420" s="1">
        <v>9</v>
      </c>
      <c r="J1420" s="1">
        <v>45.95</v>
      </c>
      <c r="K1420" s="1">
        <v>20</v>
      </c>
      <c r="L1420" s="1">
        <v>330.84</v>
      </c>
      <c r="M1420" s="1">
        <v>24.56</v>
      </c>
      <c r="N1420" s="1">
        <v>78.83</v>
      </c>
      <c r="O1420" s="6" t="s">
        <v>34</v>
      </c>
      <c r="P1420" s="8">
        <f>Table1[Quantity]*Table1[Unit_Price]</f>
        <v>413.55</v>
      </c>
      <c r="Q1420" s="1">
        <f>Table1[Profit]/Table1[Total_Sales]</f>
        <v>0.23827227662918632</v>
      </c>
      <c r="R1420" s="14">
        <f>Table1[Total_Sales]+Table1[Shipping_Cost]</f>
        <v>355.4</v>
      </c>
    </row>
    <row r="1421" spans="1:18" x14ac:dyDescent="0.35">
      <c r="A1421" s="3" t="s">
        <v>2684</v>
      </c>
      <c r="B1421" s="2">
        <v>45730</v>
      </c>
      <c r="C1421" s="1" t="s">
        <v>2685</v>
      </c>
      <c r="D1421" s="1" t="s">
        <v>49</v>
      </c>
      <c r="E1421" s="1" t="s">
        <v>31</v>
      </c>
      <c r="F1421" s="1" t="s">
        <v>19</v>
      </c>
      <c r="G1421" s="1" t="s">
        <v>69</v>
      </c>
      <c r="H1421" s="1" t="s">
        <v>70</v>
      </c>
      <c r="I1421" s="1">
        <v>1</v>
      </c>
      <c r="J1421" s="1">
        <v>48.23</v>
      </c>
      <c r="K1421" s="1">
        <v>0</v>
      </c>
      <c r="L1421" s="1">
        <v>48.23</v>
      </c>
      <c r="M1421" s="1">
        <v>6.21</v>
      </c>
      <c r="N1421" s="1">
        <v>17.899999999999999</v>
      </c>
      <c r="O1421" s="6" t="s">
        <v>56</v>
      </c>
      <c r="P1421" s="8">
        <f>Table1[Quantity]*Table1[Unit_Price]</f>
        <v>48.23</v>
      </c>
      <c r="Q1421" s="1">
        <f>Table1[Profit]/Table1[Total_Sales]</f>
        <v>0.37113829566659756</v>
      </c>
      <c r="R1421" s="14">
        <f>Table1[Total_Sales]+Table1[Shipping_Cost]</f>
        <v>54.44</v>
      </c>
    </row>
    <row r="1422" spans="1:18" x14ac:dyDescent="0.35">
      <c r="A1422" s="3" t="s">
        <v>2686</v>
      </c>
      <c r="B1422" s="2">
        <v>45731</v>
      </c>
      <c r="C1422" s="1" t="s">
        <v>1164</v>
      </c>
      <c r="D1422" s="1" t="s">
        <v>49</v>
      </c>
      <c r="E1422" s="1" t="s">
        <v>31</v>
      </c>
      <c r="F1422" s="1" t="s">
        <v>19</v>
      </c>
      <c r="G1422" s="1" t="s">
        <v>32</v>
      </c>
      <c r="H1422" s="1" t="s">
        <v>110</v>
      </c>
      <c r="I1422" s="1">
        <v>5</v>
      </c>
      <c r="J1422" s="1">
        <v>13.18</v>
      </c>
      <c r="K1422" s="1">
        <v>20</v>
      </c>
      <c r="L1422" s="1">
        <v>52.72</v>
      </c>
      <c r="M1422" s="1">
        <v>12.13</v>
      </c>
      <c r="N1422" s="1">
        <v>10.93</v>
      </c>
      <c r="O1422" s="6" t="s">
        <v>56</v>
      </c>
      <c r="P1422" s="8">
        <f>Table1[Quantity]*Table1[Unit_Price]</f>
        <v>65.900000000000006</v>
      </c>
      <c r="Q1422" s="1">
        <f>Table1[Profit]/Table1[Total_Sales]</f>
        <v>0.20732169954476479</v>
      </c>
      <c r="R1422" s="14">
        <f>Table1[Total_Sales]+Table1[Shipping_Cost]</f>
        <v>64.849999999999994</v>
      </c>
    </row>
    <row r="1423" spans="1:18" x14ac:dyDescent="0.35">
      <c r="A1423" s="3" t="s">
        <v>2687</v>
      </c>
      <c r="B1423" s="2">
        <v>45731</v>
      </c>
      <c r="C1423" s="1" t="s">
        <v>2688</v>
      </c>
      <c r="D1423" s="1" t="s">
        <v>30</v>
      </c>
      <c r="E1423" s="1" t="s">
        <v>18</v>
      </c>
      <c r="F1423" s="1" t="s">
        <v>19</v>
      </c>
      <c r="G1423" s="1" t="s">
        <v>69</v>
      </c>
      <c r="H1423" s="1" t="s">
        <v>243</v>
      </c>
      <c r="I1423" s="1">
        <v>1</v>
      </c>
      <c r="J1423" s="1">
        <v>17.18</v>
      </c>
      <c r="K1423" s="1">
        <v>0</v>
      </c>
      <c r="L1423" s="1">
        <v>17.18</v>
      </c>
      <c r="M1423" s="1">
        <v>7.15</v>
      </c>
      <c r="N1423" s="1">
        <v>1.44</v>
      </c>
      <c r="O1423" s="6" t="s">
        <v>39</v>
      </c>
      <c r="P1423" s="8">
        <f>Table1[Quantity]*Table1[Unit_Price]</f>
        <v>17.18</v>
      </c>
      <c r="Q1423" s="1">
        <f>Table1[Profit]/Table1[Total_Sales]</f>
        <v>8.381839348079162E-2</v>
      </c>
      <c r="R1423" s="14">
        <f>Table1[Total_Sales]+Table1[Shipping_Cost]</f>
        <v>24.33</v>
      </c>
    </row>
    <row r="1424" spans="1:18" x14ac:dyDescent="0.35">
      <c r="A1424" s="3" t="s">
        <v>2689</v>
      </c>
      <c r="B1424" s="2">
        <v>45731</v>
      </c>
      <c r="C1424" s="1" t="s">
        <v>831</v>
      </c>
      <c r="D1424" s="1" t="s">
        <v>30</v>
      </c>
      <c r="E1424" s="1" t="s">
        <v>135</v>
      </c>
      <c r="F1424" s="1" t="s">
        <v>26</v>
      </c>
      <c r="G1424" s="1" t="s">
        <v>42</v>
      </c>
      <c r="H1424" s="1" t="s">
        <v>46</v>
      </c>
      <c r="I1424" s="1">
        <v>2</v>
      </c>
      <c r="J1424" s="1">
        <v>135.69</v>
      </c>
      <c r="K1424" s="1">
        <v>10</v>
      </c>
      <c r="L1424" s="1">
        <v>244.24</v>
      </c>
      <c r="M1424" s="1">
        <v>8.42</v>
      </c>
      <c r="N1424" s="1">
        <v>72.989999999999995</v>
      </c>
      <c r="O1424" s="6" t="s">
        <v>39</v>
      </c>
      <c r="P1424" s="8">
        <f>Table1[Quantity]*Table1[Unit_Price]</f>
        <v>271.38</v>
      </c>
      <c r="Q1424" s="1">
        <f>Table1[Profit]/Table1[Total_Sales]</f>
        <v>0.29884539796921056</v>
      </c>
      <c r="R1424" s="14">
        <f>Table1[Total_Sales]+Table1[Shipping_Cost]</f>
        <v>252.66</v>
      </c>
    </row>
    <row r="1425" spans="1:18" x14ac:dyDescent="0.35">
      <c r="A1425" s="3" t="s">
        <v>2690</v>
      </c>
      <c r="B1425" s="2">
        <v>45732</v>
      </c>
      <c r="C1425" s="1" t="s">
        <v>2691</v>
      </c>
      <c r="D1425" s="1" t="s">
        <v>49</v>
      </c>
      <c r="E1425" s="1" t="s">
        <v>76</v>
      </c>
      <c r="F1425" s="1" t="s">
        <v>26</v>
      </c>
      <c r="G1425" s="1" t="s">
        <v>69</v>
      </c>
      <c r="H1425" s="1" t="s">
        <v>160</v>
      </c>
      <c r="I1425" s="1">
        <v>1</v>
      </c>
      <c r="J1425" s="1">
        <v>34.17</v>
      </c>
      <c r="K1425" s="1">
        <v>5</v>
      </c>
      <c r="L1425" s="1">
        <v>32.46</v>
      </c>
      <c r="M1425" s="1">
        <v>8.6999999999999993</v>
      </c>
      <c r="N1425" s="1">
        <v>6.68</v>
      </c>
      <c r="O1425" s="6" t="s">
        <v>56</v>
      </c>
      <c r="P1425" s="8">
        <f>Table1[Quantity]*Table1[Unit_Price]</f>
        <v>34.17</v>
      </c>
      <c r="Q1425" s="1">
        <f>Table1[Profit]/Table1[Total_Sales]</f>
        <v>0.20579174368453479</v>
      </c>
      <c r="R1425" s="14">
        <f>Table1[Total_Sales]+Table1[Shipping_Cost]</f>
        <v>41.16</v>
      </c>
    </row>
    <row r="1426" spans="1:18" x14ac:dyDescent="0.35">
      <c r="A1426" s="3" t="s">
        <v>2692</v>
      </c>
      <c r="B1426" s="2">
        <v>45732</v>
      </c>
      <c r="C1426" s="1" t="s">
        <v>2693</v>
      </c>
      <c r="D1426" s="1" t="s">
        <v>49</v>
      </c>
      <c r="E1426" s="1" t="s">
        <v>37</v>
      </c>
      <c r="F1426" s="1" t="s">
        <v>26</v>
      </c>
      <c r="G1426" s="1" t="s">
        <v>20</v>
      </c>
      <c r="H1426" s="1" t="s">
        <v>38</v>
      </c>
      <c r="I1426" s="1">
        <v>2</v>
      </c>
      <c r="J1426" s="1">
        <v>51.32</v>
      </c>
      <c r="K1426" s="1">
        <v>20</v>
      </c>
      <c r="L1426" s="1">
        <v>82.11</v>
      </c>
      <c r="M1426" s="1">
        <v>11.91</v>
      </c>
      <c r="N1426" s="1">
        <v>13.75</v>
      </c>
      <c r="O1426" s="6" t="s">
        <v>34</v>
      </c>
      <c r="P1426" s="8">
        <f>Table1[Quantity]*Table1[Unit_Price]</f>
        <v>102.64</v>
      </c>
      <c r="Q1426" s="1">
        <f>Table1[Profit]/Table1[Total_Sales]</f>
        <v>0.16745828766289125</v>
      </c>
      <c r="R1426" s="14">
        <f>Table1[Total_Sales]+Table1[Shipping_Cost]</f>
        <v>94.02</v>
      </c>
    </row>
    <row r="1427" spans="1:18" x14ac:dyDescent="0.35">
      <c r="A1427" s="3" t="s">
        <v>2694</v>
      </c>
      <c r="B1427" s="2">
        <v>45732</v>
      </c>
      <c r="C1427" s="1" t="s">
        <v>1227</v>
      </c>
      <c r="D1427" s="1" t="s">
        <v>49</v>
      </c>
      <c r="E1427" s="1" t="s">
        <v>31</v>
      </c>
      <c r="F1427" s="1" t="s">
        <v>19</v>
      </c>
      <c r="G1427" s="1" t="s">
        <v>69</v>
      </c>
      <c r="H1427" s="1" t="s">
        <v>79</v>
      </c>
      <c r="I1427" s="1">
        <v>9</v>
      </c>
      <c r="J1427" s="1">
        <v>64.33</v>
      </c>
      <c r="K1427" s="1">
        <v>5</v>
      </c>
      <c r="L1427" s="1">
        <v>550.02</v>
      </c>
      <c r="M1427" s="1">
        <v>22.61</v>
      </c>
      <c r="N1427" s="1">
        <v>237.92</v>
      </c>
      <c r="O1427" s="6" t="s">
        <v>39</v>
      </c>
      <c r="P1427" s="8">
        <f>Table1[Quantity]*Table1[Unit_Price]</f>
        <v>578.97</v>
      </c>
      <c r="Q1427" s="1">
        <f>Table1[Profit]/Table1[Total_Sales]</f>
        <v>0.43256608850587253</v>
      </c>
      <c r="R1427" s="14">
        <f>Table1[Total_Sales]+Table1[Shipping_Cost]</f>
        <v>572.63</v>
      </c>
    </row>
    <row r="1428" spans="1:18" x14ac:dyDescent="0.35">
      <c r="A1428" s="3" t="s">
        <v>2695</v>
      </c>
      <c r="B1428" s="2">
        <v>45733</v>
      </c>
      <c r="C1428" s="1" t="s">
        <v>2696</v>
      </c>
      <c r="D1428" s="1" t="s">
        <v>30</v>
      </c>
      <c r="E1428" s="1" t="s">
        <v>248</v>
      </c>
      <c r="F1428" s="1" t="s">
        <v>26</v>
      </c>
      <c r="G1428" s="1" t="s">
        <v>42</v>
      </c>
      <c r="H1428" s="1" t="s">
        <v>371</v>
      </c>
      <c r="I1428" s="1">
        <v>3</v>
      </c>
      <c r="J1428" s="1">
        <v>137.47</v>
      </c>
      <c r="K1428" s="1">
        <v>10</v>
      </c>
      <c r="L1428" s="1">
        <v>371.17</v>
      </c>
      <c r="M1428" s="1">
        <v>12.7</v>
      </c>
      <c r="N1428" s="1">
        <v>111.02</v>
      </c>
      <c r="O1428" s="6" t="s">
        <v>39</v>
      </c>
      <c r="P1428" s="8">
        <f>Table1[Quantity]*Table1[Unit_Price]</f>
        <v>412.40999999999997</v>
      </c>
      <c r="Q1428" s="1">
        <f>Table1[Profit]/Table1[Total_Sales]</f>
        <v>0.29910822534148768</v>
      </c>
      <c r="R1428" s="14">
        <f>Table1[Total_Sales]+Table1[Shipping_Cost]</f>
        <v>383.87</v>
      </c>
    </row>
    <row r="1429" spans="1:18" x14ac:dyDescent="0.35">
      <c r="A1429" s="3" t="s">
        <v>2697</v>
      </c>
      <c r="B1429" s="2">
        <v>45734</v>
      </c>
      <c r="C1429" s="1" t="s">
        <v>413</v>
      </c>
      <c r="D1429" s="1" t="s">
        <v>30</v>
      </c>
      <c r="E1429" s="1" t="s">
        <v>85</v>
      </c>
      <c r="F1429" s="1" t="s">
        <v>60</v>
      </c>
      <c r="G1429" s="1" t="s">
        <v>69</v>
      </c>
      <c r="H1429" s="1" t="s">
        <v>163</v>
      </c>
      <c r="I1429" s="1">
        <v>1</v>
      </c>
      <c r="J1429" s="1">
        <v>61.85</v>
      </c>
      <c r="K1429" s="1">
        <v>0</v>
      </c>
      <c r="L1429" s="1">
        <v>61.85</v>
      </c>
      <c r="M1429" s="1">
        <v>11.16</v>
      </c>
      <c r="N1429" s="1">
        <v>19.77</v>
      </c>
      <c r="O1429" s="6" t="s">
        <v>39</v>
      </c>
      <c r="P1429" s="8">
        <f>Table1[Quantity]*Table1[Unit_Price]</f>
        <v>61.85</v>
      </c>
      <c r="Q1429" s="1">
        <f>Table1[Profit]/Table1[Total_Sales]</f>
        <v>0.31964430072756667</v>
      </c>
      <c r="R1429" s="14">
        <f>Table1[Total_Sales]+Table1[Shipping_Cost]</f>
        <v>73.010000000000005</v>
      </c>
    </row>
    <row r="1430" spans="1:18" x14ac:dyDescent="0.35">
      <c r="A1430" s="3" t="s">
        <v>2698</v>
      </c>
      <c r="B1430" s="2">
        <v>45734</v>
      </c>
      <c r="C1430" s="1" t="s">
        <v>2699</v>
      </c>
      <c r="D1430" s="1" t="s">
        <v>17</v>
      </c>
      <c r="E1430" s="1" t="s">
        <v>63</v>
      </c>
      <c r="F1430" s="1" t="s">
        <v>54</v>
      </c>
      <c r="G1430" s="1" t="s">
        <v>20</v>
      </c>
      <c r="H1430" s="1" t="s">
        <v>106</v>
      </c>
      <c r="I1430" s="1">
        <v>4</v>
      </c>
      <c r="J1430" s="1">
        <v>67.37</v>
      </c>
      <c r="K1430" s="1">
        <v>10</v>
      </c>
      <c r="L1430" s="1">
        <v>242.53</v>
      </c>
      <c r="M1430" s="1">
        <v>15.81</v>
      </c>
      <c r="N1430" s="1">
        <v>78.510000000000005</v>
      </c>
      <c r="O1430" s="6" t="s">
        <v>39</v>
      </c>
      <c r="P1430" s="8">
        <f>Table1[Quantity]*Table1[Unit_Price]</f>
        <v>269.48</v>
      </c>
      <c r="Q1430" s="1">
        <f>Table1[Profit]/Table1[Total_Sales]</f>
        <v>0.32371253040860926</v>
      </c>
      <c r="R1430" s="14">
        <f>Table1[Total_Sales]+Table1[Shipping_Cost]</f>
        <v>258.33999999999997</v>
      </c>
    </row>
    <row r="1431" spans="1:18" x14ac:dyDescent="0.35">
      <c r="A1431" s="3" t="s">
        <v>2700</v>
      </c>
      <c r="B1431" s="2">
        <v>45735</v>
      </c>
      <c r="C1431" s="1" t="s">
        <v>2701</v>
      </c>
      <c r="D1431" s="1" t="s">
        <v>30</v>
      </c>
      <c r="E1431" s="1" t="s">
        <v>31</v>
      </c>
      <c r="F1431" s="1" t="s">
        <v>19</v>
      </c>
      <c r="G1431" s="1" t="s">
        <v>20</v>
      </c>
      <c r="H1431" s="1" t="s">
        <v>38</v>
      </c>
      <c r="I1431" s="1">
        <v>3</v>
      </c>
      <c r="J1431" s="1">
        <v>81.59</v>
      </c>
      <c r="K1431" s="1">
        <v>5</v>
      </c>
      <c r="L1431" s="1">
        <v>232.53</v>
      </c>
      <c r="M1431" s="1">
        <v>7.31</v>
      </c>
      <c r="N1431" s="1">
        <v>90.6</v>
      </c>
      <c r="O1431" s="6" t="s">
        <v>39</v>
      </c>
      <c r="P1431" s="8">
        <f>Table1[Quantity]*Table1[Unit_Price]</f>
        <v>244.77</v>
      </c>
      <c r="Q1431" s="1">
        <f>Table1[Profit]/Table1[Total_Sales]</f>
        <v>0.38962714488453098</v>
      </c>
      <c r="R1431" s="14">
        <f>Table1[Total_Sales]+Table1[Shipping_Cost]</f>
        <v>239.84</v>
      </c>
    </row>
    <row r="1432" spans="1:18" x14ac:dyDescent="0.35">
      <c r="A1432" s="3" t="s">
        <v>2702</v>
      </c>
      <c r="B1432" s="2">
        <v>45736</v>
      </c>
      <c r="C1432" s="1" t="s">
        <v>2703</v>
      </c>
      <c r="D1432" s="1" t="s">
        <v>30</v>
      </c>
      <c r="E1432" s="1" t="s">
        <v>166</v>
      </c>
      <c r="F1432" s="1" t="s">
        <v>60</v>
      </c>
      <c r="G1432" s="1" t="s">
        <v>42</v>
      </c>
      <c r="H1432" s="1" t="s">
        <v>255</v>
      </c>
      <c r="I1432" s="1">
        <v>3</v>
      </c>
      <c r="J1432" s="1">
        <v>48.66</v>
      </c>
      <c r="K1432" s="1">
        <v>5</v>
      </c>
      <c r="L1432" s="1">
        <v>138.68</v>
      </c>
      <c r="M1432" s="1">
        <v>11.5</v>
      </c>
      <c r="N1432" s="1">
        <v>39.590000000000003</v>
      </c>
      <c r="O1432" s="6" t="s">
        <v>22</v>
      </c>
      <c r="P1432" s="8">
        <f>Table1[Quantity]*Table1[Unit_Price]</f>
        <v>145.97999999999999</v>
      </c>
      <c r="Q1432" s="1">
        <f>Table1[Profit]/Table1[Total_Sales]</f>
        <v>0.28547735794635132</v>
      </c>
      <c r="R1432" s="14">
        <f>Table1[Total_Sales]+Table1[Shipping_Cost]</f>
        <v>150.18</v>
      </c>
    </row>
    <row r="1433" spans="1:18" x14ac:dyDescent="0.35">
      <c r="A1433" s="3" t="s">
        <v>2704</v>
      </c>
      <c r="B1433" s="2">
        <v>45736</v>
      </c>
      <c r="C1433" s="1" t="s">
        <v>2705</v>
      </c>
      <c r="D1433" s="1" t="s">
        <v>17</v>
      </c>
      <c r="E1433" s="1" t="s">
        <v>18</v>
      </c>
      <c r="F1433" s="1" t="s">
        <v>19</v>
      </c>
      <c r="G1433" s="1" t="s">
        <v>69</v>
      </c>
      <c r="H1433" s="1" t="s">
        <v>196</v>
      </c>
      <c r="I1433" s="1">
        <v>7</v>
      </c>
      <c r="J1433" s="1">
        <v>29.97</v>
      </c>
      <c r="K1433" s="1">
        <v>5</v>
      </c>
      <c r="L1433" s="1">
        <v>199.3</v>
      </c>
      <c r="M1433" s="1">
        <v>15.57</v>
      </c>
      <c r="N1433" s="1">
        <v>78.84</v>
      </c>
      <c r="O1433" s="6" t="s">
        <v>56</v>
      </c>
      <c r="P1433" s="8">
        <f>Table1[Quantity]*Table1[Unit_Price]</f>
        <v>209.79</v>
      </c>
      <c r="Q1433" s="1">
        <f>Table1[Profit]/Table1[Total_Sales]</f>
        <v>0.39558454591068742</v>
      </c>
      <c r="R1433" s="14">
        <f>Table1[Total_Sales]+Table1[Shipping_Cost]</f>
        <v>214.87</v>
      </c>
    </row>
    <row r="1434" spans="1:18" x14ac:dyDescent="0.35">
      <c r="A1434" s="3" t="s">
        <v>2706</v>
      </c>
      <c r="B1434" s="2">
        <v>45737</v>
      </c>
      <c r="C1434" s="1" t="s">
        <v>2122</v>
      </c>
      <c r="D1434" s="1" t="s">
        <v>17</v>
      </c>
      <c r="E1434" s="1" t="s">
        <v>53</v>
      </c>
      <c r="F1434" s="1" t="s">
        <v>54</v>
      </c>
      <c r="G1434" s="1" t="s">
        <v>20</v>
      </c>
      <c r="H1434" s="1" t="s">
        <v>170</v>
      </c>
      <c r="I1434" s="1">
        <v>1</v>
      </c>
      <c r="J1434" s="1">
        <v>29.02</v>
      </c>
      <c r="K1434" s="1">
        <v>5</v>
      </c>
      <c r="L1434" s="1">
        <v>27.57</v>
      </c>
      <c r="M1434" s="1">
        <v>11.87</v>
      </c>
      <c r="N1434" s="1">
        <v>-0.26</v>
      </c>
      <c r="O1434" s="6" t="s">
        <v>22</v>
      </c>
      <c r="P1434" s="8">
        <f>Table1[Quantity]*Table1[Unit_Price]</f>
        <v>29.02</v>
      </c>
      <c r="Q1434" s="1">
        <f>Table1[Profit]/Table1[Total_Sales]</f>
        <v>-9.4305404425099743E-3</v>
      </c>
      <c r="R1434" s="14">
        <f>Table1[Total_Sales]+Table1[Shipping_Cost]</f>
        <v>39.44</v>
      </c>
    </row>
    <row r="1435" spans="1:18" x14ac:dyDescent="0.35">
      <c r="A1435" s="3" t="s">
        <v>2707</v>
      </c>
      <c r="B1435" s="2">
        <v>45738</v>
      </c>
      <c r="C1435" s="1" t="s">
        <v>2708</v>
      </c>
      <c r="D1435" s="1" t="s">
        <v>17</v>
      </c>
      <c r="E1435" s="1" t="s">
        <v>135</v>
      </c>
      <c r="F1435" s="1" t="s">
        <v>26</v>
      </c>
      <c r="G1435" s="1" t="s">
        <v>42</v>
      </c>
      <c r="H1435" s="1" t="s">
        <v>118</v>
      </c>
      <c r="I1435" s="1">
        <v>2</v>
      </c>
      <c r="J1435" s="1">
        <v>78.8</v>
      </c>
      <c r="K1435" s="1">
        <v>5</v>
      </c>
      <c r="L1435" s="1">
        <v>149.72</v>
      </c>
      <c r="M1435" s="1">
        <v>11.19</v>
      </c>
      <c r="N1435" s="1">
        <v>43.97</v>
      </c>
      <c r="O1435" s="6" t="s">
        <v>39</v>
      </c>
      <c r="P1435" s="8">
        <f>Table1[Quantity]*Table1[Unit_Price]</f>
        <v>157.6</v>
      </c>
      <c r="Q1435" s="1">
        <f>Table1[Profit]/Table1[Total_Sales]</f>
        <v>0.2936815388725621</v>
      </c>
      <c r="R1435" s="14">
        <f>Table1[Total_Sales]+Table1[Shipping_Cost]</f>
        <v>160.91</v>
      </c>
    </row>
    <row r="1436" spans="1:18" x14ac:dyDescent="0.35">
      <c r="A1436" s="3" t="s">
        <v>2709</v>
      </c>
      <c r="B1436" s="2">
        <v>45738</v>
      </c>
      <c r="C1436" s="1" t="s">
        <v>2710</v>
      </c>
      <c r="D1436" s="1" t="s">
        <v>30</v>
      </c>
      <c r="E1436" s="1" t="s">
        <v>25</v>
      </c>
      <c r="F1436" s="1" t="s">
        <v>26</v>
      </c>
      <c r="G1436" s="1" t="s">
        <v>20</v>
      </c>
      <c r="H1436" s="1" t="s">
        <v>38</v>
      </c>
      <c r="I1436" s="1">
        <v>2</v>
      </c>
      <c r="J1436" s="1">
        <v>67.91</v>
      </c>
      <c r="K1436" s="1">
        <v>0</v>
      </c>
      <c r="L1436" s="1">
        <v>135.82</v>
      </c>
      <c r="M1436" s="1">
        <v>8.98</v>
      </c>
      <c r="N1436" s="1">
        <v>52.14</v>
      </c>
      <c r="O1436" s="6" t="s">
        <v>39</v>
      </c>
      <c r="P1436" s="8">
        <f>Table1[Quantity]*Table1[Unit_Price]</f>
        <v>135.82</v>
      </c>
      <c r="Q1436" s="1">
        <f>Table1[Profit]/Table1[Total_Sales]</f>
        <v>0.38389044323369165</v>
      </c>
      <c r="R1436" s="14">
        <f>Table1[Total_Sales]+Table1[Shipping_Cost]</f>
        <v>144.79999999999998</v>
      </c>
    </row>
    <row r="1437" spans="1:18" x14ac:dyDescent="0.35">
      <c r="A1437" s="3" t="s">
        <v>2711</v>
      </c>
      <c r="B1437" s="2">
        <v>45741</v>
      </c>
      <c r="C1437" s="1" t="s">
        <v>2712</v>
      </c>
      <c r="D1437" s="1" t="s">
        <v>49</v>
      </c>
      <c r="E1437" s="1" t="s">
        <v>31</v>
      </c>
      <c r="F1437" s="1" t="s">
        <v>19</v>
      </c>
      <c r="G1437" s="1" t="s">
        <v>32</v>
      </c>
      <c r="H1437" s="1" t="s">
        <v>50</v>
      </c>
      <c r="I1437" s="1">
        <v>3</v>
      </c>
      <c r="J1437" s="1">
        <v>17.48</v>
      </c>
      <c r="K1437" s="1">
        <v>10</v>
      </c>
      <c r="L1437" s="1">
        <v>47.2</v>
      </c>
      <c r="M1437" s="1">
        <v>7.91</v>
      </c>
      <c r="N1437" s="1">
        <v>15.69</v>
      </c>
      <c r="O1437" s="6" t="s">
        <v>39</v>
      </c>
      <c r="P1437" s="8">
        <f>Table1[Quantity]*Table1[Unit_Price]</f>
        <v>52.44</v>
      </c>
      <c r="Q1437" s="1">
        <f>Table1[Profit]/Table1[Total_Sales]</f>
        <v>0.33241525423728813</v>
      </c>
      <c r="R1437" s="14">
        <f>Table1[Total_Sales]+Table1[Shipping_Cost]</f>
        <v>55.11</v>
      </c>
    </row>
    <row r="1438" spans="1:18" x14ac:dyDescent="0.35">
      <c r="A1438" s="3" t="s">
        <v>2713</v>
      </c>
      <c r="B1438" s="2">
        <v>45742</v>
      </c>
      <c r="C1438" s="1" t="s">
        <v>2714</v>
      </c>
      <c r="D1438" s="1" t="s">
        <v>49</v>
      </c>
      <c r="E1438" s="1" t="s">
        <v>135</v>
      </c>
      <c r="F1438" s="1" t="s">
        <v>26</v>
      </c>
      <c r="G1438" s="1" t="s">
        <v>69</v>
      </c>
      <c r="H1438" s="1" t="s">
        <v>70</v>
      </c>
      <c r="I1438" s="1">
        <v>2</v>
      </c>
      <c r="J1438" s="1">
        <v>55.31</v>
      </c>
      <c r="K1438" s="1">
        <v>10</v>
      </c>
      <c r="L1438" s="1">
        <v>99.56</v>
      </c>
      <c r="M1438" s="1">
        <v>10.62</v>
      </c>
      <c r="N1438" s="1">
        <v>33.630000000000003</v>
      </c>
      <c r="O1438" s="6" t="s">
        <v>39</v>
      </c>
      <c r="P1438" s="8">
        <f>Table1[Quantity]*Table1[Unit_Price]</f>
        <v>110.62</v>
      </c>
      <c r="Q1438" s="1">
        <f>Table1[Profit]/Table1[Total_Sales]</f>
        <v>0.33778625954198477</v>
      </c>
      <c r="R1438" s="14">
        <f>Table1[Total_Sales]+Table1[Shipping_Cost]</f>
        <v>110.18</v>
      </c>
    </row>
    <row r="1439" spans="1:18" x14ac:dyDescent="0.35">
      <c r="A1439" s="3" t="s">
        <v>2715</v>
      </c>
      <c r="B1439" s="2">
        <v>45742</v>
      </c>
      <c r="C1439" s="1" t="s">
        <v>2716</v>
      </c>
      <c r="D1439" s="1" t="s">
        <v>49</v>
      </c>
      <c r="E1439" s="1" t="s">
        <v>31</v>
      </c>
      <c r="F1439" s="1" t="s">
        <v>19</v>
      </c>
      <c r="G1439" s="1" t="s">
        <v>20</v>
      </c>
      <c r="H1439" s="1" t="s">
        <v>175</v>
      </c>
      <c r="I1439" s="1">
        <v>5</v>
      </c>
      <c r="J1439" s="1">
        <v>25.46</v>
      </c>
      <c r="K1439" s="1">
        <v>5</v>
      </c>
      <c r="L1439" s="1">
        <v>120.94</v>
      </c>
      <c r="M1439" s="1">
        <v>16.36</v>
      </c>
      <c r="N1439" s="1">
        <v>34.56</v>
      </c>
      <c r="O1439" s="6" t="s">
        <v>34</v>
      </c>
      <c r="P1439" s="8">
        <f>Table1[Quantity]*Table1[Unit_Price]</f>
        <v>127.30000000000001</v>
      </c>
      <c r="Q1439" s="1">
        <f>Table1[Profit]/Table1[Total_Sales]</f>
        <v>0.28576153464527865</v>
      </c>
      <c r="R1439" s="14">
        <f>Table1[Total_Sales]+Table1[Shipping_Cost]</f>
        <v>137.30000000000001</v>
      </c>
    </row>
    <row r="1440" spans="1:18" x14ac:dyDescent="0.35">
      <c r="A1440" s="3" t="s">
        <v>2717</v>
      </c>
      <c r="B1440" s="2">
        <v>45742</v>
      </c>
      <c r="C1440" s="1" t="s">
        <v>2718</v>
      </c>
      <c r="D1440" s="1" t="s">
        <v>17</v>
      </c>
      <c r="E1440" s="1" t="s">
        <v>37</v>
      </c>
      <c r="F1440" s="1" t="s">
        <v>26</v>
      </c>
      <c r="G1440" s="1" t="s">
        <v>32</v>
      </c>
      <c r="H1440" s="1" t="s">
        <v>132</v>
      </c>
      <c r="I1440" s="1">
        <v>4</v>
      </c>
      <c r="J1440" s="1">
        <v>19.04</v>
      </c>
      <c r="K1440" s="1">
        <v>5</v>
      </c>
      <c r="L1440" s="1">
        <v>72.349999999999994</v>
      </c>
      <c r="M1440" s="1">
        <v>13.88</v>
      </c>
      <c r="N1440" s="1">
        <v>24.2</v>
      </c>
      <c r="O1440" s="6" t="s">
        <v>34</v>
      </c>
      <c r="P1440" s="8">
        <f>Table1[Quantity]*Table1[Unit_Price]</f>
        <v>76.16</v>
      </c>
      <c r="Q1440" s="1">
        <f>Table1[Profit]/Table1[Total_Sales]</f>
        <v>0.33448514167242571</v>
      </c>
      <c r="R1440" s="14">
        <f>Table1[Total_Sales]+Table1[Shipping_Cost]</f>
        <v>86.22999999999999</v>
      </c>
    </row>
    <row r="1441" spans="1:18" x14ac:dyDescent="0.35">
      <c r="A1441" s="3" t="s">
        <v>2719</v>
      </c>
      <c r="B1441" s="2">
        <v>45742</v>
      </c>
      <c r="C1441" s="1" t="s">
        <v>2720</v>
      </c>
      <c r="D1441" s="1" t="s">
        <v>30</v>
      </c>
      <c r="E1441" s="1" t="s">
        <v>135</v>
      </c>
      <c r="F1441" s="1" t="s">
        <v>26</v>
      </c>
      <c r="G1441" s="1" t="s">
        <v>42</v>
      </c>
      <c r="H1441" s="1" t="s">
        <v>255</v>
      </c>
      <c r="I1441" s="1">
        <v>2</v>
      </c>
      <c r="J1441" s="1">
        <v>29.19</v>
      </c>
      <c r="K1441" s="1">
        <v>20</v>
      </c>
      <c r="L1441" s="1">
        <v>46.7</v>
      </c>
      <c r="M1441" s="1">
        <v>11.71</v>
      </c>
      <c r="N1441" s="1">
        <v>-0.04</v>
      </c>
      <c r="O1441" s="6" t="s">
        <v>34</v>
      </c>
      <c r="P1441" s="8">
        <f>Table1[Quantity]*Table1[Unit_Price]</f>
        <v>58.38</v>
      </c>
      <c r="Q1441" s="1">
        <f>Table1[Profit]/Table1[Total_Sales]</f>
        <v>-8.5653104925053529E-4</v>
      </c>
      <c r="R1441" s="14">
        <f>Table1[Total_Sales]+Table1[Shipping_Cost]</f>
        <v>58.410000000000004</v>
      </c>
    </row>
    <row r="1442" spans="1:18" x14ac:dyDescent="0.35">
      <c r="A1442" s="3" t="s">
        <v>2721</v>
      </c>
      <c r="B1442" s="2">
        <v>45743</v>
      </c>
      <c r="C1442" s="1" t="s">
        <v>2722</v>
      </c>
      <c r="D1442" s="1" t="s">
        <v>30</v>
      </c>
      <c r="E1442" s="1" t="s">
        <v>138</v>
      </c>
      <c r="F1442" s="1" t="s">
        <v>54</v>
      </c>
      <c r="G1442" s="1" t="s">
        <v>20</v>
      </c>
      <c r="H1442" s="1" t="s">
        <v>122</v>
      </c>
      <c r="I1442" s="1">
        <v>2</v>
      </c>
      <c r="J1442" s="1">
        <v>136.47999999999999</v>
      </c>
      <c r="K1442" s="1">
        <v>15</v>
      </c>
      <c r="L1442" s="1">
        <v>232.02</v>
      </c>
      <c r="M1442" s="1">
        <v>15.42</v>
      </c>
      <c r="N1442" s="1">
        <v>66.47</v>
      </c>
      <c r="O1442" s="6" t="s">
        <v>56</v>
      </c>
      <c r="P1442" s="8">
        <f>Table1[Quantity]*Table1[Unit_Price]</f>
        <v>272.95999999999998</v>
      </c>
      <c r="Q1442" s="1">
        <f>Table1[Profit]/Table1[Total_Sales]</f>
        <v>0.28648392379967241</v>
      </c>
      <c r="R1442" s="14">
        <f>Table1[Total_Sales]+Table1[Shipping_Cost]</f>
        <v>247.44</v>
      </c>
    </row>
    <row r="1443" spans="1:18" x14ac:dyDescent="0.35">
      <c r="A1443" s="3" t="s">
        <v>2723</v>
      </c>
      <c r="B1443" s="2">
        <v>45743</v>
      </c>
      <c r="C1443" s="1" t="s">
        <v>1090</v>
      </c>
      <c r="D1443" s="1" t="s">
        <v>30</v>
      </c>
      <c r="E1443" s="1" t="s">
        <v>148</v>
      </c>
      <c r="F1443" s="1" t="s">
        <v>60</v>
      </c>
      <c r="G1443" s="1" t="s">
        <v>32</v>
      </c>
      <c r="H1443" s="1" t="s">
        <v>101</v>
      </c>
      <c r="I1443" s="1">
        <v>2</v>
      </c>
      <c r="J1443" s="1">
        <v>20.22</v>
      </c>
      <c r="K1443" s="1">
        <v>25</v>
      </c>
      <c r="L1443" s="1">
        <v>30.33</v>
      </c>
      <c r="M1443" s="1">
        <v>10.69</v>
      </c>
      <c r="N1443" s="1">
        <v>1.44</v>
      </c>
      <c r="O1443" s="6" t="s">
        <v>39</v>
      </c>
      <c r="P1443" s="8">
        <f>Table1[Quantity]*Table1[Unit_Price]</f>
        <v>40.44</v>
      </c>
      <c r="Q1443" s="1">
        <f>Table1[Profit]/Table1[Total_Sales]</f>
        <v>4.7477744807121663E-2</v>
      </c>
      <c r="R1443" s="14">
        <f>Table1[Total_Sales]+Table1[Shipping_Cost]</f>
        <v>41.019999999999996</v>
      </c>
    </row>
    <row r="1444" spans="1:18" x14ac:dyDescent="0.35">
      <c r="A1444" s="3" t="s">
        <v>2724</v>
      </c>
      <c r="B1444" s="2">
        <v>45743</v>
      </c>
      <c r="C1444" s="1" t="s">
        <v>1475</v>
      </c>
      <c r="D1444" s="1" t="s">
        <v>30</v>
      </c>
      <c r="E1444" s="1" t="s">
        <v>129</v>
      </c>
      <c r="F1444" s="1" t="s">
        <v>19</v>
      </c>
      <c r="G1444" s="1" t="s">
        <v>20</v>
      </c>
      <c r="H1444" s="1" t="s">
        <v>175</v>
      </c>
      <c r="I1444" s="1">
        <v>2</v>
      </c>
      <c r="J1444" s="1">
        <v>48.96</v>
      </c>
      <c r="K1444" s="1">
        <v>5</v>
      </c>
      <c r="L1444" s="1">
        <v>93.02</v>
      </c>
      <c r="M1444" s="1">
        <v>9.1</v>
      </c>
      <c r="N1444" s="1">
        <v>30.06</v>
      </c>
      <c r="O1444" s="6" t="s">
        <v>39</v>
      </c>
      <c r="P1444" s="8">
        <f>Table1[Quantity]*Table1[Unit_Price]</f>
        <v>97.92</v>
      </c>
      <c r="Q1444" s="1">
        <f>Table1[Profit]/Table1[Total_Sales]</f>
        <v>0.32315631047086646</v>
      </c>
      <c r="R1444" s="14">
        <f>Table1[Total_Sales]+Table1[Shipping_Cost]</f>
        <v>102.11999999999999</v>
      </c>
    </row>
    <row r="1445" spans="1:18" x14ac:dyDescent="0.35">
      <c r="A1445" s="3" t="s">
        <v>2725</v>
      </c>
      <c r="B1445" s="2">
        <v>45744</v>
      </c>
      <c r="C1445" s="1" t="s">
        <v>916</v>
      </c>
      <c r="D1445" s="1" t="s">
        <v>49</v>
      </c>
      <c r="E1445" s="1" t="s">
        <v>18</v>
      </c>
      <c r="F1445" s="1" t="s">
        <v>19</v>
      </c>
      <c r="G1445" s="1" t="s">
        <v>69</v>
      </c>
      <c r="H1445" s="1" t="s">
        <v>163</v>
      </c>
      <c r="I1445" s="1">
        <v>1</v>
      </c>
      <c r="J1445" s="1">
        <v>47.73</v>
      </c>
      <c r="K1445" s="1">
        <v>5</v>
      </c>
      <c r="L1445" s="1">
        <v>45.34</v>
      </c>
      <c r="M1445" s="1">
        <v>5.94</v>
      </c>
      <c r="N1445" s="1">
        <v>15.54</v>
      </c>
      <c r="O1445" s="6" t="s">
        <v>39</v>
      </c>
      <c r="P1445" s="8">
        <f>Table1[Quantity]*Table1[Unit_Price]</f>
        <v>47.73</v>
      </c>
      <c r="Q1445" s="1">
        <f>Table1[Profit]/Table1[Total_Sales]</f>
        <v>0.34274371415968236</v>
      </c>
      <c r="R1445" s="14">
        <f>Table1[Total_Sales]+Table1[Shipping_Cost]</f>
        <v>51.28</v>
      </c>
    </row>
    <row r="1446" spans="1:18" x14ac:dyDescent="0.35">
      <c r="A1446" s="3" t="s">
        <v>2726</v>
      </c>
      <c r="B1446" s="2">
        <v>45745</v>
      </c>
      <c r="C1446" s="1" t="s">
        <v>2727</v>
      </c>
      <c r="D1446" s="1" t="s">
        <v>30</v>
      </c>
      <c r="E1446" s="1" t="s">
        <v>92</v>
      </c>
      <c r="F1446" s="1" t="s">
        <v>60</v>
      </c>
      <c r="G1446" s="1" t="s">
        <v>42</v>
      </c>
      <c r="H1446" s="1" t="s">
        <v>89</v>
      </c>
      <c r="I1446" s="1">
        <v>1</v>
      </c>
      <c r="J1446" s="1">
        <v>268.81</v>
      </c>
      <c r="K1446" s="1">
        <v>20</v>
      </c>
      <c r="L1446" s="1">
        <v>215.05</v>
      </c>
      <c r="M1446" s="1">
        <v>10.37</v>
      </c>
      <c r="N1446" s="1">
        <v>43.39</v>
      </c>
      <c r="O1446" s="6" t="s">
        <v>34</v>
      </c>
      <c r="P1446" s="8">
        <f>Table1[Quantity]*Table1[Unit_Price]</f>
        <v>268.81</v>
      </c>
      <c r="Q1446" s="1">
        <f>Table1[Profit]/Table1[Total_Sales]</f>
        <v>0.20176703092304116</v>
      </c>
      <c r="R1446" s="14">
        <f>Table1[Total_Sales]+Table1[Shipping_Cost]</f>
        <v>225.42000000000002</v>
      </c>
    </row>
    <row r="1447" spans="1:18" x14ac:dyDescent="0.35">
      <c r="A1447" s="3" t="s">
        <v>2728</v>
      </c>
      <c r="B1447" s="2">
        <v>45746</v>
      </c>
      <c r="C1447" s="1" t="s">
        <v>2729</v>
      </c>
      <c r="D1447" s="1" t="s">
        <v>49</v>
      </c>
      <c r="E1447" s="1" t="s">
        <v>63</v>
      </c>
      <c r="F1447" s="1" t="s">
        <v>54</v>
      </c>
      <c r="G1447" s="1" t="s">
        <v>20</v>
      </c>
      <c r="H1447" s="1" t="s">
        <v>170</v>
      </c>
      <c r="I1447" s="1">
        <v>9</v>
      </c>
      <c r="J1447" s="1">
        <v>50.88</v>
      </c>
      <c r="K1447" s="1">
        <v>10</v>
      </c>
      <c r="L1447" s="1">
        <v>412.13</v>
      </c>
      <c r="M1447" s="1">
        <v>17.34</v>
      </c>
      <c r="N1447" s="1">
        <v>142.93</v>
      </c>
      <c r="O1447" s="6" t="s">
        <v>39</v>
      </c>
      <c r="P1447" s="8">
        <f>Table1[Quantity]*Table1[Unit_Price]</f>
        <v>457.92</v>
      </c>
      <c r="Q1447" s="1">
        <f>Table1[Profit]/Table1[Total_Sales]</f>
        <v>0.34680804600490139</v>
      </c>
      <c r="R1447" s="14">
        <f>Table1[Total_Sales]+Table1[Shipping_Cost]</f>
        <v>429.46999999999997</v>
      </c>
    </row>
    <row r="1448" spans="1:18" x14ac:dyDescent="0.35">
      <c r="A1448" s="3" t="s">
        <v>2730</v>
      </c>
      <c r="B1448" s="2">
        <v>45746</v>
      </c>
      <c r="C1448" s="1" t="s">
        <v>2731</v>
      </c>
      <c r="D1448" s="1" t="s">
        <v>30</v>
      </c>
      <c r="E1448" s="1" t="s">
        <v>31</v>
      </c>
      <c r="F1448" s="1" t="s">
        <v>19</v>
      </c>
      <c r="G1448" s="1" t="s">
        <v>20</v>
      </c>
      <c r="H1448" s="1" t="s">
        <v>170</v>
      </c>
      <c r="I1448" s="1">
        <v>4</v>
      </c>
      <c r="J1448" s="1">
        <v>43.48</v>
      </c>
      <c r="K1448" s="1">
        <v>10</v>
      </c>
      <c r="L1448" s="1">
        <v>156.53</v>
      </c>
      <c r="M1448" s="1">
        <v>9.4600000000000009</v>
      </c>
      <c r="N1448" s="1">
        <v>51.41</v>
      </c>
      <c r="O1448" s="6" t="s">
        <v>34</v>
      </c>
      <c r="P1448" s="8">
        <f>Table1[Quantity]*Table1[Unit_Price]</f>
        <v>173.92</v>
      </c>
      <c r="Q1448" s="1">
        <f>Table1[Profit]/Table1[Total_Sales]</f>
        <v>0.32843544368491662</v>
      </c>
      <c r="R1448" s="14">
        <f>Table1[Total_Sales]+Table1[Shipping_Cost]</f>
        <v>165.99</v>
      </c>
    </row>
    <row r="1449" spans="1:18" x14ac:dyDescent="0.35">
      <c r="A1449" s="3" t="s">
        <v>2732</v>
      </c>
      <c r="B1449" s="2">
        <v>45747</v>
      </c>
      <c r="C1449" s="1" t="s">
        <v>2733</v>
      </c>
      <c r="D1449" s="1" t="s">
        <v>30</v>
      </c>
      <c r="E1449" s="1" t="s">
        <v>92</v>
      </c>
      <c r="F1449" s="1" t="s">
        <v>60</v>
      </c>
      <c r="G1449" s="1" t="s">
        <v>42</v>
      </c>
      <c r="H1449" s="1" t="s">
        <v>64</v>
      </c>
      <c r="I1449" s="1">
        <v>5</v>
      </c>
      <c r="J1449" s="1">
        <v>45.17</v>
      </c>
      <c r="K1449" s="1">
        <v>0</v>
      </c>
      <c r="L1449" s="1">
        <v>225.85</v>
      </c>
      <c r="M1449" s="1">
        <v>16.440000000000001</v>
      </c>
      <c r="N1449" s="1">
        <v>73.900000000000006</v>
      </c>
      <c r="O1449" s="6" t="s">
        <v>34</v>
      </c>
      <c r="P1449" s="8">
        <f>Table1[Quantity]*Table1[Unit_Price]</f>
        <v>225.85000000000002</v>
      </c>
      <c r="Q1449" s="1">
        <f>Table1[Profit]/Table1[Total_Sales]</f>
        <v>0.32720832410892187</v>
      </c>
      <c r="R1449" s="14">
        <f>Table1[Total_Sales]+Table1[Shipping_Cost]</f>
        <v>242.29</v>
      </c>
    </row>
    <row r="1450" spans="1:18" x14ac:dyDescent="0.35">
      <c r="A1450" s="3" t="s">
        <v>2734</v>
      </c>
      <c r="B1450" s="2">
        <v>45747</v>
      </c>
      <c r="C1450" s="1" t="s">
        <v>2735</v>
      </c>
      <c r="D1450" s="1" t="s">
        <v>17</v>
      </c>
      <c r="E1450" s="1" t="s">
        <v>37</v>
      </c>
      <c r="F1450" s="1" t="s">
        <v>26</v>
      </c>
      <c r="G1450" s="1" t="s">
        <v>20</v>
      </c>
      <c r="H1450" s="1" t="s">
        <v>21</v>
      </c>
      <c r="I1450" s="1">
        <v>1</v>
      </c>
      <c r="J1450" s="1">
        <v>77.8</v>
      </c>
      <c r="K1450" s="1">
        <v>15</v>
      </c>
      <c r="L1450" s="1">
        <v>66.13</v>
      </c>
      <c r="M1450" s="1">
        <v>9.26</v>
      </c>
      <c r="N1450" s="1">
        <v>14.08</v>
      </c>
      <c r="O1450" s="6" t="s">
        <v>56</v>
      </c>
      <c r="P1450" s="8">
        <f>Table1[Quantity]*Table1[Unit_Price]</f>
        <v>77.8</v>
      </c>
      <c r="Q1450" s="1">
        <f>Table1[Profit]/Table1[Total_Sales]</f>
        <v>0.21291395735672161</v>
      </c>
      <c r="R1450" s="14">
        <f>Table1[Total_Sales]+Table1[Shipping_Cost]</f>
        <v>75.39</v>
      </c>
    </row>
    <row r="1451" spans="1:18" x14ac:dyDescent="0.35">
      <c r="A1451" s="3" t="s">
        <v>2736</v>
      </c>
      <c r="B1451" s="2">
        <v>45747</v>
      </c>
      <c r="C1451" s="1" t="s">
        <v>2737</v>
      </c>
      <c r="D1451" s="1" t="s">
        <v>17</v>
      </c>
      <c r="E1451" s="1" t="s">
        <v>166</v>
      </c>
      <c r="F1451" s="1" t="s">
        <v>60</v>
      </c>
      <c r="G1451" s="1" t="s">
        <v>32</v>
      </c>
      <c r="H1451" s="1" t="s">
        <v>132</v>
      </c>
      <c r="I1451" s="1">
        <v>11</v>
      </c>
      <c r="J1451" s="1">
        <v>14.79</v>
      </c>
      <c r="K1451" s="1">
        <v>25</v>
      </c>
      <c r="L1451" s="1">
        <v>122.02</v>
      </c>
      <c r="M1451" s="1">
        <v>23.11</v>
      </c>
      <c r="N1451" s="1">
        <v>25.7</v>
      </c>
      <c r="O1451" s="6" t="s">
        <v>56</v>
      </c>
      <c r="P1451" s="8">
        <f>Table1[Quantity]*Table1[Unit_Price]</f>
        <v>162.69</v>
      </c>
      <c r="Q1451" s="1">
        <f>Table1[Profit]/Table1[Total_Sales]</f>
        <v>0.21062120963776429</v>
      </c>
      <c r="R1451" s="14">
        <f>Table1[Total_Sales]+Table1[Shipping_Cost]</f>
        <v>145.13</v>
      </c>
    </row>
    <row r="1452" spans="1:18" x14ac:dyDescent="0.35">
      <c r="A1452" s="3" t="s">
        <v>2738</v>
      </c>
      <c r="B1452" s="2">
        <v>45748</v>
      </c>
      <c r="C1452" s="1" t="s">
        <v>1369</v>
      </c>
      <c r="D1452" s="1" t="s">
        <v>17</v>
      </c>
      <c r="E1452" s="1" t="s">
        <v>138</v>
      </c>
      <c r="F1452" s="1" t="s">
        <v>54</v>
      </c>
      <c r="G1452" s="1" t="s">
        <v>32</v>
      </c>
      <c r="H1452" s="1" t="s">
        <v>115</v>
      </c>
      <c r="I1452" s="1">
        <v>6</v>
      </c>
      <c r="J1452" s="1">
        <v>17.829999999999998</v>
      </c>
      <c r="K1452" s="1">
        <v>5</v>
      </c>
      <c r="L1452" s="1">
        <v>101.63</v>
      </c>
      <c r="M1452" s="1">
        <v>21.4</v>
      </c>
      <c r="N1452" s="1">
        <v>32.090000000000003</v>
      </c>
      <c r="O1452" s="6" t="s">
        <v>56</v>
      </c>
      <c r="P1452" s="8">
        <f>Table1[Quantity]*Table1[Unit_Price]</f>
        <v>106.97999999999999</v>
      </c>
      <c r="Q1452" s="1">
        <f>Table1[Profit]/Table1[Total_Sales]</f>
        <v>0.3157532224736791</v>
      </c>
      <c r="R1452" s="14">
        <f>Table1[Total_Sales]+Table1[Shipping_Cost]</f>
        <v>123.03</v>
      </c>
    </row>
    <row r="1453" spans="1:18" x14ac:dyDescent="0.35">
      <c r="A1453" s="3" t="s">
        <v>2739</v>
      </c>
      <c r="B1453" s="2">
        <v>45749</v>
      </c>
      <c r="C1453" s="1" t="s">
        <v>2740</v>
      </c>
      <c r="D1453" s="1" t="s">
        <v>17</v>
      </c>
      <c r="E1453" s="1" t="s">
        <v>129</v>
      </c>
      <c r="F1453" s="1" t="s">
        <v>19</v>
      </c>
      <c r="G1453" s="1" t="s">
        <v>42</v>
      </c>
      <c r="H1453" s="1" t="s">
        <v>43</v>
      </c>
      <c r="I1453" s="1">
        <v>8</v>
      </c>
      <c r="J1453" s="1">
        <v>222.57</v>
      </c>
      <c r="K1453" s="1">
        <v>0</v>
      </c>
      <c r="L1453" s="1">
        <v>1780.56</v>
      </c>
      <c r="M1453" s="1">
        <v>10.29</v>
      </c>
      <c r="N1453" s="1">
        <v>701.93</v>
      </c>
      <c r="O1453" s="6" t="s">
        <v>39</v>
      </c>
      <c r="P1453" s="8">
        <f>Table1[Quantity]*Table1[Unit_Price]</f>
        <v>1780.56</v>
      </c>
      <c r="Q1453" s="1">
        <f>Table1[Profit]/Table1[Total_Sales]</f>
        <v>0.39421867277710382</v>
      </c>
      <c r="R1453" s="14">
        <f>Table1[Total_Sales]+Table1[Shipping_Cost]</f>
        <v>1790.85</v>
      </c>
    </row>
    <row r="1454" spans="1:18" x14ac:dyDescent="0.35">
      <c r="A1454" s="3" t="s">
        <v>2741</v>
      </c>
      <c r="B1454" s="2">
        <v>45749</v>
      </c>
      <c r="C1454" s="1" t="s">
        <v>2742</v>
      </c>
      <c r="D1454" s="1" t="s">
        <v>30</v>
      </c>
      <c r="E1454" s="1" t="s">
        <v>129</v>
      </c>
      <c r="F1454" s="1" t="s">
        <v>19</v>
      </c>
      <c r="G1454" s="1" t="s">
        <v>20</v>
      </c>
      <c r="H1454" s="1" t="s">
        <v>264</v>
      </c>
      <c r="I1454" s="1">
        <v>3</v>
      </c>
      <c r="J1454" s="1">
        <v>42.99</v>
      </c>
      <c r="K1454" s="1">
        <v>0</v>
      </c>
      <c r="L1454" s="1">
        <v>128.97</v>
      </c>
      <c r="M1454" s="1">
        <v>6.89</v>
      </c>
      <c r="N1454" s="1">
        <v>51.15</v>
      </c>
      <c r="O1454" s="6" t="s">
        <v>34</v>
      </c>
      <c r="P1454" s="8">
        <f>Table1[Quantity]*Table1[Unit_Price]</f>
        <v>128.97</v>
      </c>
      <c r="Q1454" s="1">
        <f>Table1[Profit]/Table1[Total_Sales]</f>
        <v>0.39660386136310771</v>
      </c>
      <c r="R1454" s="14">
        <f>Table1[Total_Sales]+Table1[Shipping_Cost]</f>
        <v>135.85999999999999</v>
      </c>
    </row>
    <row r="1455" spans="1:18" x14ac:dyDescent="0.35">
      <c r="A1455" s="3" t="s">
        <v>2743</v>
      </c>
      <c r="B1455" s="2">
        <v>45749</v>
      </c>
      <c r="C1455" s="1" t="s">
        <v>2744</v>
      </c>
      <c r="D1455" s="1" t="s">
        <v>30</v>
      </c>
      <c r="E1455" s="1" t="s">
        <v>85</v>
      </c>
      <c r="F1455" s="1" t="s">
        <v>60</v>
      </c>
      <c r="G1455" s="1" t="s">
        <v>32</v>
      </c>
      <c r="H1455" s="1" t="s">
        <v>132</v>
      </c>
      <c r="I1455" s="1">
        <v>14</v>
      </c>
      <c r="J1455" s="1">
        <v>11.48</v>
      </c>
      <c r="K1455" s="1">
        <v>0</v>
      </c>
      <c r="L1455" s="1">
        <v>160.72</v>
      </c>
      <c r="M1455" s="1">
        <v>39.83</v>
      </c>
      <c r="N1455" s="1">
        <v>48.57</v>
      </c>
      <c r="O1455" s="6" t="s">
        <v>39</v>
      </c>
      <c r="P1455" s="8">
        <f>Table1[Quantity]*Table1[Unit_Price]</f>
        <v>160.72</v>
      </c>
      <c r="Q1455" s="1">
        <f>Table1[Profit]/Table1[Total_Sales]</f>
        <v>0.30220258835241415</v>
      </c>
      <c r="R1455" s="14">
        <f>Table1[Total_Sales]+Table1[Shipping_Cost]</f>
        <v>200.55</v>
      </c>
    </row>
    <row r="1456" spans="1:18" x14ac:dyDescent="0.35">
      <c r="A1456" s="3" t="s">
        <v>2745</v>
      </c>
      <c r="B1456" s="2">
        <v>45751</v>
      </c>
      <c r="C1456" s="1" t="s">
        <v>2440</v>
      </c>
      <c r="D1456" s="1" t="s">
        <v>30</v>
      </c>
      <c r="E1456" s="1" t="s">
        <v>129</v>
      </c>
      <c r="F1456" s="1" t="s">
        <v>19</v>
      </c>
      <c r="G1456" s="1" t="s">
        <v>20</v>
      </c>
      <c r="H1456" s="1" t="s">
        <v>170</v>
      </c>
      <c r="I1456" s="1">
        <v>3</v>
      </c>
      <c r="J1456" s="1">
        <v>25.43</v>
      </c>
      <c r="K1456" s="1">
        <v>5</v>
      </c>
      <c r="L1456" s="1">
        <v>72.48</v>
      </c>
      <c r="M1456" s="1">
        <v>11.34</v>
      </c>
      <c r="N1456" s="1">
        <v>19.18</v>
      </c>
      <c r="O1456" s="6" t="s">
        <v>34</v>
      </c>
      <c r="P1456" s="8">
        <f>Table1[Quantity]*Table1[Unit_Price]</f>
        <v>76.289999999999992</v>
      </c>
      <c r="Q1456" s="1">
        <f>Table1[Profit]/Table1[Total_Sales]</f>
        <v>0.26462472406181015</v>
      </c>
      <c r="R1456" s="14">
        <f>Table1[Total_Sales]+Table1[Shipping_Cost]</f>
        <v>83.820000000000007</v>
      </c>
    </row>
    <row r="1457" spans="1:18" x14ac:dyDescent="0.35">
      <c r="A1457" s="3" t="s">
        <v>2746</v>
      </c>
      <c r="B1457" s="2">
        <v>45751</v>
      </c>
      <c r="C1457" s="1" t="s">
        <v>2747</v>
      </c>
      <c r="D1457" s="1" t="s">
        <v>17</v>
      </c>
      <c r="E1457" s="1" t="s">
        <v>248</v>
      </c>
      <c r="F1457" s="1" t="s">
        <v>26</v>
      </c>
      <c r="G1457" s="1" t="s">
        <v>42</v>
      </c>
      <c r="H1457" s="1" t="s">
        <v>255</v>
      </c>
      <c r="I1457" s="1">
        <v>2</v>
      </c>
      <c r="J1457" s="1">
        <v>34.92</v>
      </c>
      <c r="K1457" s="1">
        <v>0</v>
      </c>
      <c r="L1457" s="1">
        <v>69.84</v>
      </c>
      <c r="M1457" s="1">
        <v>11.92</v>
      </c>
      <c r="N1457" s="1">
        <v>16.02</v>
      </c>
      <c r="O1457" s="6" t="s">
        <v>22</v>
      </c>
      <c r="P1457" s="8">
        <f>Table1[Quantity]*Table1[Unit_Price]</f>
        <v>69.84</v>
      </c>
      <c r="Q1457" s="1">
        <f>Table1[Profit]/Table1[Total_Sales]</f>
        <v>0.22938144329896906</v>
      </c>
      <c r="R1457" s="14">
        <f>Table1[Total_Sales]+Table1[Shipping_Cost]</f>
        <v>81.760000000000005</v>
      </c>
    </row>
    <row r="1458" spans="1:18" x14ac:dyDescent="0.35">
      <c r="A1458" s="3" t="s">
        <v>2748</v>
      </c>
      <c r="B1458" s="2">
        <v>45751</v>
      </c>
      <c r="C1458" s="1" t="s">
        <v>1296</v>
      </c>
      <c r="D1458" s="1" t="s">
        <v>30</v>
      </c>
      <c r="E1458" s="1" t="s">
        <v>148</v>
      </c>
      <c r="F1458" s="1" t="s">
        <v>60</v>
      </c>
      <c r="G1458" s="1" t="s">
        <v>69</v>
      </c>
      <c r="H1458" s="1" t="s">
        <v>70</v>
      </c>
      <c r="I1458" s="1">
        <v>3</v>
      </c>
      <c r="J1458" s="1">
        <v>24.3</v>
      </c>
      <c r="K1458" s="1">
        <v>5</v>
      </c>
      <c r="L1458" s="1">
        <v>69.25</v>
      </c>
      <c r="M1458" s="1">
        <v>10.77</v>
      </c>
      <c r="N1458" s="1">
        <v>22.03</v>
      </c>
      <c r="O1458" s="6" t="s">
        <v>39</v>
      </c>
      <c r="P1458" s="8">
        <f>Table1[Quantity]*Table1[Unit_Price]</f>
        <v>72.900000000000006</v>
      </c>
      <c r="Q1458" s="1">
        <f>Table1[Profit]/Table1[Total_Sales]</f>
        <v>0.31812274368231047</v>
      </c>
      <c r="R1458" s="14">
        <f>Table1[Total_Sales]+Table1[Shipping_Cost]</f>
        <v>80.02</v>
      </c>
    </row>
    <row r="1459" spans="1:18" x14ac:dyDescent="0.35">
      <c r="A1459" s="3" t="s">
        <v>2749</v>
      </c>
      <c r="B1459" s="2">
        <v>45751</v>
      </c>
      <c r="C1459" s="1" t="s">
        <v>1148</v>
      </c>
      <c r="D1459" s="1" t="s">
        <v>49</v>
      </c>
      <c r="E1459" s="1" t="s">
        <v>67</v>
      </c>
      <c r="F1459" s="1" t="s">
        <v>68</v>
      </c>
      <c r="G1459" s="1" t="s">
        <v>32</v>
      </c>
      <c r="H1459" s="1" t="s">
        <v>50</v>
      </c>
      <c r="I1459" s="1">
        <v>2</v>
      </c>
      <c r="J1459" s="1">
        <v>13.42</v>
      </c>
      <c r="K1459" s="1">
        <v>5</v>
      </c>
      <c r="L1459" s="1">
        <v>25.5</v>
      </c>
      <c r="M1459" s="1">
        <v>12.38</v>
      </c>
      <c r="N1459" s="1">
        <v>1.04</v>
      </c>
      <c r="O1459" s="6" t="s">
        <v>39</v>
      </c>
      <c r="P1459" s="8">
        <f>Table1[Quantity]*Table1[Unit_Price]</f>
        <v>26.84</v>
      </c>
      <c r="Q1459" s="1">
        <f>Table1[Profit]/Table1[Total_Sales]</f>
        <v>4.0784313725490198E-2</v>
      </c>
      <c r="R1459" s="14">
        <f>Table1[Total_Sales]+Table1[Shipping_Cost]</f>
        <v>37.880000000000003</v>
      </c>
    </row>
    <row r="1460" spans="1:18" x14ac:dyDescent="0.35">
      <c r="A1460" s="3" t="s">
        <v>2750</v>
      </c>
      <c r="B1460" s="2">
        <v>45752</v>
      </c>
      <c r="C1460" s="1" t="s">
        <v>2751</v>
      </c>
      <c r="D1460" s="1" t="s">
        <v>17</v>
      </c>
      <c r="E1460" s="1" t="s">
        <v>129</v>
      </c>
      <c r="F1460" s="1" t="s">
        <v>19</v>
      </c>
      <c r="G1460" s="1" t="s">
        <v>20</v>
      </c>
      <c r="H1460" s="1" t="s">
        <v>175</v>
      </c>
      <c r="I1460" s="1">
        <v>2</v>
      </c>
      <c r="J1460" s="1">
        <v>42.23</v>
      </c>
      <c r="K1460" s="1">
        <v>10</v>
      </c>
      <c r="L1460" s="1">
        <v>76.010000000000005</v>
      </c>
      <c r="M1460" s="1">
        <v>9.52</v>
      </c>
      <c r="N1460" s="1">
        <v>20.04</v>
      </c>
      <c r="O1460" s="6" t="s">
        <v>39</v>
      </c>
      <c r="P1460" s="8">
        <f>Table1[Quantity]*Table1[Unit_Price]</f>
        <v>84.46</v>
      </c>
      <c r="Q1460" s="1">
        <f>Table1[Profit]/Table1[Total_Sales]</f>
        <v>0.26364951980002627</v>
      </c>
      <c r="R1460" s="14">
        <f>Table1[Total_Sales]+Table1[Shipping_Cost]</f>
        <v>85.53</v>
      </c>
    </row>
    <row r="1461" spans="1:18" x14ac:dyDescent="0.35">
      <c r="A1461" s="3" t="s">
        <v>2752</v>
      </c>
      <c r="B1461" s="2">
        <v>45752</v>
      </c>
      <c r="C1461" s="1" t="s">
        <v>2370</v>
      </c>
      <c r="D1461" s="1" t="s">
        <v>17</v>
      </c>
      <c r="E1461" s="1" t="s">
        <v>166</v>
      </c>
      <c r="F1461" s="1" t="s">
        <v>60</v>
      </c>
      <c r="G1461" s="1" t="s">
        <v>20</v>
      </c>
      <c r="H1461" s="1" t="s">
        <v>175</v>
      </c>
      <c r="I1461" s="1">
        <v>4</v>
      </c>
      <c r="J1461" s="1">
        <v>53.71</v>
      </c>
      <c r="K1461" s="1">
        <v>10</v>
      </c>
      <c r="L1461" s="1">
        <v>193.36</v>
      </c>
      <c r="M1461" s="1">
        <v>13.76</v>
      </c>
      <c r="N1461" s="1">
        <v>61.44</v>
      </c>
      <c r="O1461" s="6" t="s">
        <v>34</v>
      </c>
      <c r="P1461" s="8">
        <f>Table1[Quantity]*Table1[Unit_Price]</f>
        <v>214.84</v>
      </c>
      <c r="Q1461" s="1">
        <f>Table1[Profit]/Table1[Total_Sales]</f>
        <v>0.31774927596193625</v>
      </c>
      <c r="R1461" s="14">
        <f>Table1[Total_Sales]+Table1[Shipping_Cost]</f>
        <v>207.12</v>
      </c>
    </row>
    <row r="1462" spans="1:18" x14ac:dyDescent="0.35">
      <c r="A1462" s="3" t="s">
        <v>2753</v>
      </c>
      <c r="B1462" s="2">
        <v>45752</v>
      </c>
      <c r="C1462" s="1" t="s">
        <v>722</v>
      </c>
      <c r="D1462" s="1" t="s">
        <v>30</v>
      </c>
      <c r="E1462" s="1" t="s">
        <v>129</v>
      </c>
      <c r="F1462" s="1" t="s">
        <v>19</v>
      </c>
      <c r="G1462" s="1" t="s">
        <v>20</v>
      </c>
      <c r="H1462" s="1" t="s">
        <v>170</v>
      </c>
      <c r="I1462" s="1">
        <v>7</v>
      </c>
      <c r="J1462" s="1">
        <v>23.09</v>
      </c>
      <c r="K1462" s="1">
        <v>0</v>
      </c>
      <c r="L1462" s="1">
        <v>161.63</v>
      </c>
      <c r="M1462" s="1">
        <v>20.84</v>
      </c>
      <c r="N1462" s="1">
        <v>51.89</v>
      </c>
      <c r="O1462" s="6" t="s">
        <v>56</v>
      </c>
      <c r="P1462" s="8">
        <f>Table1[Quantity]*Table1[Unit_Price]</f>
        <v>161.63</v>
      </c>
      <c r="Q1462" s="1">
        <f>Table1[Profit]/Table1[Total_Sales]</f>
        <v>0.32104188578852938</v>
      </c>
      <c r="R1462" s="14">
        <f>Table1[Total_Sales]+Table1[Shipping_Cost]</f>
        <v>182.47</v>
      </c>
    </row>
    <row r="1463" spans="1:18" x14ac:dyDescent="0.35">
      <c r="A1463" s="3" t="s">
        <v>2754</v>
      </c>
      <c r="B1463" s="2">
        <v>45753</v>
      </c>
      <c r="C1463" s="1" t="s">
        <v>2755</v>
      </c>
      <c r="D1463" s="1" t="s">
        <v>17</v>
      </c>
      <c r="E1463" s="1" t="s">
        <v>25</v>
      </c>
      <c r="F1463" s="1" t="s">
        <v>26</v>
      </c>
      <c r="G1463" s="1" t="s">
        <v>20</v>
      </c>
      <c r="H1463" s="1" t="s">
        <v>27</v>
      </c>
      <c r="I1463" s="1">
        <v>4</v>
      </c>
      <c r="J1463" s="1">
        <v>164.84</v>
      </c>
      <c r="K1463" s="1">
        <v>5</v>
      </c>
      <c r="L1463" s="1">
        <v>626.39</v>
      </c>
      <c r="M1463" s="1">
        <v>11.35</v>
      </c>
      <c r="N1463" s="1">
        <v>252.39</v>
      </c>
      <c r="O1463" s="6" t="s">
        <v>22</v>
      </c>
      <c r="P1463" s="8">
        <f>Table1[Quantity]*Table1[Unit_Price]</f>
        <v>659.36</v>
      </c>
      <c r="Q1463" s="1">
        <f>Table1[Profit]/Table1[Total_Sales]</f>
        <v>0.40292788837625121</v>
      </c>
      <c r="R1463" s="14">
        <f>Table1[Total_Sales]+Table1[Shipping_Cost]</f>
        <v>637.74</v>
      </c>
    </row>
    <row r="1464" spans="1:18" x14ac:dyDescent="0.35">
      <c r="A1464" s="3" t="s">
        <v>2756</v>
      </c>
      <c r="B1464" s="2">
        <v>45753</v>
      </c>
      <c r="C1464" s="1" t="s">
        <v>2757</v>
      </c>
      <c r="D1464" s="1" t="s">
        <v>49</v>
      </c>
      <c r="E1464" s="1" t="s">
        <v>25</v>
      </c>
      <c r="F1464" s="1" t="s">
        <v>26</v>
      </c>
      <c r="G1464" s="1" t="s">
        <v>20</v>
      </c>
      <c r="H1464" s="1" t="s">
        <v>21</v>
      </c>
      <c r="I1464" s="1">
        <v>1</v>
      </c>
      <c r="J1464" s="1">
        <v>219.67</v>
      </c>
      <c r="K1464" s="1">
        <v>0</v>
      </c>
      <c r="L1464" s="1">
        <v>219.67</v>
      </c>
      <c r="M1464" s="1">
        <v>7.71</v>
      </c>
      <c r="N1464" s="1">
        <v>91.14</v>
      </c>
      <c r="O1464" s="6" t="s">
        <v>22</v>
      </c>
      <c r="P1464" s="8">
        <f>Table1[Quantity]*Table1[Unit_Price]</f>
        <v>219.67</v>
      </c>
      <c r="Q1464" s="1">
        <f>Table1[Profit]/Table1[Total_Sales]</f>
        <v>0.4148950698775436</v>
      </c>
      <c r="R1464" s="14">
        <f>Table1[Total_Sales]+Table1[Shipping_Cost]</f>
        <v>227.38</v>
      </c>
    </row>
    <row r="1465" spans="1:18" x14ac:dyDescent="0.35">
      <c r="A1465" s="3" t="s">
        <v>2758</v>
      </c>
      <c r="B1465" s="2">
        <v>45754</v>
      </c>
      <c r="C1465" s="1" t="s">
        <v>2312</v>
      </c>
      <c r="D1465" s="1" t="s">
        <v>30</v>
      </c>
      <c r="E1465" s="1" t="s">
        <v>85</v>
      </c>
      <c r="F1465" s="1" t="s">
        <v>60</v>
      </c>
      <c r="G1465" s="1" t="s">
        <v>32</v>
      </c>
      <c r="H1465" s="1" t="s">
        <v>115</v>
      </c>
      <c r="I1465" s="1">
        <v>4</v>
      </c>
      <c r="J1465" s="1">
        <v>16.100000000000001</v>
      </c>
      <c r="K1465" s="1">
        <v>25</v>
      </c>
      <c r="L1465" s="1">
        <v>48.3</v>
      </c>
      <c r="M1465" s="1">
        <v>13.08</v>
      </c>
      <c r="N1465" s="1">
        <v>6.24</v>
      </c>
      <c r="O1465" s="6" t="s">
        <v>39</v>
      </c>
      <c r="P1465" s="8">
        <f>Table1[Quantity]*Table1[Unit_Price]</f>
        <v>64.400000000000006</v>
      </c>
      <c r="Q1465" s="1">
        <f>Table1[Profit]/Table1[Total_Sales]</f>
        <v>0.12919254658385093</v>
      </c>
      <c r="R1465" s="14">
        <f>Table1[Total_Sales]+Table1[Shipping_Cost]</f>
        <v>61.379999999999995</v>
      </c>
    </row>
    <row r="1466" spans="1:18" x14ac:dyDescent="0.35">
      <c r="A1466" s="3" t="s">
        <v>2759</v>
      </c>
      <c r="B1466" s="2">
        <v>45754</v>
      </c>
      <c r="C1466" s="1" t="s">
        <v>2760</v>
      </c>
      <c r="D1466" s="1" t="s">
        <v>17</v>
      </c>
      <c r="E1466" s="1" t="s">
        <v>129</v>
      </c>
      <c r="F1466" s="1" t="s">
        <v>19</v>
      </c>
      <c r="G1466" s="1" t="s">
        <v>69</v>
      </c>
      <c r="H1466" s="1" t="s">
        <v>79</v>
      </c>
      <c r="I1466" s="1">
        <v>1</v>
      </c>
      <c r="J1466" s="1">
        <v>90.62</v>
      </c>
      <c r="K1466" s="1">
        <v>15</v>
      </c>
      <c r="L1466" s="1">
        <v>77.03</v>
      </c>
      <c r="M1466" s="1">
        <v>7.48</v>
      </c>
      <c r="N1466" s="1">
        <v>24.24</v>
      </c>
      <c r="O1466" s="6" t="s">
        <v>22</v>
      </c>
      <c r="P1466" s="8">
        <f>Table1[Quantity]*Table1[Unit_Price]</f>
        <v>90.62</v>
      </c>
      <c r="Q1466" s="1">
        <f>Table1[Profit]/Table1[Total_Sales]</f>
        <v>0.31468259119823444</v>
      </c>
      <c r="R1466" s="14">
        <f>Table1[Total_Sales]+Table1[Shipping_Cost]</f>
        <v>84.51</v>
      </c>
    </row>
    <row r="1467" spans="1:18" x14ac:dyDescent="0.35">
      <c r="A1467" s="3" t="s">
        <v>2761</v>
      </c>
      <c r="B1467" s="2">
        <v>45754</v>
      </c>
      <c r="C1467" s="1" t="s">
        <v>1211</v>
      </c>
      <c r="D1467" s="1" t="s">
        <v>17</v>
      </c>
      <c r="E1467" s="1" t="s">
        <v>135</v>
      </c>
      <c r="F1467" s="1" t="s">
        <v>26</v>
      </c>
      <c r="G1467" s="1" t="s">
        <v>32</v>
      </c>
      <c r="H1467" s="1" t="s">
        <v>149</v>
      </c>
      <c r="I1467" s="1">
        <v>2</v>
      </c>
      <c r="J1467" s="1">
        <v>9.7799999999999994</v>
      </c>
      <c r="K1467" s="1">
        <v>15</v>
      </c>
      <c r="L1467" s="1">
        <v>16.63</v>
      </c>
      <c r="M1467" s="1">
        <v>10.08</v>
      </c>
      <c r="N1467" s="1">
        <v>-2.25</v>
      </c>
      <c r="O1467" s="6" t="s">
        <v>56</v>
      </c>
      <c r="P1467" s="8">
        <f>Table1[Quantity]*Table1[Unit_Price]</f>
        <v>19.559999999999999</v>
      </c>
      <c r="Q1467" s="1">
        <f>Table1[Profit]/Table1[Total_Sales]</f>
        <v>-0.13529765484064943</v>
      </c>
      <c r="R1467" s="14">
        <f>Table1[Total_Sales]+Table1[Shipping_Cost]</f>
        <v>26.71</v>
      </c>
    </row>
    <row r="1468" spans="1:18" x14ac:dyDescent="0.35">
      <c r="A1468" s="3" t="s">
        <v>2762</v>
      </c>
      <c r="B1468" s="2">
        <v>45755</v>
      </c>
      <c r="C1468" s="1" t="s">
        <v>2731</v>
      </c>
      <c r="D1468" s="1" t="s">
        <v>30</v>
      </c>
      <c r="E1468" s="1" t="s">
        <v>18</v>
      </c>
      <c r="F1468" s="1" t="s">
        <v>19</v>
      </c>
      <c r="G1468" s="1" t="s">
        <v>42</v>
      </c>
      <c r="H1468" s="1" t="s">
        <v>43</v>
      </c>
      <c r="I1468" s="1">
        <v>6</v>
      </c>
      <c r="J1468" s="1">
        <v>154.97</v>
      </c>
      <c r="K1468" s="1">
        <v>10</v>
      </c>
      <c r="L1468" s="1">
        <v>836.84</v>
      </c>
      <c r="M1468" s="1">
        <v>13.94</v>
      </c>
      <c r="N1468" s="1">
        <v>265.01</v>
      </c>
      <c r="O1468" s="6" t="s">
        <v>34</v>
      </c>
      <c r="P1468" s="8">
        <f>Table1[Quantity]*Table1[Unit_Price]</f>
        <v>929.81999999999994</v>
      </c>
      <c r="Q1468" s="1">
        <f>Table1[Profit]/Table1[Total_Sales]</f>
        <v>0.31667941302996988</v>
      </c>
      <c r="R1468" s="14">
        <f>Table1[Total_Sales]+Table1[Shipping_Cost]</f>
        <v>850.78000000000009</v>
      </c>
    </row>
    <row r="1469" spans="1:18" x14ac:dyDescent="0.35">
      <c r="A1469" s="3" t="s">
        <v>2763</v>
      </c>
      <c r="B1469" s="2">
        <v>45755</v>
      </c>
      <c r="C1469" s="1" t="s">
        <v>2764</v>
      </c>
      <c r="D1469" s="1" t="s">
        <v>30</v>
      </c>
      <c r="E1469" s="1" t="s">
        <v>59</v>
      </c>
      <c r="F1469" s="1" t="s">
        <v>60</v>
      </c>
      <c r="G1469" s="1" t="s">
        <v>32</v>
      </c>
      <c r="H1469" s="1" t="s">
        <v>50</v>
      </c>
      <c r="I1469" s="1">
        <v>2</v>
      </c>
      <c r="J1469" s="1">
        <v>20.57</v>
      </c>
      <c r="K1469" s="1">
        <v>5</v>
      </c>
      <c r="L1469" s="1">
        <v>39.08</v>
      </c>
      <c r="M1469" s="1">
        <v>12.63</v>
      </c>
      <c r="N1469" s="1">
        <v>7.94</v>
      </c>
      <c r="O1469" s="6" t="s">
        <v>56</v>
      </c>
      <c r="P1469" s="8">
        <f>Table1[Quantity]*Table1[Unit_Price]</f>
        <v>41.14</v>
      </c>
      <c r="Q1469" s="1">
        <f>Table1[Profit]/Table1[Total_Sales]</f>
        <v>0.20317297850562949</v>
      </c>
      <c r="R1469" s="14">
        <f>Table1[Total_Sales]+Table1[Shipping_Cost]</f>
        <v>51.71</v>
      </c>
    </row>
    <row r="1470" spans="1:18" x14ac:dyDescent="0.35">
      <c r="A1470" s="3" t="s">
        <v>2765</v>
      </c>
      <c r="B1470" s="2">
        <v>45756</v>
      </c>
      <c r="C1470" s="1" t="s">
        <v>2766</v>
      </c>
      <c r="D1470" s="1" t="s">
        <v>49</v>
      </c>
      <c r="E1470" s="1" t="s">
        <v>37</v>
      </c>
      <c r="F1470" s="1" t="s">
        <v>26</v>
      </c>
      <c r="G1470" s="1" t="s">
        <v>20</v>
      </c>
      <c r="H1470" s="1" t="s">
        <v>21</v>
      </c>
      <c r="I1470" s="1">
        <v>1</v>
      </c>
      <c r="J1470" s="1">
        <v>116.2</v>
      </c>
      <c r="K1470" s="1">
        <v>0</v>
      </c>
      <c r="L1470" s="1">
        <v>116.2</v>
      </c>
      <c r="M1470" s="1">
        <v>7.59</v>
      </c>
      <c r="N1470" s="1">
        <v>44.7</v>
      </c>
      <c r="O1470" s="6" t="s">
        <v>34</v>
      </c>
      <c r="P1470" s="8">
        <f>Table1[Quantity]*Table1[Unit_Price]</f>
        <v>116.2</v>
      </c>
      <c r="Q1470" s="1">
        <f>Table1[Profit]/Table1[Total_Sales]</f>
        <v>0.38468158347676423</v>
      </c>
      <c r="R1470" s="14">
        <f>Table1[Total_Sales]+Table1[Shipping_Cost]</f>
        <v>123.79</v>
      </c>
    </row>
    <row r="1471" spans="1:18" x14ac:dyDescent="0.35">
      <c r="A1471" s="3" t="s">
        <v>2767</v>
      </c>
      <c r="B1471" s="2">
        <v>45757</v>
      </c>
      <c r="C1471" s="1" t="s">
        <v>2768</v>
      </c>
      <c r="D1471" s="1" t="s">
        <v>30</v>
      </c>
      <c r="E1471" s="1" t="s">
        <v>148</v>
      </c>
      <c r="F1471" s="1" t="s">
        <v>60</v>
      </c>
      <c r="G1471" s="1" t="s">
        <v>20</v>
      </c>
      <c r="H1471" s="1" t="s">
        <v>55</v>
      </c>
      <c r="I1471" s="1">
        <v>5</v>
      </c>
      <c r="J1471" s="1">
        <v>27.29</v>
      </c>
      <c r="K1471" s="1">
        <v>10</v>
      </c>
      <c r="L1471" s="1">
        <v>122.8</v>
      </c>
      <c r="M1471" s="1">
        <v>20.239999999999998</v>
      </c>
      <c r="N1471" s="1">
        <v>27.51</v>
      </c>
      <c r="O1471" s="6" t="s">
        <v>34</v>
      </c>
      <c r="P1471" s="8">
        <f>Table1[Quantity]*Table1[Unit_Price]</f>
        <v>136.44999999999999</v>
      </c>
      <c r="Q1471" s="1">
        <f>Table1[Profit]/Table1[Total_Sales]</f>
        <v>0.22402280130293162</v>
      </c>
      <c r="R1471" s="14">
        <f>Table1[Total_Sales]+Table1[Shipping_Cost]</f>
        <v>143.04</v>
      </c>
    </row>
    <row r="1472" spans="1:18" x14ac:dyDescent="0.35">
      <c r="A1472" s="3" t="s">
        <v>2769</v>
      </c>
      <c r="B1472" s="2">
        <v>45757</v>
      </c>
      <c r="C1472" s="1" t="s">
        <v>2770</v>
      </c>
      <c r="D1472" s="1" t="s">
        <v>49</v>
      </c>
      <c r="E1472" s="1" t="s">
        <v>135</v>
      </c>
      <c r="F1472" s="1" t="s">
        <v>26</v>
      </c>
      <c r="G1472" s="1" t="s">
        <v>42</v>
      </c>
      <c r="H1472" s="1" t="s">
        <v>371</v>
      </c>
      <c r="I1472" s="1">
        <v>4</v>
      </c>
      <c r="J1472" s="1">
        <v>128.69999999999999</v>
      </c>
      <c r="K1472" s="1">
        <v>0</v>
      </c>
      <c r="L1472" s="1">
        <v>514.79999999999995</v>
      </c>
      <c r="M1472" s="1">
        <v>10.27</v>
      </c>
      <c r="N1472" s="1">
        <v>195.65</v>
      </c>
      <c r="O1472" s="6" t="s">
        <v>34</v>
      </c>
      <c r="P1472" s="8">
        <f>Table1[Quantity]*Table1[Unit_Price]</f>
        <v>514.79999999999995</v>
      </c>
      <c r="Q1472" s="1">
        <f>Table1[Profit]/Table1[Total_Sales]</f>
        <v>0.38005050505050508</v>
      </c>
      <c r="R1472" s="14">
        <f>Table1[Total_Sales]+Table1[Shipping_Cost]</f>
        <v>525.06999999999994</v>
      </c>
    </row>
    <row r="1473" spans="1:18" x14ac:dyDescent="0.35">
      <c r="A1473" s="3" t="s">
        <v>2771</v>
      </c>
      <c r="B1473" s="2">
        <v>45757</v>
      </c>
      <c r="C1473" s="1" t="s">
        <v>2772</v>
      </c>
      <c r="D1473" s="1" t="s">
        <v>49</v>
      </c>
      <c r="E1473" s="1" t="s">
        <v>53</v>
      </c>
      <c r="F1473" s="1" t="s">
        <v>54</v>
      </c>
      <c r="G1473" s="1" t="s">
        <v>20</v>
      </c>
      <c r="H1473" s="1" t="s">
        <v>122</v>
      </c>
      <c r="I1473" s="1">
        <v>3</v>
      </c>
      <c r="J1473" s="1">
        <v>93.28</v>
      </c>
      <c r="K1473" s="1">
        <v>10</v>
      </c>
      <c r="L1473" s="1">
        <v>251.86</v>
      </c>
      <c r="M1473" s="1">
        <v>18</v>
      </c>
      <c r="N1473" s="1">
        <v>79.95</v>
      </c>
      <c r="O1473" s="6" t="s">
        <v>39</v>
      </c>
      <c r="P1473" s="8">
        <f>Table1[Quantity]*Table1[Unit_Price]</f>
        <v>279.84000000000003</v>
      </c>
      <c r="Q1473" s="1">
        <f>Table1[Profit]/Table1[Total_Sales]</f>
        <v>0.31743825935043279</v>
      </c>
      <c r="R1473" s="14">
        <f>Table1[Total_Sales]+Table1[Shipping_Cost]</f>
        <v>269.86</v>
      </c>
    </row>
    <row r="1474" spans="1:18" x14ac:dyDescent="0.35">
      <c r="A1474" s="3" t="s">
        <v>2773</v>
      </c>
      <c r="B1474" s="2">
        <v>45758</v>
      </c>
      <c r="C1474" s="1" t="s">
        <v>2774</v>
      </c>
      <c r="D1474" s="1" t="s">
        <v>49</v>
      </c>
      <c r="E1474" s="1" t="s">
        <v>169</v>
      </c>
      <c r="F1474" s="1" t="s">
        <v>68</v>
      </c>
      <c r="G1474" s="1" t="s">
        <v>42</v>
      </c>
      <c r="H1474" s="1" t="s">
        <v>46</v>
      </c>
      <c r="I1474" s="1">
        <v>1</v>
      </c>
      <c r="J1474" s="1">
        <v>193.39</v>
      </c>
      <c r="K1474" s="1">
        <v>10</v>
      </c>
      <c r="L1474" s="1">
        <v>174.05</v>
      </c>
      <c r="M1474" s="1">
        <v>12.06</v>
      </c>
      <c r="N1474" s="1">
        <v>45.96</v>
      </c>
      <c r="O1474" s="6" t="s">
        <v>34</v>
      </c>
      <c r="P1474" s="8">
        <f>Table1[Quantity]*Table1[Unit_Price]</f>
        <v>193.39</v>
      </c>
      <c r="Q1474" s="1">
        <f>Table1[Profit]/Table1[Total_Sales]</f>
        <v>0.26406205113473141</v>
      </c>
      <c r="R1474" s="14">
        <f>Table1[Total_Sales]+Table1[Shipping_Cost]</f>
        <v>186.11</v>
      </c>
    </row>
    <row r="1475" spans="1:18" x14ac:dyDescent="0.35">
      <c r="A1475" s="3" t="s">
        <v>2775</v>
      </c>
      <c r="B1475" s="2">
        <v>45758</v>
      </c>
      <c r="C1475" s="1" t="s">
        <v>2776</v>
      </c>
      <c r="D1475" s="1" t="s">
        <v>30</v>
      </c>
      <c r="E1475" s="1" t="s">
        <v>53</v>
      </c>
      <c r="F1475" s="1" t="s">
        <v>54</v>
      </c>
      <c r="G1475" s="1" t="s">
        <v>69</v>
      </c>
      <c r="H1475" s="1" t="s">
        <v>243</v>
      </c>
      <c r="I1475" s="1">
        <v>11</v>
      </c>
      <c r="J1475" s="1">
        <v>31.57</v>
      </c>
      <c r="K1475" s="1">
        <v>5</v>
      </c>
      <c r="L1475" s="1">
        <v>329.91</v>
      </c>
      <c r="M1475" s="1">
        <v>24.65</v>
      </c>
      <c r="N1475" s="1">
        <v>131.63</v>
      </c>
      <c r="O1475" s="6" t="s">
        <v>34</v>
      </c>
      <c r="P1475" s="8">
        <f>Table1[Quantity]*Table1[Unit_Price]</f>
        <v>347.27</v>
      </c>
      <c r="Q1475" s="1">
        <f>Table1[Profit]/Table1[Total_Sales]</f>
        <v>0.3989876026795186</v>
      </c>
      <c r="R1475" s="14">
        <f>Table1[Total_Sales]+Table1[Shipping_Cost]</f>
        <v>354.56</v>
      </c>
    </row>
    <row r="1476" spans="1:18" x14ac:dyDescent="0.35">
      <c r="A1476" s="3" t="s">
        <v>2777</v>
      </c>
      <c r="B1476" s="2">
        <v>45758</v>
      </c>
      <c r="C1476" s="1" t="s">
        <v>2778</v>
      </c>
      <c r="D1476" s="1" t="s">
        <v>49</v>
      </c>
      <c r="E1476" s="1" t="s">
        <v>129</v>
      </c>
      <c r="F1476" s="1" t="s">
        <v>19</v>
      </c>
      <c r="G1476" s="1" t="s">
        <v>42</v>
      </c>
      <c r="H1476" s="1" t="s">
        <v>234</v>
      </c>
      <c r="I1476" s="1">
        <v>9</v>
      </c>
      <c r="J1476" s="1">
        <v>33.729999999999997</v>
      </c>
      <c r="K1476" s="1">
        <v>15</v>
      </c>
      <c r="L1476" s="1">
        <v>258.02999999999997</v>
      </c>
      <c r="M1476" s="1">
        <v>13.96</v>
      </c>
      <c r="N1476" s="1">
        <v>61.93</v>
      </c>
      <c r="O1476" s="6" t="s">
        <v>34</v>
      </c>
      <c r="P1476" s="8">
        <f>Table1[Quantity]*Table1[Unit_Price]</f>
        <v>303.57</v>
      </c>
      <c r="Q1476" s="1">
        <f>Table1[Profit]/Table1[Total_Sales]</f>
        <v>0.24001085145138165</v>
      </c>
      <c r="R1476" s="14">
        <f>Table1[Total_Sales]+Table1[Shipping_Cost]</f>
        <v>271.98999999999995</v>
      </c>
    </row>
    <row r="1477" spans="1:18" x14ac:dyDescent="0.35">
      <c r="A1477" s="3" t="s">
        <v>2779</v>
      </c>
      <c r="B1477" s="2">
        <v>45758</v>
      </c>
      <c r="C1477" s="1" t="s">
        <v>2780</v>
      </c>
      <c r="D1477" s="1" t="s">
        <v>30</v>
      </c>
      <c r="E1477" s="1" t="s">
        <v>63</v>
      </c>
      <c r="F1477" s="1" t="s">
        <v>54</v>
      </c>
      <c r="G1477" s="1" t="s">
        <v>32</v>
      </c>
      <c r="H1477" s="1" t="s">
        <v>101</v>
      </c>
      <c r="I1477" s="1">
        <v>1</v>
      </c>
      <c r="J1477" s="1">
        <v>14.71</v>
      </c>
      <c r="K1477" s="1">
        <v>10</v>
      </c>
      <c r="L1477" s="1">
        <v>13.24</v>
      </c>
      <c r="M1477" s="1">
        <v>11.69</v>
      </c>
      <c r="N1477" s="1">
        <v>-5.07</v>
      </c>
      <c r="O1477" s="6" t="s">
        <v>39</v>
      </c>
      <c r="P1477" s="8">
        <f>Table1[Quantity]*Table1[Unit_Price]</f>
        <v>14.71</v>
      </c>
      <c r="Q1477" s="1">
        <f>Table1[Profit]/Table1[Total_Sales]</f>
        <v>-0.38293051359516617</v>
      </c>
      <c r="R1477" s="14">
        <f>Table1[Total_Sales]+Table1[Shipping_Cost]</f>
        <v>24.93</v>
      </c>
    </row>
    <row r="1478" spans="1:18" x14ac:dyDescent="0.35">
      <c r="A1478" s="3" t="s">
        <v>2781</v>
      </c>
      <c r="B1478" s="2">
        <v>45758</v>
      </c>
      <c r="C1478" s="1" t="s">
        <v>370</v>
      </c>
      <c r="D1478" s="1" t="s">
        <v>30</v>
      </c>
      <c r="E1478" s="1" t="s">
        <v>37</v>
      </c>
      <c r="F1478" s="1" t="s">
        <v>26</v>
      </c>
      <c r="G1478" s="1" t="s">
        <v>20</v>
      </c>
      <c r="H1478" s="1" t="s">
        <v>199</v>
      </c>
      <c r="I1478" s="1">
        <v>1</v>
      </c>
      <c r="J1478" s="1">
        <v>115.93</v>
      </c>
      <c r="K1478" s="1">
        <v>5</v>
      </c>
      <c r="L1478" s="1">
        <v>110.13</v>
      </c>
      <c r="M1478" s="1">
        <v>9.2899999999999991</v>
      </c>
      <c r="N1478" s="1">
        <v>37.08</v>
      </c>
      <c r="O1478" s="6" t="s">
        <v>34</v>
      </c>
      <c r="P1478" s="8">
        <f>Table1[Quantity]*Table1[Unit_Price]</f>
        <v>115.93</v>
      </c>
      <c r="Q1478" s="1">
        <f>Table1[Profit]/Table1[Total_Sales]</f>
        <v>0.336692999182784</v>
      </c>
      <c r="R1478" s="14">
        <f>Table1[Total_Sales]+Table1[Shipping_Cost]</f>
        <v>119.41999999999999</v>
      </c>
    </row>
    <row r="1479" spans="1:18" x14ac:dyDescent="0.35">
      <c r="A1479" s="3" t="s">
        <v>2782</v>
      </c>
      <c r="B1479" s="2">
        <v>45758</v>
      </c>
      <c r="C1479" s="1" t="s">
        <v>2783</v>
      </c>
      <c r="D1479" s="1" t="s">
        <v>17</v>
      </c>
      <c r="E1479" s="1" t="s">
        <v>85</v>
      </c>
      <c r="F1479" s="1" t="s">
        <v>60</v>
      </c>
      <c r="G1479" s="1" t="s">
        <v>69</v>
      </c>
      <c r="H1479" s="1" t="s">
        <v>70</v>
      </c>
      <c r="I1479" s="1">
        <v>1</v>
      </c>
      <c r="J1479" s="1">
        <v>39.65</v>
      </c>
      <c r="K1479" s="1">
        <v>0</v>
      </c>
      <c r="L1479" s="1">
        <v>39.65</v>
      </c>
      <c r="M1479" s="1">
        <v>11.01</v>
      </c>
      <c r="N1479" s="1">
        <v>8.81</v>
      </c>
      <c r="O1479" s="6" t="s">
        <v>56</v>
      </c>
      <c r="P1479" s="8">
        <f>Table1[Quantity]*Table1[Unit_Price]</f>
        <v>39.65</v>
      </c>
      <c r="Q1479" s="1">
        <f>Table1[Profit]/Table1[Total_Sales]</f>
        <v>0.2221941992433796</v>
      </c>
      <c r="R1479" s="14">
        <f>Table1[Total_Sales]+Table1[Shipping_Cost]</f>
        <v>50.66</v>
      </c>
    </row>
    <row r="1480" spans="1:18" x14ac:dyDescent="0.35">
      <c r="A1480" s="3" t="s">
        <v>2784</v>
      </c>
      <c r="B1480" s="2">
        <v>45759</v>
      </c>
      <c r="C1480" s="1" t="s">
        <v>2785</v>
      </c>
      <c r="D1480" s="1" t="s">
        <v>17</v>
      </c>
      <c r="E1480" s="1" t="s">
        <v>129</v>
      </c>
      <c r="F1480" s="1" t="s">
        <v>19</v>
      </c>
      <c r="G1480" s="1" t="s">
        <v>32</v>
      </c>
      <c r="H1480" s="1" t="s">
        <v>149</v>
      </c>
      <c r="I1480" s="1">
        <v>1</v>
      </c>
      <c r="J1480" s="1">
        <v>13.25</v>
      </c>
      <c r="K1480" s="1">
        <v>5</v>
      </c>
      <c r="L1480" s="1">
        <v>12.59</v>
      </c>
      <c r="M1480" s="1">
        <v>5.69</v>
      </c>
      <c r="N1480" s="1">
        <v>0.94</v>
      </c>
      <c r="O1480" s="6" t="s">
        <v>39</v>
      </c>
      <c r="P1480" s="8">
        <f>Table1[Quantity]*Table1[Unit_Price]</f>
        <v>13.25</v>
      </c>
      <c r="Q1480" s="1">
        <f>Table1[Profit]/Table1[Total_Sales]</f>
        <v>7.4662430500397142E-2</v>
      </c>
      <c r="R1480" s="14">
        <f>Table1[Total_Sales]+Table1[Shipping_Cost]</f>
        <v>18.28</v>
      </c>
    </row>
    <row r="1481" spans="1:18" x14ac:dyDescent="0.35">
      <c r="A1481" s="3" t="s">
        <v>2786</v>
      </c>
      <c r="B1481" s="2">
        <v>45759</v>
      </c>
      <c r="C1481" s="1" t="s">
        <v>2787</v>
      </c>
      <c r="D1481" s="1" t="s">
        <v>49</v>
      </c>
      <c r="E1481" s="1" t="s">
        <v>25</v>
      </c>
      <c r="F1481" s="1" t="s">
        <v>26</v>
      </c>
      <c r="G1481" s="1" t="s">
        <v>32</v>
      </c>
      <c r="H1481" s="1" t="s">
        <v>115</v>
      </c>
      <c r="I1481" s="1">
        <v>3</v>
      </c>
      <c r="J1481" s="1">
        <v>9.3800000000000008</v>
      </c>
      <c r="K1481" s="1">
        <v>5</v>
      </c>
      <c r="L1481" s="1">
        <v>26.73</v>
      </c>
      <c r="M1481" s="1">
        <v>8.9499999999999993</v>
      </c>
      <c r="N1481" s="1">
        <v>5.12</v>
      </c>
      <c r="O1481" s="6" t="s">
        <v>39</v>
      </c>
      <c r="P1481" s="8">
        <f>Table1[Quantity]*Table1[Unit_Price]</f>
        <v>28.14</v>
      </c>
      <c r="Q1481" s="1">
        <f>Table1[Profit]/Table1[Total_Sales]</f>
        <v>0.19154508043396931</v>
      </c>
      <c r="R1481" s="14">
        <f>Table1[Total_Sales]+Table1[Shipping_Cost]</f>
        <v>35.68</v>
      </c>
    </row>
    <row r="1482" spans="1:18" x14ac:dyDescent="0.35">
      <c r="A1482" s="3" t="s">
        <v>2788</v>
      </c>
      <c r="B1482" s="2">
        <v>45759</v>
      </c>
      <c r="C1482" s="1" t="s">
        <v>2789</v>
      </c>
      <c r="D1482" s="1" t="s">
        <v>17</v>
      </c>
      <c r="E1482" s="1" t="s">
        <v>85</v>
      </c>
      <c r="F1482" s="1" t="s">
        <v>60</v>
      </c>
      <c r="G1482" s="1" t="s">
        <v>20</v>
      </c>
      <c r="H1482" s="1" t="s">
        <v>106</v>
      </c>
      <c r="I1482" s="1">
        <v>4</v>
      </c>
      <c r="J1482" s="1">
        <v>55.11</v>
      </c>
      <c r="K1482" s="1">
        <v>10</v>
      </c>
      <c r="L1482" s="1">
        <v>198.4</v>
      </c>
      <c r="M1482" s="1">
        <v>13.84</v>
      </c>
      <c r="N1482" s="1">
        <v>63.32</v>
      </c>
      <c r="O1482" s="6" t="s">
        <v>22</v>
      </c>
      <c r="P1482" s="8">
        <f>Table1[Quantity]*Table1[Unit_Price]</f>
        <v>220.44</v>
      </c>
      <c r="Q1482" s="1">
        <f>Table1[Profit]/Table1[Total_Sales]</f>
        <v>0.31915322580645161</v>
      </c>
      <c r="R1482" s="14">
        <f>Table1[Total_Sales]+Table1[Shipping_Cost]</f>
        <v>212.24</v>
      </c>
    </row>
    <row r="1483" spans="1:18" x14ac:dyDescent="0.35">
      <c r="A1483" s="3" t="s">
        <v>2790</v>
      </c>
      <c r="B1483" s="2">
        <v>45759</v>
      </c>
      <c r="C1483" s="1" t="s">
        <v>2791</v>
      </c>
      <c r="D1483" s="1" t="s">
        <v>17</v>
      </c>
      <c r="E1483" s="1" t="s">
        <v>31</v>
      </c>
      <c r="F1483" s="1" t="s">
        <v>19</v>
      </c>
      <c r="G1483" s="1" t="s">
        <v>20</v>
      </c>
      <c r="H1483" s="1" t="s">
        <v>199</v>
      </c>
      <c r="I1483" s="1">
        <v>3</v>
      </c>
      <c r="J1483" s="1">
        <v>60.01</v>
      </c>
      <c r="K1483" s="1">
        <v>10</v>
      </c>
      <c r="L1483" s="1">
        <v>162.03</v>
      </c>
      <c r="M1483" s="1">
        <v>11.24</v>
      </c>
      <c r="N1483" s="1">
        <v>51.77</v>
      </c>
      <c r="O1483" s="6" t="s">
        <v>34</v>
      </c>
      <c r="P1483" s="8">
        <f>Table1[Quantity]*Table1[Unit_Price]</f>
        <v>180.03</v>
      </c>
      <c r="Q1483" s="1">
        <f>Table1[Profit]/Table1[Total_Sales]</f>
        <v>0.31950873295068816</v>
      </c>
      <c r="R1483" s="14">
        <f>Table1[Total_Sales]+Table1[Shipping_Cost]</f>
        <v>173.27</v>
      </c>
    </row>
    <row r="1484" spans="1:18" x14ac:dyDescent="0.35">
      <c r="A1484" s="3" t="s">
        <v>2792</v>
      </c>
      <c r="B1484" s="2">
        <v>45759</v>
      </c>
      <c r="C1484" s="1" t="s">
        <v>2793</v>
      </c>
      <c r="D1484" s="1" t="s">
        <v>30</v>
      </c>
      <c r="E1484" s="1" t="s">
        <v>59</v>
      </c>
      <c r="F1484" s="1" t="s">
        <v>60</v>
      </c>
      <c r="G1484" s="1" t="s">
        <v>32</v>
      </c>
      <c r="H1484" s="1" t="s">
        <v>132</v>
      </c>
      <c r="I1484" s="1">
        <v>2</v>
      </c>
      <c r="J1484" s="1">
        <v>19.7</v>
      </c>
      <c r="K1484" s="1">
        <v>10</v>
      </c>
      <c r="L1484" s="1">
        <v>35.46</v>
      </c>
      <c r="M1484" s="1">
        <v>10.39</v>
      </c>
      <c r="N1484" s="1">
        <v>7.34</v>
      </c>
      <c r="O1484" s="6" t="s">
        <v>34</v>
      </c>
      <c r="P1484" s="8">
        <f>Table1[Quantity]*Table1[Unit_Price]</f>
        <v>39.4</v>
      </c>
      <c r="Q1484" s="1">
        <f>Table1[Profit]/Table1[Total_Sales]</f>
        <v>0.20699379582628313</v>
      </c>
      <c r="R1484" s="14">
        <f>Table1[Total_Sales]+Table1[Shipping_Cost]</f>
        <v>45.85</v>
      </c>
    </row>
    <row r="1485" spans="1:18" x14ac:dyDescent="0.35">
      <c r="A1485" s="3" t="s">
        <v>2794</v>
      </c>
      <c r="B1485" s="2">
        <v>45760</v>
      </c>
      <c r="C1485" s="1" t="s">
        <v>2795</v>
      </c>
      <c r="D1485" s="1" t="s">
        <v>49</v>
      </c>
      <c r="E1485" s="1" t="s">
        <v>169</v>
      </c>
      <c r="F1485" s="1" t="s">
        <v>68</v>
      </c>
      <c r="G1485" s="1" t="s">
        <v>32</v>
      </c>
      <c r="H1485" s="1" t="s">
        <v>348</v>
      </c>
      <c r="I1485" s="1">
        <v>1</v>
      </c>
      <c r="J1485" s="1">
        <v>8.77</v>
      </c>
      <c r="K1485" s="1">
        <v>20</v>
      </c>
      <c r="L1485" s="1">
        <v>7.02</v>
      </c>
      <c r="M1485" s="1">
        <v>11.14</v>
      </c>
      <c r="N1485" s="1">
        <v>-8.07</v>
      </c>
      <c r="O1485" s="6" t="s">
        <v>39</v>
      </c>
      <c r="P1485" s="8">
        <f>Table1[Quantity]*Table1[Unit_Price]</f>
        <v>8.77</v>
      </c>
      <c r="Q1485" s="1">
        <f>Table1[Profit]/Table1[Total_Sales]</f>
        <v>-1.1495726495726497</v>
      </c>
      <c r="R1485" s="14">
        <f>Table1[Total_Sales]+Table1[Shipping_Cost]</f>
        <v>18.16</v>
      </c>
    </row>
    <row r="1486" spans="1:18" x14ac:dyDescent="0.35">
      <c r="A1486" s="3" t="s">
        <v>2796</v>
      </c>
      <c r="B1486" s="2">
        <v>45760</v>
      </c>
      <c r="C1486" s="1" t="s">
        <v>2797</v>
      </c>
      <c r="D1486" s="1" t="s">
        <v>30</v>
      </c>
      <c r="E1486" s="1" t="s">
        <v>25</v>
      </c>
      <c r="F1486" s="1" t="s">
        <v>26</v>
      </c>
      <c r="G1486" s="1" t="s">
        <v>20</v>
      </c>
      <c r="H1486" s="1" t="s">
        <v>55</v>
      </c>
      <c r="I1486" s="1">
        <v>2</v>
      </c>
      <c r="J1486" s="1">
        <v>44.96</v>
      </c>
      <c r="K1486" s="1">
        <v>0</v>
      </c>
      <c r="L1486" s="1">
        <v>89.92</v>
      </c>
      <c r="M1486" s="1">
        <v>11.48</v>
      </c>
      <c r="N1486" s="1">
        <v>28.98</v>
      </c>
      <c r="O1486" s="6" t="s">
        <v>34</v>
      </c>
      <c r="P1486" s="8">
        <f>Table1[Quantity]*Table1[Unit_Price]</f>
        <v>89.92</v>
      </c>
      <c r="Q1486" s="1">
        <f>Table1[Profit]/Table1[Total_Sales]</f>
        <v>0.3222864768683274</v>
      </c>
      <c r="R1486" s="14">
        <f>Table1[Total_Sales]+Table1[Shipping_Cost]</f>
        <v>101.4</v>
      </c>
    </row>
    <row r="1487" spans="1:18" x14ac:dyDescent="0.35">
      <c r="A1487" s="3" t="s">
        <v>2798</v>
      </c>
      <c r="B1487" s="2">
        <v>45760</v>
      </c>
      <c r="C1487" s="1" t="s">
        <v>1999</v>
      </c>
      <c r="D1487" s="1" t="s">
        <v>30</v>
      </c>
      <c r="E1487" s="1" t="s">
        <v>37</v>
      </c>
      <c r="F1487" s="1" t="s">
        <v>26</v>
      </c>
      <c r="G1487" s="1" t="s">
        <v>32</v>
      </c>
      <c r="H1487" s="1" t="s">
        <v>115</v>
      </c>
      <c r="I1487" s="1">
        <v>4</v>
      </c>
      <c r="J1487" s="1">
        <v>19.2</v>
      </c>
      <c r="K1487" s="1">
        <v>10</v>
      </c>
      <c r="L1487" s="1">
        <v>69.12</v>
      </c>
      <c r="M1487" s="1">
        <v>12.91</v>
      </c>
      <c r="N1487" s="1">
        <v>21.65</v>
      </c>
      <c r="O1487" s="6" t="s">
        <v>34</v>
      </c>
      <c r="P1487" s="8">
        <f>Table1[Quantity]*Table1[Unit_Price]</f>
        <v>76.8</v>
      </c>
      <c r="Q1487" s="1">
        <f>Table1[Profit]/Table1[Total_Sales]</f>
        <v>0.31322337962962959</v>
      </c>
      <c r="R1487" s="14">
        <f>Table1[Total_Sales]+Table1[Shipping_Cost]</f>
        <v>82.03</v>
      </c>
    </row>
    <row r="1488" spans="1:18" x14ac:dyDescent="0.35">
      <c r="A1488" s="3" t="s">
        <v>2799</v>
      </c>
      <c r="B1488" s="2">
        <v>45761</v>
      </c>
      <c r="C1488" s="1" t="s">
        <v>1262</v>
      </c>
      <c r="D1488" s="1" t="s">
        <v>17</v>
      </c>
      <c r="E1488" s="1" t="s">
        <v>121</v>
      </c>
      <c r="F1488" s="1" t="s">
        <v>68</v>
      </c>
      <c r="G1488" s="1" t="s">
        <v>42</v>
      </c>
      <c r="H1488" s="1" t="s">
        <v>89</v>
      </c>
      <c r="I1488" s="1">
        <v>2</v>
      </c>
      <c r="J1488" s="1">
        <v>165.71</v>
      </c>
      <c r="K1488" s="1">
        <v>0</v>
      </c>
      <c r="L1488" s="1">
        <v>331.42</v>
      </c>
      <c r="M1488" s="1">
        <v>12.42</v>
      </c>
      <c r="N1488" s="1">
        <v>120.15</v>
      </c>
      <c r="O1488" s="6" t="s">
        <v>56</v>
      </c>
      <c r="P1488" s="8">
        <f>Table1[Quantity]*Table1[Unit_Price]</f>
        <v>331.42</v>
      </c>
      <c r="Q1488" s="1">
        <f>Table1[Profit]/Table1[Total_Sales]</f>
        <v>0.36253092752398769</v>
      </c>
      <c r="R1488" s="14">
        <f>Table1[Total_Sales]+Table1[Shipping_Cost]</f>
        <v>343.84000000000003</v>
      </c>
    </row>
    <row r="1489" spans="1:18" x14ac:dyDescent="0.35">
      <c r="A1489" s="3" t="s">
        <v>2800</v>
      </c>
      <c r="B1489" s="2">
        <v>45761</v>
      </c>
      <c r="C1489" s="1" t="s">
        <v>2801</v>
      </c>
      <c r="D1489" s="1" t="s">
        <v>30</v>
      </c>
      <c r="E1489" s="1" t="s">
        <v>129</v>
      </c>
      <c r="F1489" s="1" t="s">
        <v>19</v>
      </c>
      <c r="G1489" s="1" t="s">
        <v>20</v>
      </c>
      <c r="H1489" s="1" t="s">
        <v>199</v>
      </c>
      <c r="I1489" s="1">
        <v>1</v>
      </c>
      <c r="J1489" s="1">
        <v>155.22</v>
      </c>
      <c r="K1489" s="1">
        <v>15</v>
      </c>
      <c r="L1489" s="1">
        <v>131.94</v>
      </c>
      <c r="M1489" s="1">
        <v>6.82</v>
      </c>
      <c r="N1489" s="1">
        <v>39.75</v>
      </c>
      <c r="O1489" s="6" t="s">
        <v>34</v>
      </c>
      <c r="P1489" s="8">
        <f>Table1[Quantity]*Table1[Unit_Price]</f>
        <v>155.22</v>
      </c>
      <c r="Q1489" s="1">
        <f>Table1[Profit]/Table1[Total_Sales]</f>
        <v>0.30127330604820374</v>
      </c>
      <c r="R1489" s="14">
        <f>Table1[Total_Sales]+Table1[Shipping_Cost]</f>
        <v>138.76</v>
      </c>
    </row>
    <row r="1490" spans="1:18" x14ac:dyDescent="0.35">
      <c r="A1490" s="3" t="s">
        <v>2802</v>
      </c>
      <c r="B1490" s="2">
        <v>45763</v>
      </c>
      <c r="C1490" s="1" t="s">
        <v>2803</v>
      </c>
      <c r="D1490" s="1" t="s">
        <v>30</v>
      </c>
      <c r="E1490" s="1" t="s">
        <v>138</v>
      </c>
      <c r="F1490" s="1" t="s">
        <v>54</v>
      </c>
      <c r="G1490" s="1" t="s">
        <v>20</v>
      </c>
      <c r="H1490" s="1" t="s">
        <v>21</v>
      </c>
      <c r="I1490" s="1">
        <v>2</v>
      </c>
      <c r="J1490" s="1">
        <v>238.98</v>
      </c>
      <c r="K1490" s="1">
        <v>5</v>
      </c>
      <c r="L1490" s="1">
        <v>454.06</v>
      </c>
      <c r="M1490" s="1">
        <v>12.39</v>
      </c>
      <c r="N1490" s="1">
        <v>178.79</v>
      </c>
      <c r="O1490" s="6" t="s">
        <v>22</v>
      </c>
      <c r="P1490" s="8">
        <f>Table1[Quantity]*Table1[Unit_Price]</f>
        <v>477.96</v>
      </c>
      <c r="Q1490" s="1">
        <f>Table1[Profit]/Table1[Total_Sales]</f>
        <v>0.39375853411443418</v>
      </c>
      <c r="R1490" s="14">
        <f>Table1[Total_Sales]+Table1[Shipping_Cost]</f>
        <v>466.45</v>
      </c>
    </row>
    <row r="1491" spans="1:18" x14ac:dyDescent="0.35">
      <c r="A1491" s="3" t="s">
        <v>2804</v>
      </c>
      <c r="B1491" s="2">
        <v>45764</v>
      </c>
      <c r="C1491" s="1" t="s">
        <v>128</v>
      </c>
      <c r="D1491" s="1" t="s">
        <v>17</v>
      </c>
      <c r="E1491" s="1" t="s">
        <v>109</v>
      </c>
      <c r="F1491" s="1" t="s">
        <v>54</v>
      </c>
      <c r="G1491" s="1" t="s">
        <v>32</v>
      </c>
      <c r="H1491" s="1" t="s">
        <v>115</v>
      </c>
      <c r="I1491" s="1">
        <v>1</v>
      </c>
      <c r="J1491" s="1">
        <v>14.87</v>
      </c>
      <c r="K1491" s="1">
        <v>15</v>
      </c>
      <c r="L1491" s="1">
        <v>12.64</v>
      </c>
      <c r="M1491" s="1">
        <v>12.93</v>
      </c>
      <c r="N1491" s="1">
        <v>-6.98</v>
      </c>
      <c r="O1491" s="6" t="s">
        <v>56</v>
      </c>
      <c r="P1491" s="8">
        <f>Table1[Quantity]*Table1[Unit_Price]</f>
        <v>14.87</v>
      </c>
      <c r="Q1491" s="1">
        <f>Table1[Profit]/Table1[Total_Sales]</f>
        <v>-0.55221518987341778</v>
      </c>
      <c r="R1491" s="14">
        <f>Table1[Total_Sales]+Table1[Shipping_Cost]</f>
        <v>25.57</v>
      </c>
    </row>
    <row r="1492" spans="1:18" x14ac:dyDescent="0.35">
      <c r="A1492" s="3" t="s">
        <v>2805</v>
      </c>
      <c r="B1492" s="2">
        <v>45764</v>
      </c>
      <c r="C1492" s="1" t="s">
        <v>748</v>
      </c>
      <c r="D1492" s="1" t="s">
        <v>30</v>
      </c>
      <c r="E1492" s="1" t="s">
        <v>53</v>
      </c>
      <c r="F1492" s="1" t="s">
        <v>54</v>
      </c>
      <c r="G1492" s="1" t="s">
        <v>32</v>
      </c>
      <c r="H1492" s="1" t="s">
        <v>33</v>
      </c>
      <c r="I1492" s="1">
        <v>2</v>
      </c>
      <c r="J1492" s="1">
        <v>12.81</v>
      </c>
      <c r="K1492" s="1">
        <v>0</v>
      </c>
      <c r="L1492" s="1">
        <v>25.62</v>
      </c>
      <c r="M1492" s="1">
        <v>14.26</v>
      </c>
      <c r="N1492" s="1">
        <v>-0.17</v>
      </c>
      <c r="O1492" s="6" t="s">
        <v>56</v>
      </c>
      <c r="P1492" s="8">
        <f>Table1[Quantity]*Table1[Unit_Price]</f>
        <v>25.62</v>
      </c>
      <c r="Q1492" s="1">
        <f>Table1[Profit]/Table1[Total_Sales]</f>
        <v>-6.6354410616705703E-3</v>
      </c>
      <c r="R1492" s="14">
        <f>Table1[Total_Sales]+Table1[Shipping_Cost]</f>
        <v>39.880000000000003</v>
      </c>
    </row>
    <row r="1493" spans="1:18" x14ac:dyDescent="0.35">
      <c r="A1493" s="3" t="s">
        <v>2806</v>
      </c>
      <c r="B1493" s="2">
        <v>45765</v>
      </c>
      <c r="C1493" s="1" t="s">
        <v>2807</v>
      </c>
      <c r="D1493" s="1" t="s">
        <v>49</v>
      </c>
      <c r="E1493" s="1" t="s">
        <v>166</v>
      </c>
      <c r="F1493" s="1" t="s">
        <v>60</v>
      </c>
      <c r="G1493" s="1" t="s">
        <v>32</v>
      </c>
      <c r="H1493" s="1" t="s">
        <v>33</v>
      </c>
      <c r="I1493" s="1">
        <v>2</v>
      </c>
      <c r="J1493" s="1">
        <v>14.06</v>
      </c>
      <c r="K1493" s="1">
        <v>15</v>
      </c>
      <c r="L1493" s="1">
        <v>23.9</v>
      </c>
      <c r="M1493" s="1">
        <v>10.76</v>
      </c>
      <c r="N1493" s="1">
        <v>0.49</v>
      </c>
      <c r="O1493" s="6" t="s">
        <v>56</v>
      </c>
      <c r="P1493" s="8">
        <f>Table1[Quantity]*Table1[Unit_Price]</f>
        <v>28.12</v>
      </c>
      <c r="Q1493" s="1">
        <f>Table1[Profit]/Table1[Total_Sales]</f>
        <v>2.0502092050209204E-2</v>
      </c>
      <c r="R1493" s="14">
        <f>Table1[Total_Sales]+Table1[Shipping_Cost]</f>
        <v>34.659999999999997</v>
      </c>
    </row>
    <row r="1494" spans="1:18" x14ac:dyDescent="0.35">
      <c r="A1494" s="3" t="s">
        <v>2808</v>
      </c>
      <c r="B1494" s="2">
        <v>45765</v>
      </c>
      <c r="C1494" s="1" t="s">
        <v>1507</v>
      </c>
      <c r="D1494" s="1" t="s">
        <v>30</v>
      </c>
      <c r="E1494" s="1" t="s">
        <v>31</v>
      </c>
      <c r="F1494" s="1" t="s">
        <v>19</v>
      </c>
      <c r="G1494" s="1" t="s">
        <v>32</v>
      </c>
      <c r="H1494" s="1" t="s">
        <v>73</v>
      </c>
      <c r="I1494" s="1">
        <v>1</v>
      </c>
      <c r="J1494" s="1">
        <v>9.33</v>
      </c>
      <c r="K1494" s="1">
        <v>0</v>
      </c>
      <c r="L1494" s="1">
        <v>9.33</v>
      </c>
      <c r="M1494" s="1">
        <v>6.05</v>
      </c>
      <c r="N1494" s="1">
        <v>-0.92</v>
      </c>
      <c r="O1494" s="6" t="s">
        <v>22</v>
      </c>
      <c r="P1494" s="8">
        <f>Table1[Quantity]*Table1[Unit_Price]</f>
        <v>9.33</v>
      </c>
      <c r="Q1494" s="1">
        <f>Table1[Profit]/Table1[Total_Sales]</f>
        <v>-9.8606645230439452E-2</v>
      </c>
      <c r="R1494" s="14">
        <f>Table1[Total_Sales]+Table1[Shipping_Cost]</f>
        <v>15.379999999999999</v>
      </c>
    </row>
    <row r="1495" spans="1:18" x14ac:dyDescent="0.35">
      <c r="A1495" s="3" t="s">
        <v>2809</v>
      </c>
      <c r="B1495" s="2">
        <v>45765</v>
      </c>
      <c r="C1495" s="1" t="s">
        <v>962</v>
      </c>
      <c r="D1495" s="1" t="s">
        <v>49</v>
      </c>
      <c r="E1495" s="1" t="s">
        <v>166</v>
      </c>
      <c r="F1495" s="1" t="s">
        <v>60</v>
      </c>
      <c r="G1495" s="1" t="s">
        <v>69</v>
      </c>
      <c r="H1495" s="1" t="s">
        <v>86</v>
      </c>
      <c r="I1495" s="1">
        <v>10</v>
      </c>
      <c r="J1495" s="1">
        <v>147.28</v>
      </c>
      <c r="K1495" s="1">
        <v>0</v>
      </c>
      <c r="L1495" s="1">
        <v>1472.8</v>
      </c>
      <c r="M1495" s="1">
        <v>27.39</v>
      </c>
      <c r="N1495" s="1">
        <v>709.01</v>
      </c>
      <c r="O1495" s="6" t="s">
        <v>39</v>
      </c>
      <c r="P1495" s="8">
        <f>Table1[Quantity]*Table1[Unit_Price]</f>
        <v>1472.8</v>
      </c>
      <c r="Q1495" s="1">
        <f>Table1[Profit]/Table1[Total_Sales]</f>
        <v>0.4814027702335687</v>
      </c>
      <c r="R1495" s="14">
        <f>Table1[Total_Sales]+Table1[Shipping_Cost]</f>
        <v>1500.19</v>
      </c>
    </row>
    <row r="1496" spans="1:18" x14ac:dyDescent="0.35">
      <c r="A1496" s="3" t="s">
        <v>2810</v>
      </c>
      <c r="B1496" s="2">
        <v>45765</v>
      </c>
      <c r="C1496" s="1" t="s">
        <v>2811</v>
      </c>
      <c r="D1496" s="1" t="s">
        <v>30</v>
      </c>
      <c r="E1496" s="1" t="s">
        <v>59</v>
      </c>
      <c r="F1496" s="1" t="s">
        <v>60</v>
      </c>
      <c r="G1496" s="1" t="s">
        <v>69</v>
      </c>
      <c r="H1496" s="1" t="s">
        <v>79</v>
      </c>
      <c r="I1496" s="1">
        <v>2</v>
      </c>
      <c r="J1496" s="1">
        <v>32.49</v>
      </c>
      <c r="K1496" s="1">
        <v>5</v>
      </c>
      <c r="L1496" s="1">
        <v>61.73</v>
      </c>
      <c r="M1496" s="1">
        <v>11.25</v>
      </c>
      <c r="N1496" s="1">
        <v>17.989999999999998</v>
      </c>
      <c r="O1496" s="6" t="s">
        <v>34</v>
      </c>
      <c r="P1496" s="8">
        <f>Table1[Quantity]*Table1[Unit_Price]</f>
        <v>64.98</v>
      </c>
      <c r="Q1496" s="1">
        <f>Table1[Profit]/Table1[Total_Sales]</f>
        <v>0.29143042280900694</v>
      </c>
      <c r="R1496" s="14">
        <f>Table1[Total_Sales]+Table1[Shipping_Cost]</f>
        <v>72.97999999999999</v>
      </c>
    </row>
    <row r="1497" spans="1:18" x14ac:dyDescent="0.35">
      <c r="A1497" s="3" t="s">
        <v>2812</v>
      </c>
      <c r="B1497" s="2">
        <v>45766</v>
      </c>
      <c r="C1497" s="1" t="s">
        <v>2813</v>
      </c>
      <c r="D1497" s="1" t="s">
        <v>30</v>
      </c>
      <c r="E1497" s="1" t="s">
        <v>92</v>
      </c>
      <c r="F1497" s="1" t="s">
        <v>60</v>
      </c>
      <c r="G1497" s="1" t="s">
        <v>42</v>
      </c>
      <c r="H1497" s="1" t="s">
        <v>46</v>
      </c>
      <c r="I1497" s="1">
        <v>4</v>
      </c>
      <c r="J1497" s="1">
        <v>67.489999999999995</v>
      </c>
      <c r="K1497" s="1">
        <v>10</v>
      </c>
      <c r="L1497" s="1">
        <v>242.96</v>
      </c>
      <c r="M1497" s="1">
        <v>11.71</v>
      </c>
      <c r="N1497" s="1">
        <v>69.27</v>
      </c>
      <c r="O1497" s="6" t="s">
        <v>34</v>
      </c>
      <c r="P1497" s="8">
        <f>Table1[Quantity]*Table1[Unit_Price]</f>
        <v>269.95999999999998</v>
      </c>
      <c r="Q1497" s="1">
        <f>Table1[Profit]/Table1[Total_Sales]</f>
        <v>0.28510865986170558</v>
      </c>
      <c r="R1497" s="14">
        <f>Table1[Total_Sales]+Table1[Shipping_Cost]</f>
        <v>254.67000000000002</v>
      </c>
    </row>
    <row r="1498" spans="1:18" x14ac:dyDescent="0.35">
      <c r="A1498" s="3" t="s">
        <v>2814</v>
      </c>
      <c r="B1498" s="2">
        <v>45766</v>
      </c>
      <c r="C1498" s="1" t="s">
        <v>2024</v>
      </c>
      <c r="D1498" s="1" t="s">
        <v>30</v>
      </c>
      <c r="E1498" s="1" t="s">
        <v>25</v>
      </c>
      <c r="F1498" s="1" t="s">
        <v>26</v>
      </c>
      <c r="G1498" s="1" t="s">
        <v>42</v>
      </c>
      <c r="H1498" s="1" t="s">
        <v>93</v>
      </c>
      <c r="I1498" s="1">
        <v>7</v>
      </c>
      <c r="J1498" s="1">
        <v>294.08999999999997</v>
      </c>
      <c r="K1498" s="1">
        <v>0</v>
      </c>
      <c r="L1498" s="1">
        <v>2058.63</v>
      </c>
      <c r="M1498" s="1">
        <v>15.1</v>
      </c>
      <c r="N1498" s="1">
        <v>808.35</v>
      </c>
      <c r="O1498" s="6" t="s">
        <v>39</v>
      </c>
      <c r="P1498" s="8">
        <f>Table1[Quantity]*Table1[Unit_Price]</f>
        <v>2058.6299999999997</v>
      </c>
      <c r="Q1498" s="1">
        <f>Table1[Profit]/Table1[Total_Sales]</f>
        <v>0.39266405327815102</v>
      </c>
      <c r="R1498" s="14">
        <f>Table1[Total_Sales]+Table1[Shipping_Cost]</f>
        <v>2073.73</v>
      </c>
    </row>
    <row r="1499" spans="1:18" x14ac:dyDescent="0.35">
      <c r="A1499" s="3" t="s">
        <v>2815</v>
      </c>
      <c r="B1499" s="2">
        <v>45767</v>
      </c>
      <c r="C1499" s="1" t="s">
        <v>805</v>
      </c>
      <c r="D1499" s="1" t="s">
        <v>17</v>
      </c>
      <c r="E1499" s="1" t="s">
        <v>169</v>
      </c>
      <c r="F1499" s="1" t="s">
        <v>68</v>
      </c>
      <c r="G1499" s="1" t="s">
        <v>20</v>
      </c>
      <c r="H1499" s="1" t="s">
        <v>264</v>
      </c>
      <c r="I1499" s="1">
        <v>5</v>
      </c>
      <c r="J1499" s="1">
        <v>61.12</v>
      </c>
      <c r="K1499" s="1">
        <v>20</v>
      </c>
      <c r="L1499" s="1">
        <v>244.48</v>
      </c>
      <c r="M1499" s="1">
        <v>22.01</v>
      </c>
      <c r="N1499" s="1">
        <v>54.39</v>
      </c>
      <c r="O1499" s="6" t="s">
        <v>34</v>
      </c>
      <c r="P1499" s="8">
        <f>Table1[Quantity]*Table1[Unit_Price]</f>
        <v>305.59999999999997</v>
      </c>
      <c r="Q1499" s="1">
        <f>Table1[Profit]/Table1[Total_Sales]</f>
        <v>0.22247218586387435</v>
      </c>
      <c r="R1499" s="14">
        <f>Table1[Total_Sales]+Table1[Shipping_Cost]</f>
        <v>266.49</v>
      </c>
    </row>
    <row r="1500" spans="1:18" x14ac:dyDescent="0.35">
      <c r="A1500" s="3" t="s">
        <v>2816</v>
      </c>
      <c r="B1500" s="2">
        <v>45767</v>
      </c>
      <c r="C1500" s="1" t="s">
        <v>2817</v>
      </c>
      <c r="D1500" s="1" t="s">
        <v>17</v>
      </c>
      <c r="E1500" s="1" t="s">
        <v>63</v>
      </c>
      <c r="F1500" s="1" t="s">
        <v>54</v>
      </c>
      <c r="G1500" s="1" t="s">
        <v>20</v>
      </c>
      <c r="H1500" s="1" t="s">
        <v>170</v>
      </c>
      <c r="I1500" s="1">
        <v>4</v>
      </c>
      <c r="J1500" s="1">
        <v>46.7</v>
      </c>
      <c r="K1500" s="1">
        <v>0</v>
      </c>
      <c r="L1500" s="1">
        <v>186.8</v>
      </c>
      <c r="M1500" s="1">
        <v>17.05</v>
      </c>
      <c r="N1500" s="1">
        <v>67.010000000000005</v>
      </c>
      <c r="O1500" s="6" t="s">
        <v>34</v>
      </c>
      <c r="P1500" s="8">
        <f>Table1[Quantity]*Table1[Unit_Price]</f>
        <v>186.8</v>
      </c>
      <c r="Q1500" s="1">
        <f>Table1[Profit]/Table1[Total_Sales]</f>
        <v>0.35872591006423982</v>
      </c>
      <c r="R1500" s="14">
        <f>Table1[Total_Sales]+Table1[Shipping_Cost]</f>
        <v>203.85000000000002</v>
      </c>
    </row>
    <row r="1501" spans="1:18" x14ac:dyDescent="0.35">
      <c r="A1501" s="3" t="s">
        <v>2818</v>
      </c>
      <c r="B1501" s="2">
        <v>45767</v>
      </c>
      <c r="C1501" s="1" t="s">
        <v>1651</v>
      </c>
      <c r="D1501" s="1" t="s">
        <v>30</v>
      </c>
      <c r="E1501" s="1" t="s">
        <v>169</v>
      </c>
      <c r="F1501" s="1" t="s">
        <v>68</v>
      </c>
      <c r="G1501" s="1" t="s">
        <v>20</v>
      </c>
      <c r="H1501" s="1" t="s">
        <v>175</v>
      </c>
      <c r="I1501" s="1">
        <v>4</v>
      </c>
      <c r="J1501" s="1">
        <v>25.36</v>
      </c>
      <c r="K1501" s="1">
        <v>20</v>
      </c>
      <c r="L1501" s="1">
        <v>81.150000000000006</v>
      </c>
      <c r="M1501" s="1">
        <v>14.4</v>
      </c>
      <c r="N1501" s="1">
        <v>10.96</v>
      </c>
      <c r="O1501" s="6" t="s">
        <v>22</v>
      </c>
      <c r="P1501" s="8">
        <f>Table1[Quantity]*Table1[Unit_Price]</f>
        <v>101.44</v>
      </c>
      <c r="Q1501" s="1">
        <f>Table1[Profit]/Table1[Total_Sales]</f>
        <v>0.1350585335797905</v>
      </c>
      <c r="R1501" s="14">
        <f>Table1[Total_Sales]+Table1[Shipping_Cost]</f>
        <v>95.550000000000011</v>
      </c>
    </row>
    <row r="1502" spans="1:18" x14ac:dyDescent="0.35">
      <c r="A1502" s="3" t="s">
        <v>2819</v>
      </c>
      <c r="B1502" s="2">
        <v>45768</v>
      </c>
      <c r="C1502" s="1" t="s">
        <v>2820</v>
      </c>
      <c r="D1502" s="1" t="s">
        <v>17</v>
      </c>
      <c r="E1502" s="1" t="s">
        <v>18</v>
      </c>
      <c r="F1502" s="1" t="s">
        <v>19</v>
      </c>
      <c r="G1502" s="1" t="s">
        <v>42</v>
      </c>
      <c r="H1502" s="1" t="s">
        <v>64</v>
      </c>
      <c r="I1502" s="1">
        <v>13</v>
      </c>
      <c r="J1502" s="1">
        <v>84.96</v>
      </c>
      <c r="K1502" s="1">
        <v>15</v>
      </c>
      <c r="L1502" s="1">
        <v>938.81</v>
      </c>
      <c r="M1502" s="1">
        <v>32.07</v>
      </c>
      <c r="N1502" s="1">
        <v>244.05</v>
      </c>
      <c r="O1502" s="6" t="s">
        <v>22</v>
      </c>
      <c r="P1502" s="8">
        <f>Table1[Quantity]*Table1[Unit_Price]</f>
        <v>1104.48</v>
      </c>
      <c r="Q1502" s="1">
        <f>Table1[Profit]/Table1[Total_Sales]</f>
        <v>0.25995675376274224</v>
      </c>
      <c r="R1502" s="14">
        <f>Table1[Total_Sales]+Table1[Shipping_Cost]</f>
        <v>970.88</v>
      </c>
    </row>
    <row r="1503" spans="1:18" x14ac:dyDescent="0.35">
      <c r="A1503" s="3" t="s">
        <v>2821</v>
      </c>
      <c r="B1503" s="2">
        <v>45768</v>
      </c>
      <c r="C1503" s="1" t="s">
        <v>2822</v>
      </c>
      <c r="D1503" s="1" t="s">
        <v>49</v>
      </c>
      <c r="E1503" s="1" t="s">
        <v>18</v>
      </c>
      <c r="F1503" s="1" t="s">
        <v>19</v>
      </c>
      <c r="G1503" s="1" t="s">
        <v>32</v>
      </c>
      <c r="H1503" s="1" t="s">
        <v>33</v>
      </c>
      <c r="I1503" s="1">
        <v>1</v>
      </c>
      <c r="J1503" s="1">
        <v>15.62</v>
      </c>
      <c r="K1503" s="1">
        <v>0</v>
      </c>
      <c r="L1503" s="1">
        <v>15.62</v>
      </c>
      <c r="M1503" s="1">
        <v>6.6</v>
      </c>
      <c r="N1503" s="1">
        <v>1.99</v>
      </c>
      <c r="O1503" s="6" t="s">
        <v>56</v>
      </c>
      <c r="P1503" s="8">
        <f>Table1[Quantity]*Table1[Unit_Price]</f>
        <v>15.62</v>
      </c>
      <c r="Q1503" s="1">
        <f>Table1[Profit]/Table1[Total_Sales]</f>
        <v>0.12740076824583868</v>
      </c>
      <c r="R1503" s="14">
        <f>Table1[Total_Sales]+Table1[Shipping_Cost]</f>
        <v>22.22</v>
      </c>
    </row>
    <row r="1504" spans="1:18" x14ac:dyDescent="0.35">
      <c r="A1504" s="3" t="s">
        <v>2823</v>
      </c>
      <c r="B1504" s="2">
        <v>45769</v>
      </c>
      <c r="C1504" s="1" t="s">
        <v>2824</v>
      </c>
      <c r="D1504" s="1" t="s">
        <v>30</v>
      </c>
      <c r="E1504" s="1" t="s">
        <v>31</v>
      </c>
      <c r="F1504" s="1" t="s">
        <v>19</v>
      </c>
      <c r="G1504" s="1" t="s">
        <v>20</v>
      </c>
      <c r="H1504" s="1" t="s">
        <v>199</v>
      </c>
      <c r="I1504" s="1">
        <v>3</v>
      </c>
      <c r="J1504" s="1">
        <v>155.55000000000001</v>
      </c>
      <c r="K1504" s="1">
        <v>0</v>
      </c>
      <c r="L1504" s="1">
        <v>466.65</v>
      </c>
      <c r="M1504" s="1">
        <v>9.51</v>
      </c>
      <c r="N1504" s="1">
        <v>200.48</v>
      </c>
      <c r="O1504" s="6" t="s">
        <v>39</v>
      </c>
      <c r="P1504" s="8">
        <f>Table1[Quantity]*Table1[Unit_Price]</f>
        <v>466.65000000000003</v>
      </c>
      <c r="Q1504" s="1">
        <f>Table1[Profit]/Table1[Total_Sales]</f>
        <v>0.42961534340512159</v>
      </c>
      <c r="R1504" s="14">
        <f>Table1[Total_Sales]+Table1[Shipping_Cost]</f>
        <v>476.15999999999997</v>
      </c>
    </row>
    <row r="1505" spans="1:18" x14ac:dyDescent="0.35">
      <c r="A1505" s="3" t="s">
        <v>2825</v>
      </c>
      <c r="B1505" s="2">
        <v>45769</v>
      </c>
      <c r="C1505" s="1" t="s">
        <v>2826</v>
      </c>
      <c r="D1505" s="1" t="s">
        <v>17</v>
      </c>
      <c r="E1505" s="1" t="s">
        <v>121</v>
      </c>
      <c r="F1505" s="1" t="s">
        <v>68</v>
      </c>
      <c r="G1505" s="1" t="s">
        <v>69</v>
      </c>
      <c r="H1505" s="1" t="s">
        <v>196</v>
      </c>
      <c r="I1505" s="1">
        <v>2</v>
      </c>
      <c r="J1505" s="1">
        <v>10.67</v>
      </c>
      <c r="K1505" s="1">
        <v>15</v>
      </c>
      <c r="L1505" s="1">
        <v>18.14</v>
      </c>
      <c r="M1505" s="1">
        <v>13.02</v>
      </c>
      <c r="N1505" s="1">
        <v>-5.55</v>
      </c>
      <c r="O1505" s="6" t="s">
        <v>56</v>
      </c>
      <c r="P1505" s="8">
        <f>Table1[Quantity]*Table1[Unit_Price]</f>
        <v>21.34</v>
      </c>
      <c r="Q1505" s="1">
        <f>Table1[Profit]/Table1[Total_Sales]</f>
        <v>-0.30595369349503859</v>
      </c>
      <c r="R1505" s="14">
        <f>Table1[Total_Sales]+Table1[Shipping_Cost]</f>
        <v>31.16</v>
      </c>
    </row>
    <row r="1506" spans="1:18" x14ac:dyDescent="0.35">
      <c r="A1506" s="3" t="s">
        <v>2827</v>
      </c>
      <c r="B1506" s="2">
        <v>45769</v>
      </c>
      <c r="C1506" s="1" t="s">
        <v>2828</v>
      </c>
      <c r="D1506" s="1" t="s">
        <v>17</v>
      </c>
      <c r="E1506" s="1" t="s">
        <v>135</v>
      </c>
      <c r="F1506" s="1" t="s">
        <v>26</v>
      </c>
      <c r="G1506" s="1" t="s">
        <v>42</v>
      </c>
      <c r="H1506" s="1" t="s">
        <v>371</v>
      </c>
      <c r="I1506" s="1">
        <v>3</v>
      </c>
      <c r="J1506" s="1">
        <v>138.55000000000001</v>
      </c>
      <c r="K1506" s="1">
        <v>0</v>
      </c>
      <c r="L1506" s="1">
        <v>415.65</v>
      </c>
      <c r="M1506" s="1">
        <v>9.02</v>
      </c>
      <c r="N1506" s="1">
        <v>157.24</v>
      </c>
      <c r="O1506" s="6" t="s">
        <v>39</v>
      </c>
      <c r="P1506" s="8">
        <f>Table1[Quantity]*Table1[Unit_Price]</f>
        <v>415.65000000000003</v>
      </c>
      <c r="Q1506" s="1">
        <f>Table1[Profit]/Table1[Total_Sales]</f>
        <v>0.37829904968122224</v>
      </c>
      <c r="R1506" s="14">
        <f>Table1[Total_Sales]+Table1[Shipping_Cost]</f>
        <v>424.66999999999996</v>
      </c>
    </row>
    <row r="1507" spans="1:18" x14ac:dyDescent="0.35">
      <c r="A1507" s="3" t="s">
        <v>2829</v>
      </c>
      <c r="B1507" s="2">
        <v>45771</v>
      </c>
      <c r="C1507" s="1" t="s">
        <v>2830</v>
      </c>
      <c r="D1507" s="1" t="s">
        <v>30</v>
      </c>
      <c r="E1507" s="1" t="s">
        <v>59</v>
      </c>
      <c r="F1507" s="1" t="s">
        <v>60</v>
      </c>
      <c r="G1507" s="1" t="s">
        <v>20</v>
      </c>
      <c r="H1507" s="1" t="s">
        <v>38</v>
      </c>
      <c r="I1507" s="1">
        <v>2</v>
      </c>
      <c r="J1507" s="1">
        <v>76.94</v>
      </c>
      <c r="K1507" s="1">
        <v>10</v>
      </c>
      <c r="L1507" s="1">
        <v>138.49</v>
      </c>
      <c r="M1507" s="1">
        <v>12.94</v>
      </c>
      <c r="N1507" s="1">
        <v>40.92</v>
      </c>
      <c r="O1507" s="6" t="s">
        <v>34</v>
      </c>
      <c r="P1507" s="8">
        <f>Table1[Quantity]*Table1[Unit_Price]</f>
        <v>153.88</v>
      </c>
      <c r="Q1507" s="1">
        <f>Table1[Profit]/Table1[Total_Sales]</f>
        <v>0.29547259729944397</v>
      </c>
      <c r="R1507" s="14">
        <f>Table1[Total_Sales]+Table1[Shipping_Cost]</f>
        <v>151.43</v>
      </c>
    </row>
    <row r="1508" spans="1:18" x14ac:dyDescent="0.35">
      <c r="A1508" s="3" t="s">
        <v>2831</v>
      </c>
      <c r="B1508" s="2">
        <v>45772</v>
      </c>
      <c r="C1508" s="1" t="s">
        <v>752</v>
      </c>
      <c r="D1508" s="1" t="s">
        <v>30</v>
      </c>
      <c r="E1508" s="1" t="s">
        <v>53</v>
      </c>
      <c r="F1508" s="1" t="s">
        <v>54</v>
      </c>
      <c r="G1508" s="1" t="s">
        <v>20</v>
      </c>
      <c r="H1508" s="1" t="s">
        <v>264</v>
      </c>
      <c r="I1508" s="1">
        <v>10</v>
      </c>
      <c r="J1508" s="1">
        <v>31.3</v>
      </c>
      <c r="K1508" s="1">
        <v>10</v>
      </c>
      <c r="L1508" s="1">
        <v>281.7</v>
      </c>
      <c r="M1508" s="1">
        <v>16.36</v>
      </c>
      <c r="N1508" s="1">
        <v>93.19</v>
      </c>
      <c r="O1508" s="6" t="s">
        <v>39</v>
      </c>
      <c r="P1508" s="8">
        <f>Table1[Quantity]*Table1[Unit_Price]</f>
        <v>313</v>
      </c>
      <c r="Q1508" s="1">
        <f>Table1[Profit]/Table1[Total_Sales]</f>
        <v>0.33081292154774583</v>
      </c>
      <c r="R1508" s="14">
        <f>Table1[Total_Sales]+Table1[Shipping_Cost]</f>
        <v>298.06</v>
      </c>
    </row>
    <row r="1509" spans="1:18" x14ac:dyDescent="0.35">
      <c r="A1509" s="3" t="s">
        <v>2832</v>
      </c>
      <c r="B1509" s="2">
        <v>45772</v>
      </c>
      <c r="C1509" s="1" t="s">
        <v>1822</v>
      </c>
      <c r="D1509" s="1" t="s">
        <v>30</v>
      </c>
      <c r="E1509" s="1" t="s">
        <v>92</v>
      </c>
      <c r="F1509" s="1" t="s">
        <v>60</v>
      </c>
      <c r="G1509" s="1" t="s">
        <v>42</v>
      </c>
      <c r="H1509" s="1" t="s">
        <v>43</v>
      </c>
      <c r="I1509" s="1">
        <v>2</v>
      </c>
      <c r="J1509" s="1">
        <v>320.60000000000002</v>
      </c>
      <c r="K1509" s="1">
        <v>0</v>
      </c>
      <c r="L1509" s="1">
        <v>641.20000000000005</v>
      </c>
      <c r="M1509" s="1">
        <v>12.1</v>
      </c>
      <c r="N1509" s="1">
        <v>244.38</v>
      </c>
      <c r="O1509" s="6" t="s">
        <v>34</v>
      </c>
      <c r="P1509" s="8">
        <f>Table1[Quantity]*Table1[Unit_Price]</f>
        <v>641.20000000000005</v>
      </c>
      <c r="Q1509" s="1">
        <f>Table1[Profit]/Table1[Total_Sales]</f>
        <v>0.38112913287585776</v>
      </c>
      <c r="R1509" s="14">
        <f>Table1[Total_Sales]+Table1[Shipping_Cost]</f>
        <v>653.30000000000007</v>
      </c>
    </row>
    <row r="1510" spans="1:18" x14ac:dyDescent="0.35">
      <c r="A1510" s="3" t="s">
        <v>2833</v>
      </c>
      <c r="B1510" s="2">
        <v>45773</v>
      </c>
      <c r="C1510" s="1" t="s">
        <v>2834</v>
      </c>
      <c r="D1510" s="1" t="s">
        <v>49</v>
      </c>
      <c r="E1510" s="1" t="s">
        <v>121</v>
      </c>
      <c r="F1510" s="1" t="s">
        <v>68</v>
      </c>
      <c r="G1510" s="1" t="s">
        <v>20</v>
      </c>
      <c r="H1510" s="1" t="s">
        <v>27</v>
      </c>
      <c r="I1510" s="1">
        <v>1</v>
      </c>
      <c r="J1510" s="1">
        <v>172.2</v>
      </c>
      <c r="K1510" s="1">
        <v>0</v>
      </c>
      <c r="L1510" s="1">
        <v>172.2</v>
      </c>
      <c r="M1510" s="1">
        <v>12.38</v>
      </c>
      <c r="N1510" s="1">
        <v>65.11</v>
      </c>
      <c r="O1510" s="6" t="s">
        <v>34</v>
      </c>
      <c r="P1510" s="8">
        <f>Table1[Quantity]*Table1[Unit_Price]</f>
        <v>172.2</v>
      </c>
      <c r="Q1510" s="1">
        <f>Table1[Profit]/Table1[Total_Sales]</f>
        <v>0.37810685249709641</v>
      </c>
      <c r="R1510" s="14">
        <f>Table1[Total_Sales]+Table1[Shipping_Cost]</f>
        <v>184.57999999999998</v>
      </c>
    </row>
    <row r="1511" spans="1:18" x14ac:dyDescent="0.35">
      <c r="A1511" s="3" t="s">
        <v>2835</v>
      </c>
      <c r="B1511" s="2">
        <v>45774</v>
      </c>
      <c r="C1511" s="1" t="s">
        <v>2200</v>
      </c>
      <c r="D1511" s="1" t="s">
        <v>30</v>
      </c>
      <c r="E1511" s="1" t="s">
        <v>135</v>
      </c>
      <c r="F1511" s="1" t="s">
        <v>26</v>
      </c>
      <c r="G1511" s="1" t="s">
        <v>42</v>
      </c>
      <c r="H1511" s="1" t="s">
        <v>294</v>
      </c>
      <c r="I1511" s="1">
        <v>2</v>
      </c>
      <c r="J1511" s="1">
        <v>163.76</v>
      </c>
      <c r="K1511" s="1">
        <v>15</v>
      </c>
      <c r="L1511" s="1">
        <v>278.39</v>
      </c>
      <c r="M1511" s="1">
        <v>11.15</v>
      </c>
      <c r="N1511" s="1">
        <v>70.73</v>
      </c>
      <c r="O1511" s="6" t="s">
        <v>39</v>
      </c>
      <c r="P1511" s="8">
        <f>Table1[Quantity]*Table1[Unit_Price]</f>
        <v>327.52</v>
      </c>
      <c r="Q1511" s="1">
        <f>Table1[Profit]/Table1[Total_Sales]</f>
        <v>0.25406803405294731</v>
      </c>
      <c r="R1511" s="14">
        <f>Table1[Total_Sales]+Table1[Shipping_Cost]</f>
        <v>289.53999999999996</v>
      </c>
    </row>
    <row r="1512" spans="1:18" x14ac:dyDescent="0.35">
      <c r="A1512" s="3" t="s">
        <v>2836</v>
      </c>
      <c r="B1512" s="2">
        <v>45774</v>
      </c>
      <c r="C1512" s="1" t="s">
        <v>2837</v>
      </c>
      <c r="D1512" s="1" t="s">
        <v>30</v>
      </c>
      <c r="E1512" s="1" t="s">
        <v>18</v>
      </c>
      <c r="F1512" s="1" t="s">
        <v>19</v>
      </c>
      <c r="G1512" s="1" t="s">
        <v>20</v>
      </c>
      <c r="H1512" s="1" t="s">
        <v>55</v>
      </c>
      <c r="I1512" s="1">
        <v>2</v>
      </c>
      <c r="J1512" s="1">
        <v>36.57</v>
      </c>
      <c r="K1512" s="1">
        <v>15</v>
      </c>
      <c r="L1512" s="1">
        <v>62.17</v>
      </c>
      <c r="M1512" s="1">
        <v>8.5299999999999994</v>
      </c>
      <c r="N1512" s="1">
        <v>13.41</v>
      </c>
      <c r="O1512" s="6" t="s">
        <v>39</v>
      </c>
      <c r="P1512" s="8">
        <f>Table1[Quantity]*Table1[Unit_Price]</f>
        <v>73.14</v>
      </c>
      <c r="Q1512" s="1">
        <f>Table1[Profit]/Table1[Total_Sales]</f>
        <v>0.21569889013993887</v>
      </c>
      <c r="R1512" s="14">
        <f>Table1[Total_Sales]+Table1[Shipping_Cost]</f>
        <v>70.7</v>
      </c>
    </row>
    <row r="1513" spans="1:18" x14ac:dyDescent="0.35">
      <c r="A1513" s="3" t="s">
        <v>2838</v>
      </c>
      <c r="B1513" s="2">
        <v>45775</v>
      </c>
      <c r="C1513" s="1" t="s">
        <v>1511</v>
      </c>
      <c r="D1513" s="1" t="s">
        <v>17</v>
      </c>
      <c r="E1513" s="1" t="s">
        <v>85</v>
      </c>
      <c r="F1513" s="1" t="s">
        <v>60</v>
      </c>
      <c r="G1513" s="1" t="s">
        <v>20</v>
      </c>
      <c r="H1513" s="1" t="s">
        <v>175</v>
      </c>
      <c r="I1513" s="1">
        <v>7</v>
      </c>
      <c r="J1513" s="1">
        <v>19.93</v>
      </c>
      <c r="K1513" s="1">
        <v>10</v>
      </c>
      <c r="L1513" s="1">
        <v>125.56</v>
      </c>
      <c r="M1513" s="1">
        <v>20.75</v>
      </c>
      <c r="N1513" s="1">
        <v>28.08</v>
      </c>
      <c r="O1513" s="6" t="s">
        <v>39</v>
      </c>
      <c r="P1513" s="8">
        <f>Table1[Quantity]*Table1[Unit_Price]</f>
        <v>139.51</v>
      </c>
      <c r="Q1513" s="1">
        <f>Table1[Profit]/Table1[Total_Sales]</f>
        <v>0.22363810130614845</v>
      </c>
      <c r="R1513" s="14">
        <f>Table1[Total_Sales]+Table1[Shipping_Cost]</f>
        <v>146.31</v>
      </c>
    </row>
    <row r="1514" spans="1:18" x14ac:dyDescent="0.35">
      <c r="A1514" s="3" t="s">
        <v>2839</v>
      </c>
      <c r="B1514" s="2">
        <v>45775</v>
      </c>
      <c r="C1514" s="1" t="s">
        <v>2840</v>
      </c>
      <c r="D1514" s="1" t="s">
        <v>49</v>
      </c>
      <c r="E1514" s="1" t="s">
        <v>37</v>
      </c>
      <c r="F1514" s="1" t="s">
        <v>26</v>
      </c>
      <c r="G1514" s="1" t="s">
        <v>32</v>
      </c>
      <c r="H1514" s="1" t="s">
        <v>132</v>
      </c>
      <c r="I1514" s="1">
        <v>1</v>
      </c>
      <c r="J1514" s="1">
        <v>9.5</v>
      </c>
      <c r="K1514" s="1">
        <v>10</v>
      </c>
      <c r="L1514" s="1">
        <v>8.5500000000000007</v>
      </c>
      <c r="M1514" s="1">
        <v>8.3000000000000007</v>
      </c>
      <c r="N1514" s="1">
        <v>-4.03</v>
      </c>
      <c r="O1514" s="6" t="s">
        <v>39</v>
      </c>
      <c r="P1514" s="8">
        <f>Table1[Quantity]*Table1[Unit_Price]</f>
        <v>9.5</v>
      </c>
      <c r="Q1514" s="1">
        <f>Table1[Profit]/Table1[Total_Sales]</f>
        <v>-0.47134502923976607</v>
      </c>
      <c r="R1514" s="14">
        <f>Table1[Total_Sales]+Table1[Shipping_Cost]</f>
        <v>16.850000000000001</v>
      </c>
    </row>
    <row r="1515" spans="1:18" x14ac:dyDescent="0.35">
      <c r="A1515" s="3" t="s">
        <v>2841</v>
      </c>
      <c r="B1515" s="2">
        <v>45775</v>
      </c>
      <c r="C1515" s="1" t="s">
        <v>2842</v>
      </c>
      <c r="D1515" s="1" t="s">
        <v>49</v>
      </c>
      <c r="E1515" s="1" t="s">
        <v>138</v>
      </c>
      <c r="F1515" s="1" t="s">
        <v>54</v>
      </c>
      <c r="G1515" s="1" t="s">
        <v>32</v>
      </c>
      <c r="H1515" s="1" t="s">
        <v>132</v>
      </c>
      <c r="I1515" s="1">
        <v>8</v>
      </c>
      <c r="J1515" s="1">
        <v>17.87</v>
      </c>
      <c r="K1515" s="1">
        <v>20</v>
      </c>
      <c r="L1515" s="1">
        <v>114.37</v>
      </c>
      <c r="M1515" s="1">
        <v>18.77</v>
      </c>
      <c r="N1515" s="1">
        <v>31.27</v>
      </c>
      <c r="O1515" s="6" t="s">
        <v>39</v>
      </c>
      <c r="P1515" s="8">
        <f>Table1[Quantity]*Table1[Unit_Price]</f>
        <v>142.96</v>
      </c>
      <c r="Q1515" s="1">
        <f>Table1[Profit]/Table1[Total_Sales]</f>
        <v>0.27341085949112526</v>
      </c>
      <c r="R1515" s="14">
        <f>Table1[Total_Sales]+Table1[Shipping_Cost]</f>
        <v>133.14000000000001</v>
      </c>
    </row>
    <row r="1516" spans="1:18" x14ac:dyDescent="0.35">
      <c r="A1516" s="3" t="s">
        <v>2843</v>
      </c>
      <c r="B1516" s="2">
        <v>45777</v>
      </c>
      <c r="C1516" s="1" t="s">
        <v>2844</v>
      </c>
      <c r="D1516" s="1" t="s">
        <v>17</v>
      </c>
      <c r="E1516" s="1" t="s">
        <v>31</v>
      </c>
      <c r="F1516" s="1" t="s">
        <v>19</v>
      </c>
      <c r="G1516" s="1" t="s">
        <v>32</v>
      </c>
      <c r="H1516" s="1" t="s">
        <v>132</v>
      </c>
      <c r="I1516" s="1">
        <v>3</v>
      </c>
      <c r="J1516" s="1">
        <v>11.65</v>
      </c>
      <c r="K1516" s="1">
        <v>15</v>
      </c>
      <c r="L1516" s="1">
        <v>29.71</v>
      </c>
      <c r="M1516" s="1">
        <v>11.8</v>
      </c>
      <c r="N1516" s="1">
        <v>2.1800000000000002</v>
      </c>
      <c r="O1516" s="6" t="s">
        <v>34</v>
      </c>
      <c r="P1516" s="8">
        <f>Table1[Quantity]*Table1[Unit_Price]</f>
        <v>34.950000000000003</v>
      </c>
      <c r="Q1516" s="1">
        <f>Table1[Profit]/Table1[Total_Sales]</f>
        <v>7.3375967687647259E-2</v>
      </c>
      <c r="R1516" s="14">
        <f>Table1[Total_Sales]+Table1[Shipping_Cost]</f>
        <v>41.510000000000005</v>
      </c>
    </row>
    <row r="1517" spans="1:18" x14ac:dyDescent="0.35">
      <c r="A1517" s="3" t="s">
        <v>2845</v>
      </c>
      <c r="B1517" s="2">
        <v>45777</v>
      </c>
      <c r="C1517" s="1" t="s">
        <v>2846</v>
      </c>
      <c r="D1517" s="1" t="s">
        <v>30</v>
      </c>
      <c r="E1517" s="1" t="s">
        <v>31</v>
      </c>
      <c r="F1517" s="1" t="s">
        <v>19</v>
      </c>
      <c r="G1517" s="1" t="s">
        <v>20</v>
      </c>
      <c r="H1517" s="1" t="s">
        <v>199</v>
      </c>
      <c r="I1517" s="1">
        <v>1</v>
      </c>
      <c r="J1517" s="1">
        <v>136.78</v>
      </c>
      <c r="K1517" s="1">
        <v>10</v>
      </c>
      <c r="L1517" s="1">
        <v>123.1</v>
      </c>
      <c r="M1517" s="1">
        <v>7.09</v>
      </c>
      <c r="N1517" s="1">
        <v>40.78</v>
      </c>
      <c r="O1517" s="6" t="s">
        <v>34</v>
      </c>
      <c r="P1517" s="8">
        <f>Table1[Quantity]*Table1[Unit_Price]</f>
        <v>136.78</v>
      </c>
      <c r="Q1517" s="1">
        <f>Table1[Profit]/Table1[Total_Sales]</f>
        <v>0.33127538586515032</v>
      </c>
      <c r="R1517" s="14">
        <f>Table1[Total_Sales]+Table1[Shipping_Cost]</f>
        <v>130.19</v>
      </c>
    </row>
    <row r="1518" spans="1:18" x14ac:dyDescent="0.35">
      <c r="A1518" s="3" t="s">
        <v>2847</v>
      </c>
      <c r="B1518" s="2">
        <v>45778</v>
      </c>
      <c r="C1518" s="1" t="s">
        <v>2047</v>
      </c>
      <c r="D1518" s="1" t="s">
        <v>49</v>
      </c>
      <c r="E1518" s="1" t="s">
        <v>248</v>
      </c>
      <c r="F1518" s="1" t="s">
        <v>26</v>
      </c>
      <c r="G1518" s="1" t="s">
        <v>69</v>
      </c>
      <c r="H1518" s="1" t="s">
        <v>163</v>
      </c>
      <c r="I1518" s="1">
        <v>9</v>
      </c>
      <c r="J1518" s="1">
        <v>25.8</v>
      </c>
      <c r="K1518" s="1">
        <v>0</v>
      </c>
      <c r="L1518" s="1">
        <v>232.2</v>
      </c>
      <c r="M1518" s="1">
        <v>17.11</v>
      </c>
      <c r="N1518" s="1">
        <v>98.99</v>
      </c>
      <c r="O1518" s="6" t="s">
        <v>39</v>
      </c>
      <c r="P1518" s="8">
        <f>Table1[Quantity]*Table1[Unit_Price]</f>
        <v>232.20000000000002</v>
      </c>
      <c r="Q1518" s="1">
        <f>Table1[Profit]/Table1[Total_Sales]</f>
        <v>0.42631352282515073</v>
      </c>
      <c r="R1518" s="14">
        <f>Table1[Total_Sales]+Table1[Shipping_Cost]</f>
        <v>249.31</v>
      </c>
    </row>
    <row r="1519" spans="1:18" x14ac:dyDescent="0.35">
      <c r="A1519" s="3" t="s">
        <v>2848</v>
      </c>
      <c r="B1519" s="2">
        <v>45778</v>
      </c>
      <c r="C1519" s="1" t="s">
        <v>2693</v>
      </c>
      <c r="D1519" s="1" t="s">
        <v>17</v>
      </c>
      <c r="E1519" s="1" t="s">
        <v>67</v>
      </c>
      <c r="F1519" s="1" t="s">
        <v>68</v>
      </c>
      <c r="G1519" s="1" t="s">
        <v>69</v>
      </c>
      <c r="H1519" s="1" t="s">
        <v>79</v>
      </c>
      <c r="I1519" s="1">
        <v>8</v>
      </c>
      <c r="J1519" s="1">
        <v>34</v>
      </c>
      <c r="K1519" s="1">
        <v>30</v>
      </c>
      <c r="L1519" s="1">
        <v>190.4</v>
      </c>
      <c r="M1519" s="1">
        <v>15.18</v>
      </c>
      <c r="N1519" s="1">
        <v>39.22</v>
      </c>
      <c r="O1519" s="6" t="s">
        <v>22</v>
      </c>
      <c r="P1519" s="8">
        <f>Table1[Quantity]*Table1[Unit_Price]</f>
        <v>272</v>
      </c>
      <c r="Q1519" s="1">
        <f>Table1[Profit]/Table1[Total_Sales]</f>
        <v>0.20598739495798318</v>
      </c>
      <c r="R1519" s="14">
        <f>Table1[Total_Sales]+Table1[Shipping_Cost]</f>
        <v>205.58</v>
      </c>
    </row>
    <row r="1520" spans="1:18" x14ac:dyDescent="0.35">
      <c r="A1520" s="3" t="s">
        <v>2849</v>
      </c>
      <c r="B1520" s="2">
        <v>45778</v>
      </c>
      <c r="C1520" s="1" t="s">
        <v>2850</v>
      </c>
      <c r="D1520" s="1" t="s">
        <v>30</v>
      </c>
      <c r="E1520" s="1" t="s">
        <v>76</v>
      </c>
      <c r="F1520" s="1" t="s">
        <v>26</v>
      </c>
      <c r="G1520" s="1" t="s">
        <v>42</v>
      </c>
      <c r="H1520" s="1" t="s">
        <v>371</v>
      </c>
      <c r="I1520" s="1">
        <v>2</v>
      </c>
      <c r="J1520" s="1">
        <v>155.18</v>
      </c>
      <c r="K1520" s="1">
        <v>25</v>
      </c>
      <c r="L1520" s="1">
        <v>232.77</v>
      </c>
      <c r="M1520" s="1">
        <v>8.56</v>
      </c>
      <c r="N1520" s="1">
        <v>37.99</v>
      </c>
      <c r="O1520" s="6" t="s">
        <v>34</v>
      </c>
      <c r="P1520" s="8">
        <f>Table1[Quantity]*Table1[Unit_Price]</f>
        <v>310.36</v>
      </c>
      <c r="Q1520" s="1">
        <f>Table1[Profit]/Table1[Total_Sales]</f>
        <v>0.16320831722300985</v>
      </c>
      <c r="R1520" s="14">
        <f>Table1[Total_Sales]+Table1[Shipping_Cost]</f>
        <v>241.33</v>
      </c>
    </row>
    <row r="1521" spans="1:18" x14ac:dyDescent="0.35">
      <c r="A1521" s="3" t="s">
        <v>2851</v>
      </c>
      <c r="B1521" s="2">
        <v>45779</v>
      </c>
      <c r="C1521" s="1" t="s">
        <v>585</v>
      </c>
      <c r="D1521" s="1" t="s">
        <v>17</v>
      </c>
      <c r="E1521" s="1" t="s">
        <v>135</v>
      </c>
      <c r="F1521" s="1" t="s">
        <v>26</v>
      </c>
      <c r="G1521" s="1" t="s">
        <v>42</v>
      </c>
      <c r="H1521" s="1" t="s">
        <v>234</v>
      </c>
      <c r="I1521" s="1">
        <v>2</v>
      </c>
      <c r="J1521" s="1">
        <v>59.73</v>
      </c>
      <c r="K1521" s="1">
        <v>5</v>
      </c>
      <c r="L1521" s="1">
        <v>113.49</v>
      </c>
      <c r="M1521" s="1">
        <v>10.47</v>
      </c>
      <c r="N1521" s="1">
        <v>31.34</v>
      </c>
      <c r="O1521" s="6" t="s">
        <v>39</v>
      </c>
      <c r="P1521" s="8">
        <f>Table1[Quantity]*Table1[Unit_Price]</f>
        <v>119.46</v>
      </c>
      <c r="Q1521" s="1">
        <f>Table1[Profit]/Table1[Total_Sales]</f>
        <v>0.2761476782095339</v>
      </c>
      <c r="R1521" s="14">
        <f>Table1[Total_Sales]+Table1[Shipping_Cost]</f>
        <v>123.96</v>
      </c>
    </row>
    <row r="1522" spans="1:18" x14ac:dyDescent="0.35">
      <c r="A1522" s="3" t="s">
        <v>2852</v>
      </c>
      <c r="B1522" s="2">
        <v>45779</v>
      </c>
      <c r="C1522" s="1" t="s">
        <v>2853</v>
      </c>
      <c r="D1522" s="1" t="s">
        <v>30</v>
      </c>
      <c r="E1522" s="1" t="s">
        <v>18</v>
      </c>
      <c r="F1522" s="1" t="s">
        <v>19</v>
      </c>
      <c r="G1522" s="1" t="s">
        <v>42</v>
      </c>
      <c r="H1522" s="1" t="s">
        <v>43</v>
      </c>
      <c r="I1522" s="1">
        <v>5</v>
      </c>
      <c r="J1522" s="1">
        <v>217.51</v>
      </c>
      <c r="K1522" s="1">
        <v>15</v>
      </c>
      <c r="L1522" s="1">
        <v>924.42</v>
      </c>
      <c r="M1522" s="1">
        <v>16.809999999999999</v>
      </c>
      <c r="N1522" s="1">
        <v>255.08</v>
      </c>
      <c r="O1522" s="6" t="s">
        <v>34</v>
      </c>
      <c r="P1522" s="8">
        <f>Table1[Quantity]*Table1[Unit_Price]</f>
        <v>1087.55</v>
      </c>
      <c r="Q1522" s="1">
        <f>Table1[Profit]/Table1[Total_Sales]</f>
        <v>0.27593518097834319</v>
      </c>
      <c r="R1522" s="14">
        <f>Table1[Total_Sales]+Table1[Shipping_Cost]</f>
        <v>941.2299999999999</v>
      </c>
    </row>
    <row r="1523" spans="1:18" x14ac:dyDescent="0.35">
      <c r="A1523" s="3" t="s">
        <v>2854</v>
      </c>
      <c r="B1523" s="2">
        <v>45780</v>
      </c>
      <c r="C1523" s="1" t="s">
        <v>2855</v>
      </c>
      <c r="D1523" s="1" t="s">
        <v>17</v>
      </c>
      <c r="E1523" s="1" t="s">
        <v>148</v>
      </c>
      <c r="F1523" s="1" t="s">
        <v>60</v>
      </c>
      <c r="G1523" s="1" t="s">
        <v>42</v>
      </c>
      <c r="H1523" s="1" t="s">
        <v>234</v>
      </c>
      <c r="I1523" s="1">
        <v>2</v>
      </c>
      <c r="J1523" s="1">
        <v>60.6</v>
      </c>
      <c r="K1523" s="1">
        <v>10</v>
      </c>
      <c r="L1523" s="1">
        <v>109.08</v>
      </c>
      <c r="M1523" s="1">
        <v>10.52</v>
      </c>
      <c r="N1523" s="1">
        <v>25.84</v>
      </c>
      <c r="O1523" s="6" t="s">
        <v>34</v>
      </c>
      <c r="P1523" s="8">
        <f>Table1[Quantity]*Table1[Unit_Price]</f>
        <v>121.2</v>
      </c>
      <c r="Q1523" s="1">
        <f>Table1[Profit]/Table1[Total_Sales]</f>
        <v>0.2368903557022369</v>
      </c>
      <c r="R1523" s="14">
        <f>Table1[Total_Sales]+Table1[Shipping_Cost]</f>
        <v>119.6</v>
      </c>
    </row>
    <row r="1524" spans="1:18" x14ac:dyDescent="0.35">
      <c r="A1524" s="3" t="s">
        <v>2856</v>
      </c>
      <c r="B1524" s="2">
        <v>45780</v>
      </c>
      <c r="C1524" s="1" t="s">
        <v>2857</v>
      </c>
      <c r="D1524" s="1" t="s">
        <v>30</v>
      </c>
      <c r="E1524" s="1" t="s">
        <v>85</v>
      </c>
      <c r="F1524" s="1" t="s">
        <v>60</v>
      </c>
      <c r="G1524" s="1" t="s">
        <v>42</v>
      </c>
      <c r="H1524" s="1" t="s">
        <v>43</v>
      </c>
      <c r="I1524" s="1">
        <v>5</v>
      </c>
      <c r="J1524" s="1">
        <v>166.65</v>
      </c>
      <c r="K1524" s="1">
        <v>5</v>
      </c>
      <c r="L1524" s="1">
        <v>791.59</v>
      </c>
      <c r="M1524" s="1">
        <v>13.99</v>
      </c>
      <c r="N1524" s="1">
        <v>277.64999999999998</v>
      </c>
      <c r="O1524" s="6" t="s">
        <v>56</v>
      </c>
      <c r="P1524" s="8">
        <f>Table1[Quantity]*Table1[Unit_Price]</f>
        <v>833.25</v>
      </c>
      <c r="Q1524" s="1">
        <f>Table1[Profit]/Table1[Total_Sales]</f>
        <v>0.35074975681855503</v>
      </c>
      <c r="R1524" s="14">
        <f>Table1[Total_Sales]+Table1[Shipping_Cost]</f>
        <v>805.58</v>
      </c>
    </row>
    <row r="1525" spans="1:18" x14ac:dyDescent="0.35">
      <c r="A1525" s="3" t="s">
        <v>2858</v>
      </c>
      <c r="B1525" s="2">
        <v>45781</v>
      </c>
      <c r="C1525" s="1" t="s">
        <v>2859</v>
      </c>
      <c r="D1525" s="1" t="s">
        <v>30</v>
      </c>
      <c r="E1525" s="1" t="s">
        <v>37</v>
      </c>
      <c r="F1525" s="1" t="s">
        <v>26</v>
      </c>
      <c r="G1525" s="1" t="s">
        <v>32</v>
      </c>
      <c r="H1525" s="1" t="s">
        <v>82</v>
      </c>
      <c r="I1525" s="1">
        <v>6</v>
      </c>
      <c r="J1525" s="1">
        <v>12.86</v>
      </c>
      <c r="K1525" s="1">
        <v>15</v>
      </c>
      <c r="L1525" s="1">
        <v>65.59</v>
      </c>
      <c r="M1525" s="1">
        <v>16.27</v>
      </c>
      <c r="N1525" s="1">
        <v>14.6</v>
      </c>
      <c r="O1525" s="6" t="s">
        <v>34</v>
      </c>
      <c r="P1525" s="8">
        <f>Table1[Quantity]*Table1[Unit_Price]</f>
        <v>77.16</v>
      </c>
      <c r="Q1525" s="1">
        <f>Table1[Profit]/Table1[Total_Sales]</f>
        <v>0.22259490776032931</v>
      </c>
      <c r="R1525" s="14">
        <f>Table1[Total_Sales]+Table1[Shipping_Cost]</f>
        <v>81.86</v>
      </c>
    </row>
    <row r="1526" spans="1:18" x14ac:dyDescent="0.35">
      <c r="A1526" s="3" t="s">
        <v>2860</v>
      </c>
      <c r="B1526" s="2">
        <v>45781</v>
      </c>
      <c r="C1526" s="1" t="s">
        <v>2861</v>
      </c>
      <c r="D1526" s="1" t="s">
        <v>49</v>
      </c>
      <c r="E1526" s="1" t="s">
        <v>248</v>
      </c>
      <c r="F1526" s="1" t="s">
        <v>26</v>
      </c>
      <c r="G1526" s="1" t="s">
        <v>20</v>
      </c>
      <c r="H1526" s="1" t="s">
        <v>27</v>
      </c>
      <c r="I1526" s="1">
        <v>5</v>
      </c>
      <c r="J1526" s="1">
        <v>53.7</v>
      </c>
      <c r="K1526" s="1">
        <v>5</v>
      </c>
      <c r="L1526" s="1">
        <v>255.07</v>
      </c>
      <c r="M1526" s="1">
        <v>19.21</v>
      </c>
      <c r="N1526" s="1">
        <v>88.18</v>
      </c>
      <c r="O1526" s="6" t="s">
        <v>39</v>
      </c>
      <c r="P1526" s="8">
        <f>Table1[Quantity]*Table1[Unit_Price]</f>
        <v>268.5</v>
      </c>
      <c r="Q1526" s="1">
        <f>Table1[Profit]/Table1[Total_Sales]</f>
        <v>0.3457090210530443</v>
      </c>
      <c r="R1526" s="14">
        <f>Table1[Total_Sales]+Table1[Shipping_Cost]</f>
        <v>274.27999999999997</v>
      </c>
    </row>
    <row r="1527" spans="1:18" x14ac:dyDescent="0.35">
      <c r="A1527" s="3" t="s">
        <v>2862</v>
      </c>
      <c r="B1527" s="2">
        <v>45781</v>
      </c>
      <c r="C1527" s="1" t="s">
        <v>1394</v>
      </c>
      <c r="D1527" s="1" t="s">
        <v>30</v>
      </c>
      <c r="E1527" s="1" t="s">
        <v>109</v>
      </c>
      <c r="F1527" s="1" t="s">
        <v>54</v>
      </c>
      <c r="G1527" s="1" t="s">
        <v>42</v>
      </c>
      <c r="H1527" s="1" t="s">
        <v>43</v>
      </c>
      <c r="I1527" s="1">
        <v>1</v>
      </c>
      <c r="J1527" s="1">
        <v>129.13999999999999</v>
      </c>
      <c r="K1527" s="1">
        <v>0</v>
      </c>
      <c r="L1527" s="1">
        <v>129.13999999999999</v>
      </c>
      <c r="M1527" s="1">
        <v>12.2</v>
      </c>
      <c r="N1527" s="1">
        <v>39.46</v>
      </c>
      <c r="O1527" s="6" t="s">
        <v>39</v>
      </c>
      <c r="P1527" s="8">
        <f>Table1[Quantity]*Table1[Unit_Price]</f>
        <v>129.13999999999999</v>
      </c>
      <c r="Q1527" s="1">
        <f>Table1[Profit]/Table1[Total_Sales]</f>
        <v>0.30555985751897169</v>
      </c>
      <c r="R1527" s="14">
        <f>Table1[Total_Sales]+Table1[Shipping_Cost]</f>
        <v>141.33999999999997</v>
      </c>
    </row>
    <row r="1528" spans="1:18" x14ac:dyDescent="0.35">
      <c r="A1528" s="3" t="s">
        <v>2863</v>
      </c>
      <c r="B1528" s="2">
        <v>45781</v>
      </c>
      <c r="C1528" s="1" t="s">
        <v>2864</v>
      </c>
      <c r="D1528" s="1" t="s">
        <v>49</v>
      </c>
      <c r="E1528" s="1" t="s">
        <v>18</v>
      </c>
      <c r="F1528" s="1" t="s">
        <v>19</v>
      </c>
      <c r="G1528" s="1" t="s">
        <v>20</v>
      </c>
      <c r="H1528" s="1" t="s">
        <v>106</v>
      </c>
      <c r="I1528" s="1">
        <v>1</v>
      </c>
      <c r="J1528" s="1">
        <v>31.62</v>
      </c>
      <c r="K1528" s="1">
        <v>5</v>
      </c>
      <c r="L1528" s="1">
        <v>30.04</v>
      </c>
      <c r="M1528" s="1">
        <v>7.3</v>
      </c>
      <c r="N1528" s="1">
        <v>5.35</v>
      </c>
      <c r="O1528" s="6" t="s">
        <v>56</v>
      </c>
      <c r="P1528" s="8">
        <f>Table1[Quantity]*Table1[Unit_Price]</f>
        <v>31.62</v>
      </c>
      <c r="Q1528" s="1">
        <f>Table1[Profit]/Table1[Total_Sales]</f>
        <v>0.1780958721704394</v>
      </c>
      <c r="R1528" s="14">
        <f>Table1[Total_Sales]+Table1[Shipping_Cost]</f>
        <v>37.339999999999996</v>
      </c>
    </row>
    <row r="1529" spans="1:18" x14ac:dyDescent="0.35">
      <c r="A1529" s="3" t="s">
        <v>2865</v>
      </c>
      <c r="B1529" s="2">
        <v>45783</v>
      </c>
      <c r="C1529" s="1" t="s">
        <v>1958</v>
      </c>
      <c r="D1529" s="1" t="s">
        <v>30</v>
      </c>
      <c r="E1529" s="1" t="s">
        <v>129</v>
      </c>
      <c r="F1529" s="1" t="s">
        <v>19</v>
      </c>
      <c r="G1529" s="1" t="s">
        <v>20</v>
      </c>
      <c r="H1529" s="1" t="s">
        <v>170</v>
      </c>
      <c r="I1529" s="1">
        <v>8</v>
      </c>
      <c r="J1529" s="1">
        <v>56.61</v>
      </c>
      <c r="K1529" s="1">
        <v>10</v>
      </c>
      <c r="L1529" s="1">
        <v>407.59</v>
      </c>
      <c r="M1529" s="1">
        <v>12.04</v>
      </c>
      <c r="N1529" s="1">
        <v>146.47</v>
      </c>
      <c r="O1529" s="6" t="s">
        <v>34</v>
      </c>
      <c r="P1529" s="8">
        <f>Table1[Quantity]*Table1[Unit_Price]</f>
        <v>452.88</v>
      </c>
      <c r="Q1529" s="1">
        <f>Table1[Profit]/Table1[Total_Sales]</f>
        <v>0.3593562158050983</v>
      </c>
      <c r="R1529" s="14">
        <f>Table1[Total_Sales]+Table1[Shipping_Cost]</f>
        <v>419.63</v>
      </c>
    </row>
    <row r="1530" spans="1:18" x14ac:dyDescent="0.35">
      <c r="A1530" s="3" t="s">
        <v>2866</v>
      </c>
      <c r="B1530" s="2">
        <v>45783</v>
      </c>
      <c r="C1530" s="1" t="s">
        <v>2867</v>
      </c>
      <c r="D1530" s="1" t="s">
        <v>30</v>
      </c>
      <c r="E1530" s="1" t="s">
        <v>67</v>
      </c>
      <c r="F1530" s="1" t="s">
        <v>68</v>
      </c>
      <c r="G1530" s="1" t="s">
        <v>20</v>
      </c>
      <c r="H1530" s="1" t="s">
        <v>21</v>
      </c>
      <c r="I1530" s="1">
        <v>1</v>
      </c>
      <c r="J1530" s="1">
        <v>82.26</v>
      </c>
      <c r="K1530" s="1">
        <v>10</v>
      </c>
      <c r="L1530" s="1">
        <v>74.03</v>
      </c>
      <c r="M1530" s="1">
        <v>11.14</v>
      </c>
      <c r="N1530" s="1">
        <v>17.649999999999999</v>
      </c>
      <c r="O1530" s="6" t="s">
        <v>34</v>
      </c>
      <c r="P1530" s="8">
        <f>Table1[Quantity]*Table1[Unit_Price]</f>
        <v>82.26</v>
      </c>
      <c r="Q1530" s="1">
        <f>Table1[Profit]/Table1[Total_Sales]</f>
        <v>0.23841685803052814</v>
      </c>
      <c r="R1530" s="14">
        <f>Table1[Total_Sales]+Table1[Shipping_Cost]</f>
        <v>85.17</v>
      </c>
    </row>
    <row r="1531" spans="1:18" x14ac:dyDescent="0.35">
      <c r="A1531" s="3" t="s">
        <v>2868</v>
      </c>
      <c r="B1531" s="2">
        <v>45783</v>
      </c>
      <c r="C1531" s="1" t="s">
        <v>2869</v>
      </c>
      <c r="D1531" s="1" t="s">
        <v>30</v>
      </c>
      <c r="E1531" s="1" t="s">
        <v>121</v>
      </c>
      <c r="F1531" s="1" t="s">
        <v>68</v>
      </c>
      <c r="G1531" s="1" t="s">
        <v>69</v>
      </c>
      <c r="H1531" s="1" t="s">
        <v>305</v>
      </c>
      <c r="I1531" s="1">
        <v>1</v>
      </c>
      <c r="J1531" s="1">
        <v>29.71</v>
      </c>
      <c r="K1531" s="1">
        <v>0</v>
      </c>
      <c r="L1531" s="1">
        <v>29.71</v>
      </c>
      <c r="M1531" s="1">
        <v>11.72</v>
      </c>
      <c r="N1531" s="1">
        <v>3.13</v>
      </c>
      <c r="O1531" s="6" t="s">
        <v>39</v>
      </c>
      <c r="P1531" s="8">
        <f>Table1[Quantity]*Table1[Unit_Price]</f>
        <v>29.71</v>
      </c>
      <c r="Q1531" s="1">
        <f>Table1[Profit]/Table1[Total_Sales]</f>
        <v>0.10535173342308986</v>
      </c>
      <c r="R1531" s="14">
        <f>Table1[Total_Sales]+Table1[Shipping_Cost]</f>
        <v>41.43</v>
      </c>
    </row>
    <row r="1532" spans="1:18" x14ac:dyDescent="0.35">
      <c r="A1532" s="3" t="s">
        <v>2870</v>
      </c>
      <c r="B1532" s="2">
        <v>45783</v>
      </c>
      <c r="C1532" s="1" t="s">
        <v>2871</v>
      </c>
      <c r="D1532" s="1" t="s">
        <v>30</v>
      </c>
      <c r="E1532" s="1" t="s">
        <v>129</v>
      </c>
      <c r="F1532" s="1" t="s">
        <v>19</v>
      </c>
      <c r="G1532" s="1" t="s">
        <v>20</v>
      </c>
      <c r="H1532" s="1" t="s">
        <v>122</v>
      </c>
      <c r="I1532" s="1">
        <v>4</v>
      </c>
      <c r="J1532" s="1">
        <v>144.04</v>
      </c>
      <c r="K1532" s="1">
        <v>15</v>
      </c>
      <c r="L1532" s="1">
        <v>489.74</v>
      </c>
      <c r="M1532" s="1">
        <v>9.35</v>
      </c>
      <c r="N1532" s="1">
        <v>163.5</v>
      </c>
      <c r="O1532" s="6" t="s">
        <v>39</v>
      </c>
      <c r="P1532" s="8">
        <f>Table1[Quantity]*Table1[Unit_Price]</f>
        <v>576.16</v>
      </c>
      <c r="Q1532" s="1">
        <f>Table1[Profit]/Table1[Total_Sales]</f>
        <v>0.33385061461183485</v>
      </c>
      <c r="R1532" s="14">
        <f>Table1[Total_Sales]+Table1[Shipping_Cost]</f>
        <v>499.09000000000003</v>
      </c>
    </row>
    <row r="1533" spans="1:18" x14ac:dyDescent="0.35">
      <c r="A1533" s="3" t="s">
        <v>2872</v>
      </c>
      <c r="B1533" s="2">
        <v>45784</v>
      </c>
      <c r="C1533" s="1" t="s">
        <v>2873</v>
      </c>
      <c r="D1533" s="1" t="s">
        <v>17</v>
      </c>
      <c r="E1533" s="1" t="s">
        <v>18</v>
      </c>
      <c r="F1533" s="1" t="s">
        <v>19</v>
      </c>
      <c r="G1533" s="1" t="s">
        <v>69</v>
      </c>
      <c r="H1533" s="1" t="s">
        <v>243</v>
      </c>
      <c r="I1533" s="1">
        <v>11</v>
      </c>
      <c r="J1533" s="1">
        <v>46.45</v>
      </c>
      <c r="K1533" s="1">
        <v>5</v>
      </c>
      <c r="L1533" s="1">
        <v>485.4</v>
      </c>
      <c r="M1533" s="1">
        <v>10.89</v>
      </c>
      <c r="N1533" s="1">
        <v>219.03</v>
      </c>
      <c r="O1533" s="6" t="s">
        <v>39</v>
      </c>
      <c r="P1533" s="8">
        <f>Table1[Quantity]*Table1[Unit_Price]</f>
        <v>510.95000000000005</v>
      </c>
      <c r="Q1533" s="1">
        <f>Table1[Profit]/Table1[Total_Sales]</f>
        <v>0.45123609394313968</v>
      </c>
      <c r="R1533" s="14">
        <f>Table1[Total_Sales]+Table1[Shipping_Cost]</f>
        <v>496.28999999999996</v>
      </c>
    </row>
    <row r="1534" spans="1:18" x14ac:dyDescent="0.35">
      <c r="A1534" s="3" t="s">
        <v>2874</v>
      </c>
      <c r="B1534" s="2">
        <v>45784</v>
      </c>
      <c r="C1534" s="1" t="s">
        <v>2875</v>
      </c>
      <c r="D1534" s="1" t="s">
        <v>30</v>
      </c>
      <c r="E1534" s="1" t="s">
        <v>148</v>
      </c>
      <c r="F1534" s="1" t="s">
        <v>60</v>
      </c>
      <c r="G1534" s="1" t="s">
        <v>42</v>
      </c>
      <c r="H1534" s="1" t="s">
        <v>294</v>
      </c>
      <c r="I1534" s="1">
        <v>1</v>
      </c>
      <c r="J1534" s="1">
        <v>215.75</v>
      </c>
      <c r="K1534" s="1">
        <v>5</v>
      </c>
      <c r="L1534" s="1">
        <v>204.96</v>
      </c>
      <c r="M1534" s="1">
        <v>10.58</v>
      </c>
      <c r="N1534" s="1">
        <v>64.930000000000007</v>
      </c>
      <c r="O1534" s="6" t="s">
        <v>34</v>
      </c>
      <c r="P1534" s="8">
        <f>Table1[Quantity]*Table1[Unit_Price]</f>
        <v>215.75</v>
      </c>
      <c r="Q1534" s="1">
        <f>Table1[Profit]/Table1[Total_Sales]</f>
        <v>0.31679352068696331</v>
      </c>
      <c r="R1534" s="14">
        <f>Table1[Total_Sales]+Table1[Shipping_Cost]</f>
        <v>215.54000000000002</v>
      </c>
    </row>
    <row r="1535" spans="1:18" x14ac:dyDescent="0.35">
      <c r="A1535" s="3" t="s">
        <v>2876</v>
      </c>
      <c r="B1535" s="2">
        <v>45785</v>
      </c>
      <c r="C1535" s="1" t="s">
        <v>1111</v>
      </c>
      <c r="D1535" s="1" t="s">
        <v>30</v>
      </c>
      <c r="E1535" s="1" t="s">
        <v>148</v>
      </c>
      <c r="F1535" s="1" t="s">
        <v>60</v>
      </c>
      <c r="G1535" s="1" t="s">
        <v>32</v>
      </c>
      <c r="H1535" s="1" t="s">
        <v>115</v>
      </c>
      <c r="I1535" s="1">
        <v>4</v>
      </c>
      <c r="J1535" s="1">
        <v>18.399999999999999</v>
      </c>
      <c r="K1535" s="1">
        <v>15</v>
      </c>
      <c r="L1535" s="1">
        <v>62.56</v>
      </c>
      <c r="M1535" s="1">
        <v>15.93</v>
      </c>
      <c r="N1535" s="1">
        <v>13.51</v>
      </c>
      <c r="O1535" s="6" t="s">
        <v>22</v>
      </c>
      <c r="P1535" s="8">
        <f>Table1[Quantity]*Table1[Unit_Price]</f>
        <v>73.599999999999994</v>
      </c>
      <c r="Q1535" s="1">
        <f>Table1[Profit]/Table1[Total_Sales]</f>
        <v>0.21595268542199486</v>
      </c>
      <c r="R1535" s="14">
        <f>Table1[Total_Sales]+Table1[Shipping_Cost]</f>
        <v>78.490000000000009</v>
      </c>
    </row>
    <row r="1536" spans="1:18" x14ac:dyDescent="0.35">
      <c r="A1536" s="3" t="s">
        <v>2877</v>
      </c>
      <c r="B1536" s="2">
        <v>45785</v>
      </c>
      <c r="C1536" s="1" t="s">
        <v>2878</v>
      </c>
      <c r="D1536" s="1" t="s">
        <v>17</v>
      </c>
      <c r="E1536" s="1" t="s">
        <v>135</v>
      </c>
      <c r="F1536" s="1" t="s">
        <v>26</v>
      </c>
      <c r="G1536" s="1" t="s">
        <v>42</v>
      </c>
      <c r="H1536" s="1" t="s">
        <v>294</v>
      </c>
      <c r="I1536" s="1">
        <v>4</v>
      </c>
      <c r="J1536" s="1">
        <v>250.2</v>
      </c>
      <c r="K1536" s="1">
        <v>5</v>
      </c>
      <c r="L1536" s="1">
        <v>950.76</v>
      </c>
      <c r="M1536" s="1">
        <v>13.7</v>
      </c>
      <c r="N1536" s="1">
        <v>336.58</v>
      </c>
      <c r="O1536" s="6" t="s">
        <v>39</v>
      </c>
      <c r="P1536" s="8">
        <f>Table1[Quantity]*Table1[Unit_Price]</f>
        <v>1000.8</v>
      </c>
      <c r="Q1536" s="1">
        <f>Table1[Profit]/Table1[Total_Sales]</f>
        <v>0.35401152762000926</v>
      </c>
      <c r="R1536" s="14">
        <f>Table1[Total_Sales]+Table1[Shipping_Cost]</f>
        <v>964.46</v>
      </c>
    </row>
    <row r="1537" spans="1:18" x14ac:dyDescent="0.35">
      <c r="A1537" s="3" t="s">
        <v>2879</v>
      </c>
      <c r="B1537" s="2">
        <v>45785</v>
      </c>
      <c r="C1537" s="1" t="s">
        <v>1160</v>
      </c>
      <c r="D1537" s="1" t="s">
        <v>30</v>
      </c>
      <c r="E1537" s="1" t="s">
        <v>169</v>
      </c>
      <c r="F1537" s="1" t="s">
        <v>68</v>
      </c>
      <c r="G1537" s="1" t="s">
        <v>32</v>
      </c>
      <c r="H1537" s="1" t="s">
        <v>115</v>
      </c>
      <c r="I1537" s="1">
        <v>7</v>
      </c>
      <c r="J1537" s="1">
        <v>17.16</v>
      </c>
      <c r="K1537" s="1">
        <v>0</v>
      </c>
      <c r="L1537" s="1">
        <v>120.12</v>
      </c>
      <c r="M1537" s="1">
        <v>18.68</v>
      </c>
      <c r="N1537" s="1">
        <v>47.39</v>
      </c>
      <c r="O1537" s="6" t="s">
        <v>39</v>
      </c>
      <c r="P1537" s="8">
        <f>Table1[Quantity]*Table1[Unit_Price]</f>
        <v>120.12</v>
      </c>
      <c r="Q1537" s="1">
        <f>Table1[Profit]/Table1[Total_Sales]</f>
        <v>0.39452214452214451</v>
      </c>
      <c r="R1537" s="14">
        <f>Table1[Total_Sales]+Table1[Shipping_Cost]</f>
        <v>138.80000000000001</v>
      </c>
    </row>
    <row r="1538" spans="1:18" x14ac:dyDescent="0.35">
      <c r="A1538" s="3" t="s">
        <v>2880</v>
      </c>
      <c r="B1538" s="2">
        <v>45785</v>
      </c>
      <c r="C1538" s="1" t="s">
        <v>2881</v>
      </c>
      <c r="D1538" s="1" t="s">
        <v>49</v>
      </c>
      <c r="E1538" s="1" t="s">
        <v>166</v>
      </c>
      <c r="F1538" s="1" t="s">
        <v>60</v>
      </c>
      <c r="G1538" s="1" t="s">
        <v>32</v>
      </c>
      <c r="H1538" s="1" t="s">
        <v>82</v>
      </c>
      <c r="I1538" s="1">
        <v>3</v>
      </c>
      <c r="J1538" s="1">
        <v>18.940000000000001</v>
      </c>
      <c r="K1538" s="1">
        <v>5</v>
      </c>
      <c r="L1538" s="1">
        <v>53.98</v>
      </c>
      <c r="M1538" s="1">
        <v>14.46</v>
      </c>
      <c r="N1538" s="1">
        <v>13.95</v>
      </c>
      <c r="O1538" s="6" t="s">
        <v>34</v>
      </c>
      <c r="P1538" s="8">
        <f>Table1[Quantity]*Table1[Unit_Price]</f>
        <v>56.820000000000007</v>
      </c>
      <c r="Q1538" s="1">
        <f>Table1[Profit]/Table1[Total_Sales]</f>
        <v>0.25842904779547982</v>
      </c>
      <c r="R1538" s="14">
        <f>Table1[Total_Sales]+Table1[Shipping_Cost]</f>
        <v>68.44</v>
      </c>
    </row>
    <row r="1539" spans="1:18" x14ac:dyDescent="0.35">
      <c r="A1539" s="3" t="s">
        <v>2882</v>
      </c>
      <c r="B1539" s="2">
        <v>45785</v>
      </c>
      <c r="C1539" s="1" t="s">
        <v>2883</v>
      </c>
      <c r="D1539" s="1" t="s">
        <v>30</v>
      </c>
      <c r="E1539" s="1" t="s">
        <v>59</v>
      </c>
      <c r="F1539" s="1" t="s">
        <v>60</v>
      </c>
      <c r="G1539" s="1" t="s">
        <v>20</v>
      </c>
      <c r="H1539" s="1" t="s">
        <v>199</v>
      </c>
      <c r="I1539" s="1">
        <v>2</v>
      </c>
      <c r="J1539" s="1">
        <v>45.23</v>
      </c>
      <c r="K1539" s="1">
        <v>10</v>
      </c>
      <c r="L1539" s="1">
        <v>81.41</v>
      </c>
      <c r="M1539" s="1">
        <v>12.87</v>
      </c>
      <c r="N1539" s="1">
        <v>18.79</v>
      </c>
      <c r="O1539" s="6" t="s">
        <v>39</v>
      </c>
      <c r="P1539" s="8">
        <f>Table1[Quantity]*Table1[Unit_Price]</f>
        <v>90.46</v>
      </c>
      <c r="Q1539" s="1">
        <f>Table1[Profit]/Table1[Total_Sales]</f>
        <v>0.23080702616386192</v>
      </c>
      <c r="R1539" s="14">
        <f>Table1[Total_Sales]+Table1[Shipping_Cost]</f>
        <v>94.28</v>
      </c>
    </row>
    <row r="1540" spans="1:18" x14ac:dyDescent="0.35">
      <c r="A1540" s="3" t="s">
        <v>2884</v>
      </c>
      <c r="B1540" s="2">
        <v>45786</v>
      </c>
      <c r="C1540" s="1" t="s">
        <v>2885</v>
      </c>
      <c r="D1540" s="1" t="s">
        <v>30</v>
      </c>
      <c r="E1540" s="1" t="s">
        <v>148</v>
      </c>
      <c r="F1540" s="1" t="s">
        <v>60</v>
      </c>
      <c r="G1540" s="1" t="s">
        <v>20</v>
      </c>
      <c r="H1540" s="1" t="s">
        <v>175</v>
      </c>
      <c r="I1540" s="1">
        <v>7</v>
      </c>
      <c r="J1540" s="1">
        <v>26.13</v>
      </c>
      <c r="K1540" s="1">
        <v>15</v>
      </c>
      <c r="L1540" s="1">
        <v>155.47</v>
      </c>
      <c r="M1540" s="1">
        <v>14.74</v>
      </c>
      <c r="N1540" s="1">
        <v>40.130000000000003</v>
      </c>
      <c r="O1540" s="6" t="s">
        <v>39</v>
      </c>
      <c r="P1540" s="8">
        <f>Table1[Quantity]*Table1[Unit_Price]</f>
        <v>182.91</v>
      </c>
      <c r="Q1540" s="1">
        <f>Table1[Profit]/Table1[Total_Sales]</f>
        <v>0.25812053772431981</v>
      </c>
      <c r="R1540" s="14">
        <f>Table1[Total_Sales]+Table1[Shipping_Cost]</f>
        <v>170.21</v>
      </c>
    </row>
    <row r="1541" spans="1:18" x14ac:dyDescent="0.35">
      <c r="A1541" s="3" t="s">
        <v>2886</v>
      </c>
      <c r="B1541" s="2">
        <v>45786</v>
      </c>
      <c r="C1541" s="1" t="s">
        <v>2887</v>
      </c>
      <c r="D1541" s="1" t="s">
        <v>30</v>
      </c>
      <c r="E1541" s="1" t="s">
        <v>31</v>
      </c>
      <c r="F1541" s="1" t="s">
        <v>19</v>
      </c>
      <c r="G1541" s="1" t="s">
        <v>69</v>
      </c>
      <c r="H1541" s="1" t="s">
        <v>79</v>
      </c>
      <c r="I1541" s="1">
        <v>3</v>
      </c>
      <c r="J1541" s="1">
        <v>37.700000000000003</v>
      </c>
      <c r="K1541" s="1">
        <v>10</v>
      </c>
      <c r="L1541" s="1">
        <v>101.79</v>
      </c>
      <c r="M1541" s="1">
        <v>6.73</v>
      </c>
      <c r="N1541" s="1">
        <v>38.51</v>
      </c>
      <c r="O1541" s="6" t="s">
        <v>56</v>
      </c>
      <c r="P1541" s="8">
        <f>Table1[Quantity]*Table1[Unit_Price]</f>
        <v>113.10000000000001</v>
      </c>
      <c r="Q1541" s="1">
        <f>Table1[Profit]/Table1[Total_Sales]</f>
        <v>0.37832793005206794</v>
      </c>
      <c r="R1541" s="14">
        <f>Table1[Total_Sales]+Table1[Shipping_Cost]</f>
        <v>108.52000000000001</v>
      </c>
    </row>
    <row r="1542" spans="1:18" x14ac:dyDescent="0.35">
      <c r="A1542" s="3" t="s">
        <v>2888</v>
      </c>
      <c r="B1542" s="2">
        <v>45786</v>
      </c>
      <c r="C1542" s="1" t="s">
        <v>1150</v>
      </c>
      <c r="D1542" s="1" t="s">
        <v>30</v>
      </c>
      <c r="E1542" s="1" t="s">
        <v>121</v>
      </c>
      <c r="F1542" s="1" t="s">
        <v>68</v>
      </c>
      <c r="G1542" s="1" t="s">
        <v>69</v>
      </c>
      <c r="H1542" s="1" t="s">
        <v>98</v>
      </c>
      <c r="I1542" s="1">
        <v>2</v>
      </c>
      <c r="J1542" s="1">
        <v>26.13</v>
      </c>
      <c r="K1542" s="1">
        <v>0</v>
      </c>
      <c r="L1542" s="1">
        <v>52.26</v>
      </c>
      <c r="M1542" s="1">
        <v>14.83</v>
      </c>
      <c r="N1542" s="1">
        <v>11.3</v>
      </c>
      <c r="O1542" s="6" t="s">
        <v>39</v>
      </c>
      <c r="P1542" s="8">
        <f>Table1[Quantity]*Table1[Unit_Price]</f>
        <v>52.26</v>
      </c>
      <c r="Q1542" s="1">
        <f>Table1[Profit]/Table1[Total_Sales]</f>
        <v>0.21622655951014161</v>
      </c>
      <c r="R1542" s="14">
        <f>Table1[Total_Sales]+Table1[Shipping_Cost]</f>
        <v>67.09</v>
      </c>
    </row>
    <row r="1543" spans="1:18" x14ac:dyDescent="0.35">
      <c r="A1543" s="3" t="s">
        <v>2889</v>
      </c>
      <c r="B1543" s="2">
        <v>45787</v>
      </c>
      <c r="C1543" s="1" t="s">
        <v>2890</v>
      </c>
      <c r="D1543" s="1" t="s">
        <v>17</v>
      </c>
      <c r="E1543" s="1" t="s">
        <v>135</v>
      </c>
      <c r="F1543" s="1" t="s">
        <v>26</v>
      </c>
      <c r="G1543" s="1" t="s">
        <v>42</v>
      </c>
      <c r="H1543" s="1" t="s">
        <v>64</v>
      </c>
      <c r="I1543" s="1">
        <v>1</v>
      </c>
      <c r="J1543" s="1">
        <v>125.15</v>
      </c>
      <c r="K1543" s="1">
        <v>20</v>
      </c>
      <c r="L1543" s="1">
        <v>100.12</v>
      </c>
      <c r="M1543" s="1">
        <v>8.65</v>
      </c>
      <c r="N1543" s="1">
        <v>16.38</v>
      </c>
      <c r="O1543" s="6" t="s">
        <v>39</v>
      </c>
      <c r="P1543" s="8">
        <f>Table1[Quantity]*Table1[Unit_Price]</f>
        <v>125.15</v>
      </c>
      <c r="Q1543" s="1">
        <f>Table1[Profit]/Table1[Total_Sales]</f>
        <v>0.16360367558929284</v>
      </c>
      <c r="R1543" s="14">
        <f>Table1[Total_Sales]+Table1[Shipping_Cost]</f>
        <v>108.77000000000001</v>
      </c>
    </row>
    <row r="1544" spans="1:18" x14ac:dyDescent="0.35">
      <c r="A1544" s="3" t="s">
        <v>2891</v>
      </c>
      <c r="B1544" s="2">
        <v>45787</v>
      </c>
      <c r="C1544" s="1" t="s">
        <v>2892</v>
      </c>
      <c r="D1544" s="1" t="s">
        <v>30</v>
      </c>
      <c r="E1544" s="1" t="s">
        <v>135</v>
      </c>
      <c r="F1544" s="1" t="s">
        <v>26</v>
      </c>
      <c r="G1544" s="1" t="s">
        <v>42</v>
      </c>
      <c r="H1544" s="1" t="s">
        <v>294</v>
      </c>
      <c r="I1544" s="1">
        <v>8</v>
      </c>
      <c r="J1544" s="1">
        <v>184.19</v>
      </c>
      <c r="K1544" s="1">
        <v>5</v>
      </c>
      <c r="L1544" s="1">
        <v>1399.84</v>
      </c>
      <c r="M1544" s="1">
        <v>12.28</v>
      </c>
      <c r="N1544" s="1">
        <v>503.45</v>
      </c>
      <c r="O1544" s="6" t="s">
        <v>22</v>
      </c>
      <c r="P1544" s="8">
        <f>Table1[Quantity]*Table1[Unit_Price]</f>
        <v>1473.52</v>
      </c>
      <c r="Q1544" s="1">
        <f>Table1[Profit]/Table1[Total_Sales]</f>
        <v>0.359648245513773</v>
      </c>
      <c r="R1544" s="14">
        <f>Table1[Total_Sales]+Table1[Shipping_Cost]</f>
        <v>1412.12</v>
      </c>
    </row>
    <row r="1545" spans="1:18" x14ac:dyDescent="0.35">
      <c r="A1545" s="3" t="s">
        <v>2893</v>
      </c>
      <c r="B1545" s="2">
        <v>45788</v>
      </c>
      <c r="C1545" s="1" t="s">
        <v>2894</v>
      </c>
      <c r="D1545" s="1" t="s">
        <v>30</v>
      </c>
      <c r="E1545" s="1" t="s">
        <v>166</v>
      </c>
      <c r="F1545" s="1" t="s">
        <v>60</v>
      </c>
      <c r="G1545" s="1" t="s">
        <v>32</v>
      </c>
      <c r="H1545" s="1" t="s">
        <v>101</v>
      </c>
      <c r="I1545" s="1">
        <v>3</v>
      </c>
      <c r="J1545" s="1">
        <v>11.95</v>
      </c>
      <c r="K1545" s="1">
        <v>5</v>
      </c>
      <c r="L1545" s="1">
        <v>34.06</v>
      </c>
      <c r="M1545" s="1">
        <v>11.21</v>
      </c>
      <c r="N1545" s="1">
        <v>6.72</v>
      </c>
      <c r="O1545" s="6" t="s">
        <v>34</v>
      </c>
      <c r="P1545" s="8">
        <f>Table1[Quantity]*Table1[Unit_Price]</f>
        <v>35.849999999999994</v>
      </c>
      <c r="Q1545" s="1">
        <f>Table1[Profit]/Table1[Total_Sales]</f>
        <v>0.19729888432178508</v>
      </c>
      <c r="R1545" s="14">
        <f>Table1[Total_Sales]+Table1[Shipping_Cost]</f>
        <v>45.27</v>
      </c>
    </row>
    <row r="1546" spans="1:18" x14ac:dyDescent="0.35">
      <c r="A1546" s="3" t="s">
        <v>2895</v>
      </c>
      <c r="B1546" s="2">
        <v>45788</v>
      </c>
      <c r="C1546" s="1" t="s">
        <v>2896</v>
      </c>
      <c r="D1546" s="1" t="s">
        <v>17</v>
      </c>
      <c r="E1546" s="1" t="s">
        <v>121</v>
      </c>
      <c r="F1546" s="1" t="s">
        <v>68</v>
      </c>
      <c r="G1546" s="1" t="s">
        <v>32</v>
      </c>
      <c r="H1546" s="1" t="s">
        <v>101</v>
      </c>
      <c r="I1546" s="1">
        <v>1</v>
      </c>
      <c r="J1546" s="1">
        <v>6.93</v>
      </c>
      <c r="K1546" s="1">
        <v>10</v>
      </c>
      <c r="L1546" s="1">
        <v>6.24</v>
      </c>
      <c r="M1546" s="1">
        <v>12.29</v>
      </c>
      <c r="N1546" s="1">
        <v>-9.17</v>
      </c>
      <c r="O1546" s="6" t="s">
        <v>39</v>
      </c>
      <c r="P1546" s="8">
        <f>Table1[Quantity]*Table1[Unit_Price]</f>
        <v>6.93</v>
      </c>
      <c r="Q1546" s="1">
        <f>Table1[Profit]/Table1[Total_Sales]</f>
        <v>-1.4695512820512819</v>
      </c>
      <c r="R1546" s="14">
        <f>Table1[Total_Sales]+Table1[Shipping_Cost]</f>
        <v>18.53</v>
      </c>
    </row>
    <row r="1547" spans="1:18" x14ac:dyDescent="0.35">
      <c r="A1547" s="3" t="s">
        <v>2897</v>
      </c>
      <c r="B1547" s="2">
        <v>45789</v>
      </c>
      <c r="C1547" s="1" t="s">
        <v>2898</v>
      </c>
      <c r="D1547" s="1" t="s">
        <v>30</v>
      </c>
      <c r="E1547" s="1" t="s">
        <v>129</v>
      </c>
      <c r="F1547" s="1" t="s">
        <v>19</v>
      </c>
      <c r="G1547" s="1" t="s">
        <v>32</v>
      </c>
      <c r="H1547" s="1" t="s">
        <v>50</v>
      </c>
      <c r="I1547" s="1">
        <v>1</v>
      </c>
      <c r="J1547" s="1">
        <v>10.73</v>
      </c>
      <c r="K1547" s="1">
        <v>5</v>
      </c>
      <c r="L1547" s="1">
        <v>10.19</v>
      </c>
      <c r="M1547" s="1">
        <v>6.83</v>
      </c>
      <c r="N1547" s="1">
        <v>-1.47</v>
      </c>
      <c r="O1547" s="6" t="s">
        <v>34</v>
      </c>
      <c r="P1547" s="8">
        <f>Table1[Quantity]*Table1[Unit_Price]</f>
        <v>10.73</v>
      </c>
      <c r="Q1547" s="1">
        <f>Table1[Profit]/Table1[Total_Sales]</f>
        <v>-0.14425907752698724</v>
      </c>
      <c r="R1547" s="14">
        <f>Table1[Total_Sales]+Table1[Shipping_Cost]</f>
        <v>17.02</v>
      </c>
    </row>
    <row r="1548" spans="1:18" x14ac:dyDescent="0.35">
      <c r="A1548" s="3" t="s">
        <v>2899</v>
      </c>
      <c r="B1548" s="2">
        <v>45789</v>
      </c>
      <c r="C1548" s="1" t="s">
        <v>2362</v>
      </c>
      <c r="D1548" s="1" t="s">
        <v>17</v>
      </c>
      <c r="E1548" s="1" t="s">
        <v>129</v>
      </c>
      <c r="F1548" s="1" t="s">
        <v>19</v>
      </c>
      <c r="G1548" s="1" t="s">
        <v>69</v>
      </c>
      <c r="H1548" s="1" t="s">
        <v>70</v>
      </c>
      <c r="I1548" s="1">
        <v>2</v>
      </c>
      <c r="J1548" s="1">
        <v>51.67</v>
      </c>
      <c r="K1548" s="1">
        <v>10</v>
      </c>
      <c r="L1548" s="1">
        <v>93.01</v>
      </c>
      <c r="M1548" s="1">
        <v>7.45</v>
      </c>
      <c r="N1548" s="1">
        <v>33.89</v>
      </c>
      <c r="O1548" s="6" t="s">
        <v>34</v>
      </c>
      <c r="P1548" s="8">
        <f>Table1[Quantity]*Table1[Unit_Price]</f>
        <v>103.34</v>
      </c>
      <c r="Q1548" s="1">
        <f>Table1[Profit]/Table1[Total_Sales]</f>
        <v>0.36436942264272659</v>
      </c>
      <c r="R1548" s="14">
        <f>Table1[Total_Sales]+Table1[Shipping_Cost]</f>
        <v>100.46000000000001</v>
      </c>
    </row>
    <row r="1549" spans="1:18" x14ac:dyDescent="0.35">
      <c r="A1549" s="3" t="s">
        <v>2900</v>
      </c>
      <c r="B1549" s="2">
        <v>45789</v>
      </c>
      <c r="C1549" s="1" t="s">
        <v>2901</v>
      </c>
      <c r="D1549" s="1" t="s">
        <v>30</v>
      </c>
      <c r="E1549" s="1" t="s">
        <v>25</v>
      </c>
      <c r="F1549" s="1" t="s">
        <v>26</v>
      </c>
      <c r="G1549" s="1" t="s">
        <v>20</v>
      </c>
      <c r="H1549" s="1" t="s">
        <v>264</v>
      </c>
      <c r="I1549" s="1">
        <v>1</v>
      </c>
      <c r="J1549" s="1">
        <v>38.97</v>
      </c>
      <c r="K1549" s="1">
        <v>0</v>
      </c>
      <c r="L1549" s="1">
        <v>38.97</v>
      </c>
      <c r="M1549" s="1">
        <v>8.5500000000000007</v>
      </c>
      <c r="N1549" s="1">
        <v>8.99</v>
      </c>
      <c r="O1549" s="6" t="s">
        <v>34</v>
      </c>
      <c r="P1549" s="8">
        <f>Table1[Quantity]*Table1[Unit_Price]</f>
        <v>38.97</v>
      </c>
      <c r="Q1549" s="1">
        <f>Table1[Profit]/Table1[Total_Sales]</f>
        <v>0.23069027457018221</v>
      </c>
      <c r="R1549" s="14">
        <f>Table1[Total_Sales]+Table1[Shipping_Cost]</f>
        <v>47.519999999999996</v>
      </c>
    </row>
    <row r="1550" spans="1:18" x14ac:dyDescent="0.35">
      <c r="A1550" s="3" t="s">
        <v>2902</v>
      </c>
      <c r="B1550" s="2">
        <v>45790</v>
      </c>
      <c r="C1550" s="1" t="s">
        <v>1231</v>
      </c>
      <c r="D1550" s="1" t="s">
        <v>30</v>
      </c>
      <c r="E1550" s="1" t="s">
        <v>85</v>
      </c>
      <c r="F1550" s="1" t="s">
        <v>60</v>
      </c>
      <c r="G1550" s="1" t="s">
        <v>32</v>
      </c>
      <c r="H1550" s="1" t="s">
        <v>33</v>
      </c>
      <c r="I1550" s="1">
        <v>2</v>
      </c>
      <c r="J1550" s="1">
        <v>8.5</v>
      </c>
      <c r="K1550" s="1">
        <v>0</v>
      </c>
      <c r="L1550" s="1">
        <v>17</v>
      </c>
      <c r="M1550" s="1">
        <v>13.21</v>
      </c>
      <c r="N1550" s="1">
        <v>-3.86</v>
      </c>
      <c r="O1550" s="6" t="s">
        <v>39</v>
      </c>
      <c r="P1550" s="8">
        <f>Table1[Quantity]*Table1[Unit_Price]</f>
        <v>17</v>
      </c>
      <c r="Q1550" s="1">
        <f>Table1[Profit]/Table1[Total_Sales]</f>
        <v>-0.22705882352941176</v>
      </c>
      <c r="R1550" s="14">
        <f>Table1[Total_Sales]+Table1[Shipping_Cost]</f>
        <v>30.21</v>
      </c>
    </row>
    <row r="1551" spans="1:18" x14ac:dyDescent="0.35">
      <c r="A1551" s="3" t="s">
        <v>2903</v>
      </c>
      <c r="B1551" s="2">
        <v>45790</v>
      </c>
      <c r="C1551" s="1" t="s">
        <v>591</v>
      </c>
      <c r="D1551" s="1" t="s">
        <v>17</v>
      </c>
      <c r="E1551" s="1" t="s">
        <v>18</v>
      </c>
      <c r="F1551" s="1" t="s">
        <v>19</v>
      </c>
      <c r="G1551" s="1" t="s">
        <v>69</v>
      </c>
      <c r="H1551" s="1" t="s">
        <v>86</v>
      </c>
      <c r="I1551" s="1">
        <v>1</v>
      </c>
      <c r="J1551" s="1">
        <v>79.180000000000007</v>
      </c>
      <c r="K1551" s="1">
        <v>15</v>
      </c>
      <c r="L1551" s="1">
        <v>67.3</v>
      </c>
      <c r="M1551" s="1">
        <v>6.58</v>
      </c>
      <c r="N1551" s="1">
        <v>21.13</v>
      </c>
      <c r="O1551" s="6" t="s">
        <v>22</v>
      </c>
      <c r="P1551" s="8">
        <f>Table1[Quantity]*Table1[Unit_Price]</f>
        <v>79.180000000000007</v>
      </c>
      <c r="Q1551" s="1">
        <f>Table1[Profit]/Table1[Total_Sales]</f>
        <v>0.31396731054977711</v>
      </c>
      <c r="R1551" s="14">
        <f>Table1[Total_Sales]+Table1[Shipping_Cost]</f>
        <v>73.88</v>
      </c>
    </row>
    <row r="1552" spans="1:18" x14ac:dyDescent="0.35">
      <c r="A1552" s="3" t="s">
        <v>2904</v>
      </c>
      <c r="B1552" s="2">
        <v>45790</v>
      </c>
      <c r="C1552" s="1" t="s">
        <v>2905</v>
      </c>
      <c r="D1552" s="1" t="s">
        <v>49</v>
      </c>
      <c r="E1552" s="1" t="s">
        <v>85</v>
      </c>
      <c r="F1552" s="1" t="s">
        <v>60</v>
      </c>
      <c r="G1552" s="1" t="s">
        <v>69</v>
      </c>
      <c r="H1552" s="1" t="s">
        <v>98</v>
      </c>
      <c r="I1552" s="1">
        <v>4</v>
      </c>
      <c r="J1552" s="1">
        <v>40.98</v>
      </c>
      <c r="K1552" s="1">
        <v>10</v>
      </c>
      <c r="L1552" s="1">
        <v>147.53</v>
      </c>
      <c r="M1552" s="1">
        <v>16.39</v>
      </c>
      <c r="N1552" s="1">
        <v>49.18</v>
      </c>
      <c r="O1552" s="6" t="s">
        <v>56</v>
      </c>
      <c r="P1552" s="8">
        <f>Table1[Quantity]*Table1[Unit_Price]</f>
        <v>163.92</v>
      </c>
      <c r="Q1552" s="1">
        <f>Table1[Profit]/Table1[Total_Sales]</f>
        <v>0.33335592760794414</v>
      </c>
      <c r="R1552" s="14">
        <f>Table1[Total_Sales]+Table1[Shipping_Cost]</f>
        <v>163.92000000000002</v>
      </c>
    </row>
    <row r="1553" spans="1:18" x14ac:dyDescent="0.35">
      <c r="A1553" s="3" t="s">
        <v>2906</v>
      </c>
      <c r="B1553" s="2">
        <v>45790</v>
      </c>
      <c r="C1553" s="1" t="s">
        <v>498</v>
      </c>
      <c r="D1553" s="1" t="s">
        <v>30</v>
      </c>
      <c r="E1553" s="1" t="s">
        <v>135</v>
      </c>
      <c r="F1553" s="1" t="s">
        <v>26</v>
      </c>
      <c r="G1553" s="1" t="s">
        <v>69</v>
      </c>
      <c r="H1553" s="1" t="s">
        <v>305</v>
      </c>
      <c r="I1553" s="1">
        <v>2</v>
      </c>
      <c r="J1553" s="1">
        <v>43.41</v>
      </c>
      <c r="K1553" s="1">
        <v>0</v>
      </c>
      <c r="L1553" s="1">
        <v>86.82</v>
      </c>
      <c r="M1553" s="1">
        <v>8.7100000000000009</v>
      </c>
      <c r="N1553" s="1">
        <v>34.700000000000003</v>
      </c>
      <c r="O1553" s="6" t="s">
        <v>34</v>
      </c>
      <c r="P1553" s="8">
        <f>Table1[Quantity]*Table1[Unit_Price]</f>
        <v>86.82</v>
      </c>
      <c r="Q1553" s="1">
        <f>Table1[Profit]/Table1[Total_Sales]</f>
        <v>0.39967749366505417</v>
      </c>
      <c r="R1553" s="14">
        <f>Table1[Total_Sales]+Table1[Shipping_Cost]</f>
        <v>95.53</v>
      </c>
    </row>
    <row r="1554" spans="1:18" x14ac:dyDescent="0.35">
      <c r="A1554" s="3" t="s">
        <v>2907</v>
      </c>
      <c r="B1554" s="2">
        <v>45790</v>
      </c>
      <c r="C1554" s="1" t="s">
        <v>1940</v>
      </c>
      <c r="D1554" s="1" t="s">
        <v>17</v>
      </c>
      <c r="E1554" s="1" t="s">
        <v>67</v>
      </c>
      <c r="F1554" s="1" t="s">
        <v>68</v>
      </c>
      <c r="G1554" s="1" t="s">
        <v>20</v>
      </c>
      <c r="H1554" s="1" t="s">
        <v>106</v>
      </c>
      <c r="I1554" s="1">
        <v>1</v>
      </c>
      <c r="J1554" s="1">
        <v>38.1</v>
      </c>
      <c r="K1554" s="1">
        <v>5</v>
      </c>
      <c r="L1554" s="1">
        <v>36.200000000000003</v>
      </c>
      <c r="M1554" s="1">
        <v>11.13</v>
      </c>
      <c r="N1554" s="1">
        <v>4.12</v>
      </c>
      <c r="O1554" s="6" t="s">
        <v>39</v>
      </c>
      <c r="P1554" s="8">
        <f>Table1[Quantity]*Table1[Unit_Price]</f>
        <v>38.1</v>
      </c>
      <c r="Q1554" s="1">
        <f>Table1[Profit]/Table1[Total_Sales]</f>
        <v>0.11381215469613259</v>
      </c>
      <c r="R1554" s="14">
        <f>Table1[Total_Sales]+Table1[Shipping_Cost]</f>
        <v>47.330000000000005</v>
      </c>
    </row>
    <row r="1555" spans="1:18" x14ac:dyDescent="0.35">
      <c r="A1555" s="3" t="s">
        <v>2908</v>
      </c>
      <c r="B1555" s="2">
        <v>45790</v>
      </c>
      <c r="C1555" s="1" t="s">
        <v>2909</v>
      </c>
      <c r="D1555" s="1" t="s">
        <v>30</v>
      </c>
      <c r="E1555" s="1" t="s">
        <v>63</v>
      </c>
      <c r="F1555" s="1" t="s">
        <v>54</v>
      </c>
      <c r="G1555" s="1" t="s">
        <v>69</v>
      </c>
      <c r="H1555" s="1" t="s">
        <v>160</v>
      </c>
      <c r="I1555" s="1">
        <v>4</v>
      </c>
      <c r="J1555" s="1">
        <v>14.92</v>
      </c>
      <c r="K1555" s="1">
        <v>5</v>
      </c>
      <c r="L1555" s="1">
        <v>56.7</v>
      </c>
      <c r="M1555" s="1">
        <v>15.14</v>
      </c>
      <c r="N1555" s="1">
        <v>11.72</v>
      </c>
      <c r="O1555" s="6" t="s">
        <v>34</v>
      </c>
      <c r="P1555" s="8">
        <f>Table1[Quantity]*Table1[Unit_Price]</f>
        <v>59.68</v>
      </c>
      <c r="Q1555" s="1">
        <f>Table1[Profit]/Table1[Total_Sales]</f>
        <v>0.20670194003527337</v>
      </c>
      <c r="R1555" s="14">
        <f>Table1[Total_Sales]+Table1[Shipping_Cost]</f>
        <v>71.84</v>
      </c>
    </row>
    <row r="1556" spans="1:18" x14ac:dyDescent="0.35">
      <c r="A1556" s="3" t="s">
        <v>2910</v>
      </c>
      <c r="B1556" s="2">
        <v>45791</v>
      </c>
      <c r="C1556" s="1" t="s">
        <v>1711</v>
      </c>
      <c r="D1556" s="1" t="s">
        <v>30</v>
      </c>
      <c r="E1556" s="1" t="s">
        <v>138</v>
      </c>
      <c r="F1556" s="1" t="s">
        <v>54</v>
      </c>
      <c r="G1556" s="1" t="s">
        <v>42</v>
      </c>
      <c r="H1556" s="1" t="s">
        <v>46</v>
      </c>
      <c r="I1556" s="1">
        <v>2</v>
      </c>
      <c r="J1556" s="1">
        <v>122.78</v>
      </c>
      <c r="K1556" s="1">
        <v>15</v>
      </c>
      <c r="L1556" s="1">
        <v>208.73</v>
      </c>
      <c r="M1556" s="1">
        <v>15.69</v>
      </c>
      <c r="N1556" s="1">
        <v>45.7</v>
      </c>
      <c r="O1556" s="6" t="s">
        <v>34</v>
      </c>
      <c r="P1556" s="8">
        <f>Table1[Quantity]*Table1[Unit_Price]</f>
        <v>245.56</v>
      </c>
      <c r="Q1556" s="1">
        <f>Table1[Profit]/Table1[Total_Sales]</f>
        <v>0.21894313227614623</v>
      </c>
      <c r="R1556" s="14">
        <f>Table1[Total_Sales]+Table1[Shipping_Cost]</f>
        <v>224.42</v>
      </c>
    </row>
    <row r="1557" spans="1:18" x14ac:dyDescent="0.35">
      <c r="A1557" s="3" t="s">
        <v>2911</v>
      </c>
      <c r="B1557" s="2">
        <v>45792</v>
      </c>
      <c r="C1557" s="1" t="s">
        <v>2912</v>
      </c>
      <c r="D1557" s="1" t="s">
        <v>30</v>
      </c>
      <c r="E1557" s="1" t="s">
        <v>92</v>
      </c>
      <c r="F1557" s="1" t="s">
        <v>60</v>
      </c>
      <c r="G1557" s="1" t="s">
        <v>42</v>
      </c>
      <c r="H1557" s="1" t="s">
        <v>43</v>
      </c>
      <c r="I1557" s="1">
        <v>8</v>
      </c>
      <c r="J1557" s="1">
        <v>323.26</v>
      </c>
      <c r="K1557" s="1">
        <v>10</v>
      </c>
      <c r="L1557" s="1">
        <v>2327.4699999999998</v>
      </c>
      <c r="M1557" s="1">
        <v>15.77</v>
      </c>
      <c r="N1557" s="1">
        <v>760.05</v>
      </c>
      <c r="O1557" s="6" t="s">
        <v>39</v>
      </c>
      <c r="P1557" s="8">
        <f>Table1[Quantity]*Table1[Unit_Price]</f>
        <v>2586.08</v>
      </c>
      <c r="Q1557" s="1">
        <f>Table1[Profit]/Table1[Total_Sales]</f>
        <v>0.32655630362582549</v>
      </c>
      <c r="R1557" s="14">
        <f>Table1[Total_Sales]+Table1[Shipping_Cost]</f>
        <v>2343.2399999999998</v>
      </c>
    </row>
    <row r="1558" spans="1:18" x14ac:dyDescent="0.35">
      <c r="A1558" s="3" t="s">
        <v>2913</v>
      </c>
      <c r="B1558" s="2">
        <v>45792</v>
      </c>
      <c r="C1558" s="1" t="s">
        <v>2145</v>
      </c>
      <c r="D1558" s="1" t="s">
        <v>17</v>
      </c>
      <c r="E1558" s="1" t="s">
        <v>85</v>
      </c>
      <c r="F1558" s="1" t="s">
        <v>60</v>
      </c>
      <c r="G1558" s="1" t="s">
        <v>32</v>
      </c>
      <c r="H1558" s="1" t="s">
        <v>132</v>
      </c>
      <c r="I1558" s="1">
        <v>9</v>
      </c>
      <c r="J1558" s="1">
        <v>18.45</v>
      </c>
      <c r="K1558" s="1">
        <v>15</v>
      </c>
      <c r="L1558" s="1">
        <v>141.13999999999999</v>
      </c>
      <c r="M1558" s="1">
        <v>31.4</v>
      </c>
      <c r="N1558" s="1">
        <v>35.020000000000003</v>
      </c>
      <c r="O1558" s="6" t="s">
        <v>34</v>
      </c>
      <c r="P1558" s="8">
        <f>Table1[Quantity]*Table1[Unit_Price]</f>
        <v>166.04999999999998</v>
      </c>
      <c r="Q1558" s="1">
        <f>Table1[Profit]/Table1[Total_Sales]</f>
        <v>0.24812243162817066</v>
      </c>
      <c r="R1558" s="14">
        <f>Table1[Total_Sales]+Table1[Shipping_Cost]</f>
        <v>172.54</v>
      </c>
    </row>
    <row r="1559" spans="1:18" x14ac:dyDescent="0.35">
      <c r="A1559" s="3" t="s">
        <v>2914</v>
      </c>
      <c r="B1559" s="2">
        <v>45792</v>
      </c>
      <c r="C1559" s="1" t="s">
        <v>213</v>
      </c>
      <c r="D1559" s="1" t="s">
        <v>17</v>
      </c>
      <c r="E1559" s="1" t="s">
        <v>121</v>
      </c>
      <c r="F1559" s="1" t="s">
        <v>68</v>
      </c>
      <c r="G1559" s="1" t="s">
        <v>32</v>
      </c>
      <c r="H1559" s="1" t="s">
        <v>348</v>
      </c>
      <c r="I1559" s="1">
        <v>2</v>
      </c>
      <c r="J1559" s="1">
        <v>5.41</v>
      </c>
      <c r="K1559" s="1">
        <v>10</v>
      </c>
      <c r="L1559" s="1">
        <v>9.74</v>
      </c>
      <c r="M1559" s="1">
        <v>11.11</v>
      </c>
      <c r="N1559" s="1">
        <v>-6.24</v>
      </c>
      <c r="O1559" s="6" t="s">
        <v>34</v>
      </c>
      <c r="P1559" s="8">
        <f>Table1[Quantity]*Table1[Unit_Price]</f>
        <v>10.82</v>
      </c>
      <c r="Q1559" s="1">
        <f>Table1[Profit]/Table1[Total_Sales]</f>
        <v>-0.64065708418891176</v>
      </c>
      <c r="R1559" s="14">
        <f>Table1[Total_Sales]+Table1[Shipping_Cost]</f>
        <v>20.85</v>
      </c>
    </row>
    <row r="1560" spans="1:18" x14ac:dyDescent="0.35">
      <c r="A1560" s="3" t="s">
        <v>2915</v>
      </c>
      <c r="B1560" s="2">
        <v>45793</v>
      </c>
      <c r="C1560" s="1" t="s">
        <v>2916</v>
      </c>
      <c r="D1560" s="1" t="s">
        <v>30</v>
      </c>
      <c r="E1560" s="1" t="s">
        <v>31</v>
      </c>
      <c r="F1560" s="1" t="s">
        <v>19</v>
      </c>
      <c r="G1560" s="1" t="s">
        <v>20</v>
      </c>
      <c r="H1560" s="1" t="s">
        <v>55</v>
      </c>
      <c r="I1560" s="1">
        <v>2</v>
      </c>
      <c r="J1560" s="1">
        <v>45.5</v>
      </c>
      <c r="K1560" s="1">
        <v>5</v>
      </c>
      <c r="L1560" s="1">
        <v>86.45</v>
      </c>
      <c r="M1560" s="1">
        <v>9.32</v>
      </c>
      <c r="N1560" s="1">
        <v>27.08</v>
      </c>
      <c r="O1560" s="6" t="s">
        <v>39</v>
      </c>
      <c r="P1560" s="8">
        <f>Table1[Quantity]*Table1[Unit_Price]</f>
        <v>91</v>
      </c>
      <c r="Q1560" s="1">
        <f>Table1[Profit]/Table1[Total_Sales]</f>
        <v>0.31324465008675534</v>
      </c>
      <c r="R1560" s="14">
        <f>Table1[Total_Sales]+Table1[Shipping_Cost]</f>
        <v>95.77000000000001</v>
      </c>
    </row>
    <row r="1561" spans="1:18" x14ac:dyDescent="0.35">
      <c r="A1561" s="3" t="s">
        <v>2917</v>
      </c>
      <c r="B1561" s="2">
        <v>45793</v>
      </c>
      <c r="C1561" s="1" t="s">
        <v>1894</v>
      </c>
      <c r="D1561" s="1" t="s">
        <v>49</v>
      </c>
      <c r="E1561" s="1" t="s">
        <v>138</v>
      </c>
      <c r="F1561" s="1" t="s">
        <v>54</v>
      </c>
      <c r="G1561" s="1" t="s">
        <v>20</v>
      </c>
      <c r="H1561" s="1" t="s">
        <v>21</v>
      </c>
      <c r="I1561" s="1">
        <v>6</v>
      </c>
      <c r="J1561" s="1">
        <v>105.75</v>
      </c>
      <c r="K1561" s="1">
        <v>0</v>
      </c>
      <c r="L1561" s="1">
        <v>634.5</v>
      </c>
      <c r="M1561" s="1">
        <v>19.059999999999999</v>
      </c>
      <c r="N1561" s="1">
        <v>266.45999999999998</v>
      </c>
      <c r="O1561" s="6" t="s">
        <v>22</v>
      </c>
      <c r="P1561" s="8">
        <f>Table1[Quantity]*Table1[Unit_Price]</f>
        <v>634.5</v>
      </c>
      <c r="Q1561" s="1">
        <f>Table1[Profit]/Table1[Total_Sales]</f>
        <v>0.41995271867612288</v>
      </c>
      <c r="R1561" s="14">
        <f>Table1[Total_Sales]+Table1[Shipping_Cost]</f>
        <v>653.55999999999995</v>
      </c>
    </row>
    <row r="1562" spans="1:18" x14ac:dyDescent="0.35">
      <c r="A1562" s="3" t="s">
        <v>2918</v>
      </c>
      <c r="B1562" s="2">
        <v>45793</v>
      </c>
      <c r="C1562" s="1" t="s">
        <v>1096</v>
      </c>
      <c r="D1562" s="1" t="s">
        <v>17</v>
      </c>
      <c r="E1562" s="1" t="s">
        <v>53</v>
      </c>
      <c r="F1562" s="1" t="s">
        <v>54</v>
      </c>
      <c r="G1562" s="1" t="s">
        <v>42</v>
      </c>
      <c r="H1562" s="1" t="s">
        <v>118</v>
      </c>
      <c r="I1562" s="1">
        <v>2</v>
      </c>
      <c r="J1562" s="1">
        <v>39.94</v>
      </c>
      <c r="K1562" s="1">
        <v>5</v>
      </c>
      <c r="L1562" s="1">
        <v>75.89</v>
      </c>
      <c r="M1562" s="1">
        <v>15.43</v>
      </c>
      <c r="N1562" s="1">
        <v>12.53</v>
      </c>
      <c r="O1562" s="6" t="s">
        <v>39</v>
      </c>
      <c r="P1562" s="8">
        <f>Table1[Quantity]*Table1[Unit_Price]</f>
        <v>79.88</v>
      </c>
      <c r="Q1562" s="1">
        <f>Table1[Profit]/Table1[Total_Sales]</f>
        <v>0.16510739227829752</v>
      </c>
      <c r="R1562" s="14">
        <f>Table1[Total_Sales]+Table1[Shipping_Cost]</f>
        <v>91.32</v>
      </c>
    </row>
    <row r="1563" spans="1:18" x14ac:dyDescent="0.35">
      <c r="A1563" s="3" t="s">
        <v>2919</v>
      </c>
      <c r="B1563" s="2">
        <v>45794</v>
      </c>
      <c r="C1563" s="1" t="s">
        <v>2920</v>
      </c>
      <c r="D1563" s="1" t="s">
        <v>17</v>
      </c>
      <c r="E1563" s="1" t="s">
        <v>31</v>
      </c>
      <c r="F1563" s="1" t="s">
        <v>19</v>
      </c>
      <c r="G1563" s="1" t="s">
        <v>32</v>
      </c>
      <c r="H1563" s="1" t="s">
        <v>132</v>
      </c>
      <c r="I1563" s="1">
        <v>4</v>
      </c>
      <c r="J1563" s="1">
        <v>10.58</v>
      </c>
      <c r="K1563" s="1">
        <v>15</v>
      </c>
      <c r="L1563" s="1">
        <v>35.97</v>
      </c>
      <c r="M1563" s="1">
        <v>10.31</v>
      </c>
      <c r="N1563" s="1">
        <v>6.62</v>
      </c>
      <c r="O1563" s="6" t="s">
        <v>56</v>
      </c>
      <c r="P1563" s="8">
        <f>Table1[Quantity]*Table1[Unit_Price]</f>
        <v>42.32</v>
      </c>
      <c r="Q1563" s="1">
        <f>Table1[Profit]/Table1[Total_Sales]</f>
        <v>0.18404225743675287</v>
      </c>
      <c r="R1563" s="14">
        <f>Table1[Total_Sales]+Table1[Shipping_Cost]</f>
        <v>46.28</v>
      </c>
    </row>
    <row r="1564" spans="1:18" x14ac:dyDescent="0.35">
      <c r="A1564" s="3" t="s">
        <v>2921</v>
      </c>
      <c r="B1564" s="2">
        <v>45794</v>
      </c>
      <c r="C1564" s="1" t="s">
        <v>2922</v>
      </c>
      <c r="D1564" s="1" t="s">
        <v>17</v>
      </c>
      <c r="E1564" s="1" t="s">
        <v>18</v>
      </c>
      <c r="F1564" s="1" t="s">
        <v>19</v>
      </c>
      <c r="G1564" s="1" t="s">
        <v>69</v>
      </c>
      <c r="H1564" s="1" t="s">
        <v>196</v>
      </c>
      <c r="I1564" s="1">
        <v>1</v>
      </c>
      <c r="J1564" s="1">
        <v>17.940000000000001</v>
      </c>
      <c r="K1564" s="1">
        <v>10</v>
      </c>
      <c r="L1564" s="1">
        <v>16.149999999999999</v>
      </c>
      <c r="M1564" s="1">
        <v>7.16</v>
      </c>
      <c r="N1564" s="1">
        <v>0.02</v>
      </c>
      <c r="O1564" s="6" t="s">
        <v>34</v>
      </c>
      <c r="P1564" s="8">
        <f>Table1[Quantity]*Table1[Unit_Price]</f>
        <v>17.940000000000001</v>
      </c>
      <c r="Q1564" s="1">
        <f>Table1[Profit]/Table1[Total_Sales]</f>
        <v>1.238390092879257E-3</v>
      </c>
      <c r="R1564" s="14">
        <f>Table1[Total_Sales]+Table1[Shipping_Cost]</f>
        <v>23.31</v>
      </c>
    </row>
    <row r="1565" spans="1:18" x14ac:dyDescent="0.35">
      <c r="A1565" s="3" t="s">
        <v>2923</v>
      </c>
      <c r="B1565" s="2">
        <v>45795</v>
      </c>
      <c r="C1565" s="1" t="s">
        <v>2924</v>
      </c>
      <c r="D1565" s="1" t="s">
        <v>30</v>
      </c>
      <c r="E1565" s="1" t="s">
        <v>31</v>
      </c>
      <c r="F1565" s="1" t="s">
        <v>19</v>
      </c>
      <c r="G1565" s="1" t="s">
        <v>32</v>
      </c>
      <c r="H1565" s="1" t="s">
        <v>33</v>
      </c>
      <c r="I1565" s="1">
        <v>3</v>
      </c>
      <c r="J1565" s="1">
        <v>6.54</v>
      </c>
      <c r="K1565" s="1">
        <v>0</v>
      </c>
      <c r="L1565" s="1">
        <v>19.62</v>
      </c>
      <c r="M1565" s="1">
        <v>7.75</v>
      </c>
      <c r="N1565" s="1">
        <v>3.04</v>
      </c>
      <c r="O1565" s="6" t="s">
        <v>39</v>
      </c>
      <c r="P1565" s="8">
        <f>Table1[Quantity]*Table1[Unit_Price]</f>
        <v>19.62</v>
      </c>
      <c r="Q1565" s="1">
        <f>Table1[Profit]/Table1[Total_Sales]</f>
        <v>0.15494393476044852</v>
      </c>
      <c r="R1565" s="14">
        <f>Table1[Total_Sales]+Table1[Shipping_Cost]</f>
        <v>27.37</v>
      </c>
    </row>
    <row r="1566" spans="1:18" x14ac:dyDescent="0.35">
      <c r="A1566" s="3" t="s">
        <v>2925</v>
      </c>
      <c r="B1566" s="2">
        <v>45795</v>
      </c>
      <c r="C1566" s="1" t="s">
        <v>2926</v>
      </c>
      <c r="D1566" s="1" t="s">
        <v>30</v>
      </c>
      <c r="E1566" s="1" t="s">
        <v>169</v>
      </c>
      <c r="F1566" s="1" t="s">
        <v>68</v>
      </c>
      <c r="G1566" s="1" t="s">
        <v>32</v>
      </c>
      <c r="H1566" s="1" t="s">
        <v>115</v>
      </c>
      <c r="I1566" s="1">
        <v>3</v>
      </c>
      <c r="J1566" s="1">
        <v>12.72</v>
      </c>
      <c r="K1566" s="1">
        <v>25</v>
      </c>
      <c r="L1566" s="1">
        <v>28.62</v>
      </c>
      <c r="M1566" s="1">
        <v>16.829999999999998</v>
      </c>
      <c r="N1566" s="1">
        <v>-5.38</v>
      </c>
      <c r="O1566" s="6" t="s">
        <v>39</v>
      </c>
      <c r="P1566" s="8">
        <f>Table1[Quantity]*Table1[Unit_Price]</f>
        <v>38.160000000000004</v>
      </c>
      <c r="Q1566" s="1">
        <f>Table1[Profit]/Table1[Total_Sales]</f>
        <v>-0.18798043326345212</v>
      </c>
      <c r="R1566" s="14">
        <f>Table1[Total_Sales]+Table1[Shipping_Cost]</f>
        <v>45.45</v>
      </c>
    </row>
    <row r="1567" spans="1:18" x14ac:dyDescent="0.35">
      <c r="A1567" s="3" t="s">
        <v>2927</v>
      </c>
      <c r="B1567" s="2">
        <v>45795</v>
      </c>
      <c r="C1567" s="1" t="s">
        <v>2928</v>
      </c>
      <c r="D1567" s="1" t="s">
        <v>17</v>
      </c>
      <c r="E1567" s="1" t="s">
        <v>18</v>
      </c>
      <c r="F1567" s="1" t="s">
        <v>19</v>
      </c>
      <c r="G1567" s="1" t="s">
        <v>69</v>
      </c>
      <c r="H1567" s="1" t="s">
        <v>160</v>
      </c>
      <c r="I1567" s="1">
        <v>1</v>
      </c>
      <c r="J1567" s="1">
        <v>47.58</v>
      </c>
      <c r="K1567" s="1">
        <v>10</v>
      </c>
      <c r="L1567" s="1">
        <v>42.82</v>
      </c>
      <c r="M1567" s="1">
        <v>5.77</v>
      </c>
      <c r="N1567" s="1">
        <v>13.26</v>
      </c>
      <c r="O1567" s="6" t="s">
        <v>22</v>
      </c>
      <c r="P1567" s="8">
        <f>Table1[Quantity]*Table1[Unit_Price]</f>
        <v>47.58</v>
      </c>
      <c r="Q1567" s="1">
        <f>Table1[Profit]/Table1[Total_Sales]</f>
        <v>0.30966837926202706</v>
      </c>
      <c r="R1567" s="14">
        <f>Table1[Total_Sales]+Table1[Shipping_Cost]</f>
        <v>48.59</v>
      </c>
    </row>
    <row r="1568" spans="1:18" x14ac:dyDescent="0.35">
      <c r="A1568" s="3" t="s">
        <v>2929</v>
      </c>
      <c r="B1568" s="2">
        <v>45795</v>
      </c>
      <c r="C1568" s="1" t="s">
        <v>2930</v>
      </c>
      <c r="D1568" s="1" t="s">
        <v>30</v>
      </c>
      <c r="E1568" s="1" t="s">
        <v>85</v>
      </c>
      <c r="F1568" s="1" t="s">
        <v>60</v>
      </c>
      <c r="G1568" s="1" t="s">
        <v>32</v>
      </c>
      <c r="H1568" s="1" t="s">
        <v>149</v>
      </c>
      <c r="I1568" s="1">
        <v>2</v>
      </c>
      <c r="J1568" s="1">
        <v>12.85</v>
      </c>
      <c r="K1568" s="1">
        <v>0</v>
      </c>
      <c r="L1568" s="1">
        <v>25.7</v>
      </c>
      <c r="M1568" s="1">
        <v>13.38</v>
      </c>
      <c r="N1568" s="1">
        <v>0.75</v>
      </c>
      <c r="O1568" s="6" t="s">
        <v>22</v>
      </c>
      <c r="P1568" s="8">
        <f>Table1[Quantity]*Table1[Unit_Price]</f>
        <v>25.7</v>
      </c>
      <c r="Q1568" s="1">
        <f>Table1[Profit]/Table1[Total_Sales]</f>
        <v>2.9182879377431907E-2</v>
      </c>
      <c r="R1568" s="14">
        <f>Table1[Total_Sales]+Table1[Shipping_Cost]</f>
        <v>39.08</v>
      </c>
    </row>
    <row r="1569" spans="1:18" x14ac:dyDescent="0.35">
      <c r="A1569" s="3" t="s">
        <v>2931</v>
      </c>
      <c r="B1569" s="2">
        <v>45797</v>
      </c>
      <c r="C1569" s="1" t="s">
        <v>2785</v>
      </c>
      <c r="D1569" s="1" t="s">
        <v>30</v>
      </c>
      <c r="E1569" s="1" t="s">
        <v>18</v>
      </c>
      <c r="F1569" s="1" t="s">
        <v>19</v>
      </c>
      <c r="G1569" s="1" t="s">
        <v>32</v>
      </c>
      <c r="H1569" s="1" t="s">
        <v>149</v>
      </c>
      <c r="I1569" s="1">
        <v>5</v>
      </c>
      <c r="J1569" s="1">
        <v>6.01</v>
      </c>
      <c r="K1569" s="1">
        <v>15</v>
      </c>
      <c r="L1569" s="1">
        <v>25.54</v>
      </c>
      <c r="M1569" s="1">
        <v>7.93</v>
      </c>
      <c r="N1569" s="1">
        <v>4.09</v>
      </c>
      <c r="O1569" s="6" t="s">
        <v>34</v>
      </c>
      <c r="P1569" s="8">
        <f>Table1[Quantity]*Table1[Unit_Price]</f>
        <v>30.049999999999997</v>
      </c>
      <c r="Q1569" s="1">
        <f>Table1[Profit]/Table1[Total_Sales]</f>
        <v>0.1601409553641347</v>
      </c>
      <c r="R1569" s="14">
        <f>Table1[Total_Sales]+Table1[Shipping_Cost]</f>
        <v>33.47</v>
      </c>
    </row>
    <row r="1570" spans="1:18" x14ac:dyDescent="0.35">
      <c r="A1570" s="3" t="s">
        <v>2932</v>
      </c>
      <c r="B1570" s="2">
        <v>45797</v>
      </c>
      <c r="C1570" s="1" t="s">
        <v>2933</v>
      </c>
      <c r="D1570" s="1" t="s">
        <v>17</v>
      </c>
      <c r="E1570" s="1" t="s">
        <v>37</v>
      </c>
      <c r="F1570" s="1" t="s">
        <v>26</v>
      </c>
      <c r="G1570" s="1" t="s">
        <v>42</v>
      </c>
      <c r="H1570" s="1" t="s">
        <v>93</v>
      </c>
      <c r="I1570" s="1">
        <v>5</v>
      </c>
      <c r="J1570" s="1">
        <v>243.91</v>
      </c>
      <c r="K1570" s="1">
        <v>5</v>
      </c>
      <c r="L1570" s="1">
        <v>1158.57</v>
      </c>
      <c r="M1570" s="1">
        <v>17.690000000000001</v>
      </c>
      <c r="N1570" s="1">
        <v>409.15</v>
      </c>
      <c r="O1570" s="6" t="s">
        <v>34</v>
      </c>
      <c r="P1570" s="8">
        <f>Table1[Quantity]*Table1[Unit_Price]</f>
        <v>1219.55</v>
      </c>
      <c r="Q1570" s="1">
        <f>Table1[Profit]/Table1[Total_Sales]</f>
        <v>0.35315086701709869</v>
      </c>
      <c r="R1570" s="14">
        <f>Table1[Total_Sales]+Table1[Shipping_Cost]</f>
        <v>1176.26</v>
      </c>
    </row>
    <row r="1571" spans="1:18" x14ac:dyDescent="0.35">
      <c r="A1571" s="3" t="s">
        <v>2934</v>
      </c>
      <c r="B1571" s="2">
        <v>45797</v>
      </c>
      <c r="C1571" s="1" t="s">
        <v>2935</v>
      </c>
      <c r="D1571" s="1" t="s">
        <v>17</v>
      </c>
      <c r="E1571" s="1" t="s">
        <v>138</v>
      </c>
      <c r="F1571" s="1" t="s">
        <v>54</v>
      </c>
      <c r="G1571" s="1" t="s">
        <v>32</v>
      </c>
      <c r="H1571" s="1" t="s">
        <v>110</v>
      </c>
      <c r="I1571" s="1">
        <v>7</v>
      </c>
      <c r="J1571" s="1">
        <v>7.22</v>
      </c>
      <c r="K1571" s="1">
        <v>10</v>
      </c>
      <c r="L1571" s="1">
        <v>45.49</v>
      </c>
      <c r="M1571" s="1">
        <v>24.79</v>
      </c>
      <c r="N1571" s="1">
        <v>-2.04</v>
      </c>
      <c r="O1571" s="6" t="s">
        <v>39</v>
      </c>
      <c r="P1571" s="8">
        <f>Table1[Quantity]*Table1[Unit_Price]</f>
        <v>50.54</v>
      </c>
      <c r="Q1571" s="1">
        <f>Table1[Profit]/Table1[Total_Sales]</f>
        <v>-4.4845020883710701E-2</v>
      </c>
      <c r="R1571" s="14">
        <f>Table1[Total_Sales]+Table1[Shipping_Cost]</f>
        <v>70.28</v>
      </c>
    </row>
    <row r="1572" spans="1:18" x14ac:dyDescent="0.35">
      <c r="A1572" s="3" t="s">
        <v>2936</v>
      </c>
      <c r="B1572" s="2">
        <v>45797</v>
      </c>
      <c r="C1572" s="1" t="s">
        <v>2937</v>
      </c>
      <c r="D1572" s="1" t="s">
        <v>17</v>
      </c>
      <c r="E1572" s="1" t="s">
        <v>109</v>
      </c>
      <c r="F1572" s="1" t="s">
        <v>54</v>
      </c>
      <c r="G1572" s="1" t="s">
        <v>42</v>
      </c>
      <c r="H1572" s="1" t="s">
        <v>234</v>
      </c>
      <c r="I1572" s="1">
        <v>1</v>
      </c>
      <c r="J1572" s="1">
        <v>46.37</v>
      </c>
      <c r="K1572" s="1">
        <v>0</v>
      </c>
      <c r="L1572" s="1">
        <v>46.37</v>
      </c>
      <c r="M1572" s="1">
        <v>12.69</v>
      </c>
      <c r="N1572" s="1">
        <v>5.86</v>
      </c>
      <c r="O1572" s="6" t="s">
        <v>56</v>
      </c>
      <c r="P1572" s="8">
        <f>Table1[Quantity]*Table1[Unit_Price]</f>
        <v>46.37</v>
      </c>
      <c r="Q1572" s="1">
        <f>Table1[Profit]/Table1[Total_Sales]</f>
        <v>0.12637481130040976</v>
      </c>
      <c r="R1572" s="14">
        <f>Table1[Total_Sales]+Table1[Shipping_Cost]</f>
        <v>59.059999999999995</v>
      </c>
    </row>
    <row r="1573" spans="1:18" x14ac:dyDescent="0.35">
      <c r="A1573" s="3" t="s">
        <v>2938</v>
      </c>
      <c r="B1573" s="2">
        <v>45798</v>
      </c>
      <c r="C1573" s="1" t="s">
        <v>2939</v>
      </c>
      <c r="D1573" s="1" t="s">
        <v>30</v>
      </c>
      <c r="E1573" s="1" t="s">
        <v>18</v>
      </c>
      <c r="F1573" s="1" t="s">
        <v>19</v>
      </c>
      <c r="G1573" s="1" t="s">
        <v>42</v>
      </c>
      <c r="H1573" s="1" t="s">
        <v>46</v>
      </c>
      <c r="I1573" s="1">
        <v>2</v>
      </c>
      <c r="J1573" s="1">
        <v>133.22999999999999</v>
      </c>
      <c r="K1573" s="1">
        <v>5</v>
      </c>
      <c r="L1573" s="1">
        <v>253.14</v>
      </c>
      <c r="M1573" s="1">
        <v>6.33</v>
      </c>
      <c r="N1573" s="1">
        <v>86.93</v>
      </c>
      <c r="O1573" s="6" t="s">
        <v>56</v>
      </c>
      <c r="P1573" s="8">
        <f>Table1[Quantity]*Table1[Unit_Price]</f>
        <v>266.45999999999998</v>
      </c>
      <c r="Q1573" s="1">
        <f>Table1[Profit]/Table1[Total_Sales]</f>
        <v>0.34340681046061472</v>
      </c>
      <c r="R1573" s="14">
        <f>Table1[Total_Sales]+Table1[Shipping_Cost]</f>
        <v>259.46999999999997</v>
      </c>
    </row>
    <row r="1574" spans="1:18" x14ac:dyDescent="0.35">
      <c r="A1574" s="3" t="s">
        <v>2940</v>
      </c>
      <c r="B1574" s="2">
        <v>45799</v>
      </c>
      <c r="C1574" s="1" t="s">
        <v>2941</v>
      </c>
      <c r="D1574" s="1" t="s">
        <v>17</v>
      </c>
      <c r="E1574" s="1" t="s">
        <v>25</v>
      </c>
      <c r="F1574" s="1" t="s">
        <v>26</v>
      </c>
      <c r="G1574" s="1" t="s">
        <v>20</v>
      </c>
      <c r="H1574" s="1" t="s">
        <v>264</v>
      </c>
      <c r="I1574" s="1">
        <v>1</v>
      </c>
      <c r="J1574" s="1">
        <v>37.58</v>
      </c>
      <c r="K1574" s="1">
        <v>20</v>
      </c>
      <c r="L1574" s="1">
        <v>30.06</v>
      </c>
      <c r="M1574" s="1">
        <v>8.2100000000000009</v>
      </c>
      <c r="N1574" s="1">
        <v>1.18</v>
      </c>
      <c r="O1574" s="6" t="s">
        <v>22</v>
      </c>
      <c r="P1574" s="8">
        <f>Table1[Quantity]*Table1[Unit_Price]</f>
        <v>37.58</v>
      </c>
      <c r="Q1574" s="1">
        <f>Table1[Profit]/Table1[Total_Sales]</f>
        <v>3.9254823685961407E-2</v>
      </c>
      <c r="R1574" s="14">
        <f>Table1[Total_Sales]+Table1[Shipping_Cost]</f>
        <v>38.269999999999996</v>
      </c>
    </row>
    <row r="1575" spans="1:18" x14ac:dyDescent="0.35">
      <c r="A1575" s="3" t="s">
        <v>2942</v>
      </c>
      <c r="B1575" s="2">
        <v>45799</v>
      </c>
      <c r="C1575" s="1" t="s">
        <v>2943</v>
      </c>
      <c r="D1575" s="1" t="s">
        <v>30</v>
      </c>
      <c r="E1575" s="1" t="s">
        <v>248</v>
      </c>
      <c r="F1575" s="1" t="s">
        <v>26</v>
      </c>
      <c r="G1575" s="1" t="s">
        <v>42</v>
      </c>
      <c r="H1575" s="1" t="s">
        <v>294</v>
      </c>
      <c r="I1575" s="1">
        <v>5</v>
      </c>
      <c r="J1575" s="1">
        <v>175.88</v>
      </c>
      <c r="K1575" s="1">
        <v>5</v>
      </c>
      <c r="L1575" s="1">
        <v>835.43</v>
      </c>
      <c r="M1575" s="1">
        <v>13.32</v>
      </c>
      <c r="N1575" s="1">
        <v>294.47000000000003</v>
      </c>
      <c r="O1575" s="6" t="s">
        <v>34</v>
      </c>
      <c r="P1575" s="8">
        <f>Table1[Quantity]*Table1[Unit_Price]</f>
        <v>879.4</v>
      </c>
      <c r="Q1575" s="1">
        <f>Table1[Profit]/Table1[Total_Sales]</f>
        <v>0.35247716744670415</v>
      </c>
      <c r="R1575" s="14">
        <f>Table1[Total_Sales]+Table1[Shipping_Cost]</f>
        <v>848.75</v>
      </c>
    </row>
    <row r="1576" spans="1:18" x14ac:dyDescent="0.35">
      <c r="A1576" s="3" t="s">
        <v>2944</v>
      </c>
      <c r="B1576" s="2">
        <v>45801</v>
      </c>
      <c r="C1576" s="1" t="s">
        <v>1678</v>
      </c>
      <c r="D1576" s="1" t="s">
        <v>17</v>
      </c>
      <c r="E1576" s="1" t="s">
        <v>59</v>
      </c>
      <c r="F1576" s="1" t="s">
        <v>60</v>
      </c>
      <c r="G1576" s="1" t="s">
        <v>32</v>
      </c>
      <c r="H1576" s="1" t="s">
        <v>50</v>
      </c>
      <c r="I1576" s="1">
        <v>9</v>
      </c>
      <c r="J1576" s="1">
        <v>24.53</v>
      </c>
      <c r="K1576" s="1">
        <v>15</v>
      </c>
      <c r="L1576" s="1">
        <v>187.65</v>
      </c>
      <c r="M1576" s="1">
        <v>27.64</v>
      </c>
      <c r="N1576" s="1">
        <v>60.66</v>
      </c>
      <c r="O1576" s="6" t="s">
        <v>34</v>
      </c>
      <c r="P1576" s="8">
        <f>Table1[Quantity]*Table1[Unit_Price]</f>
        <v>220.77</v>
      </c>
      <c r="Q1576" s="1">
        <f>Table1[Profit]/Table1[Total_Sales]</f>
        <v>0.32326139088729017</v>
      </c>
      <c r="R1576" s="14">
        <f>Table1[Total_Sales]+Table1[Shipping_Cost]</f>
        <v>215.29000000000002</v>
      </c>
    </row>
    <row r="1577" spans="1:18" x14ac:dyDescent="0.35">
      <c r="A1577" s="3" t="s">
        <v>2945</v>
      </c>
      <c r="B1577" s="2">
        <v>45801</v>
      </c>
      <c r="C1577" s="1" t="s">
        <v>2946</v>
      </c>
      <c r="D1577" s="1" t="s">
        <v>17</v>
      </c>
      <c r="E1577" s="1" t="s">
        <v>166</v>
      </c>
      <c r="F1577" s="1" t="s">
        <v>60</v>
      </c>
      <c r="G1577" s="1" t="s">
        <v>32</v>
      </c>
      <c r="H1577" s="1" t="s">
        <v>101</v>
      </c>
      <c r="I1577" s="1">
        <v>3</v>
      </c>
      <c r="J1577" s="1">
        <v>10.15</v>
      </c>
      <c r="K1577" s="1">
        <v>15</v>
      </c>
      <c r="L1577" s="1">
        <v>25.88</v>
      </c>
      <c r="M1577" s="1">
        <v>16.059999999999999</v>
      </c>
      <c r="N1577" s="1">
        <v>-3.88</v>
      </c>
      <c r="O1577" s="6" t="s">
        <v>39</v>
      </c>
      <c r="P1577" s="8">
        <f>Table1[Quantity]*Table1[Unit_Price]</f>
        <v>30.450000000000003</v>
      </c>
      <c r="Q1577" s="1">
        <f>Table1[Profit]/Table1[Total_Sales]</f>
        <v>-0.14992272024729522</v>
      </c>
      <c r="R1577" s="14">
        <f>Table1[Total_Sales]+Table1[Shipping_Cost]</f>
        <v>41.94</v>
      </c>
    </row>
    <row r="1578" spans="1:18" x14ac:dyDescent="0.35">
      <c r="A1578" s="3" t="s">
        <v>2947</v>
      </c>
      <c r="B1578" s="2">
        <v>45803</v>
      </c>
      <c r="C1578" s="1" t="s">
        <v>1058</v>
      </c>
      <c r="D1578" s="1" t="s">
        <v>49</v>
      </c>
      <c r="E1578" s="1" t="s">
        <v>76</v>
      </c>
      <c r="F1578" s="1" t="s">
        <v>26</v>
      </c>
      <c r="G1578" s="1" t="s">
        <v>42</v>
      </c>
      <c r="H1578" s="1" t="s">
        <v>255</v>
      </c>
      <c r="I1578" s="1">
        <v>1</v>
      </c>
      <c r="J1578" s="1">
        <v>33.54</v>
      </c>
      <c r="K1578" s="1">
        <v>0</v>
      </c>
      <c r="L1578" s="1">
        <v>33.54</v>
      </c>
      <c r="M1578" s="1">
        <v>7.97</v>
      </c>
      <c r="N1578" s="1">
        <v>5.45</v>
      </c>
      <c r="O1578" s="6" t="s">
        <v>34</v>
      </c>
      <c r="P1578" s="8">
        <f>Table1[Quantity]*Table1[Unit_Price]</f>
        <v>33.54</v>
      </c>
      <c r="Q1578" s="1">
        <f>Table1[Profit]/Table1[Total_Sales]</f>
        <v>0.16249254621347645</v>
      </c>
      <c r="R1578" s="14">
        <f>Table1[Total_Sales]+Table1[Shipping_Cost]</f>
        <v>41.51</v>
      </c>
    </row>
    <row r="1579" spans="1:18" x14ac:dyDescent="0.35">
      <c r="A1579" s="3" t="s">
        <v>2948</v>
      </c>
      <c r="B1579" s="2">
        <v>45804</v>
      </c>
      <c r="C1579" s="1" t="s">
        <v>2949</v>
      </c>
      <c r="D1579" s="1" t="s">
        <v>30</v>
      </c>
      <c r="E1579" s="1" t="s">
        <v>148</v>
      </c>
      <c r="F1579" s="1" t="s">
        <v>60</v>
      </c>
      <c r="G1579" s="1" t="s">
        <v>42</v>
      </c>
      <c r="H1579" s="1" t="s">
        <v>43</v>
      </c>
      <c r="I1579" s="1">
        <v>4</v>
      </c>
      <c r="J1579" s="1">
        <v>213.39</v>
      </c>
      <c r="K1579" s="1">
        <v>5</v>
      </c>
      <c r="L1579" s="1">
        <v>810.88</v>
      </c>
      <c r="M1579" s="1">
        <v>18.510000000000002</v>
      </c>
      <c r="N1579" s="1">
        <v>280.23</v>
      </c>
      <c r="O1579" s="6" t="s">
        <v>34</v>
      </c>
      <c r="P1579" s="8">
        <f>Table1[Quantity]*Table1[Unit_Price]</f>
        <v>853.56</v>
      </c>
      <c r="Q1579" s="1">
        <f>Table1[Profit]/Table1[Total_Sales]</f>
        <v>0.34558750986582482</v>
      </c>
      <c r="R1579" s="14">
        <f>Table1[Total_Sales]+Table1[Shipping_Cost]</f>
        <v>829.39</v>
      </c>
    </row>
    <row r="1580" spans="1:18" x14ac:dyDescent="0.35">
      <c r="A1580" s="3" t="s">
        <v>2950</v>
      </c>
      <c r="B1580" s="2">
        <v>45806</v>
      </c>
      <c r="C1580" s="1" t="s">
        <v>2951</v>
      </c>
      <c r="D1580" s="1" t="s">
        <v>17</v>
      </c>
      <c r="E1580" s="1" t="s">
        <v>31</v>
      </c>
      <c r="F1580" s="1" t="s">
        <v>19</v>
      </c>
      <c r="G1580" s="1" t="s">
        <v>42</v>
      </c>
      <c r="H1580" s="1" t="s">
        <v>371</v>
      </c>
      <c r="I1580" s="1">
        <v>5</v>
      </c>
      <c r="J1580" s="1">
        <v>114.98</v>
      </c>
      <c r="K1580" s="1">
        <v>20</v>
      </c>
      <c r="L1580" s="1">
        <v>459.92</v>
      </c>
      <c r="M1580" s="1">
        <v>8.1300000000000008</v>
      </c>
      <c r="N1580" s="1">
        <v>106.85</v>
      </c>
      <c r="O1580" s="6" t="s">
        <v>34</v>
      </c>
      <c r="P1580" s="8">
        <f>Table1[Quantity]*Table1[Unit_Price]</f>
        <v>574.9</v>
      </c>
      <c r="Q1580" s="1">
        <f>Table1[Profit]/Table1[Total_Sales]</f>
        <v>0.23232301269786049</v>
      </c>
      <c r="R1580" s="14">
        <f>Table1[Total_Sales]+Table1[Shipping_Cost]</f>
        <v>468.05</v>
      </c>
    </row>
    <row r="1581" spans="1:18" x14ac:dyDescent="0.35">
      <c r="A1581" s="3" t="s">
        <v>2952</v>
      </c>
      <c r="B1581" s="2">
        <v>45806</v>
      </c>
      <c r="C1581" s="1" t="s">
        <v>2953</v>
      </c>
      <c r="D1581" s="1" t="s">
        <v>30</v>
      </c>
      <c r="E1581" s="1" t="s">
        <v>135</v>
      </c>
      <c r="F1581" s="1" t="s">
        <v>26</v>
      </c>
      <c r="G1581" s="1" t="s">
        <v>69</v>
      </c>
      <c r="H1581" s="1" t="s">
        <v>70</v>
      </c>
      <c r="I1581" s="1">
        <v>6</v>
      </c>
      <c r="J1581" s="1">
        <v>28.43</v>
      </c>
      <c r="K1581" s="1">
        <v>5</v>
      </c>
      <c r="L1581" s="1">
        <v>162.05000000000001</v>
      </c>
      <c r="M1581" s="1">
        <v>16.940000000000001</v>
      </c>
      <c r="N1581" s="1">
        <v>59.82</v>
      </c>
      <c r="O1581" s="6" t="s">
        <v>39</v>
      </c>
      <c r="P1581" s="8">
        <f>Table1[Quantity]*Table1[Unit_Price]</f>
        <v>170.57999999999998</v>
      </c>
      <c r="Q1581" s="1">
        <f>Table1[Profit]/Table1[Total_Sales]</f>
        <v>0.36914532551681578</v>
      </c>
      <c r="R1581" s="14">
        <f>Table1[Total_Sales]+Table1[Shipping_Cost]</f>
        <v>178.99</v>
      </c>
    </row>
    <row r="1582" spans="1:18" x14ac:dyDescent="0.35">
      <c r="A1582" s="3" t="s">
        <v>2954</v>
      </c>
      <c r="B1582" s="2">
        <v>45806</v>
      </c>
      <c r="C1582" s="1" t="s">
        <v>425</v>
      </c>
      <c r="D1582" s="1" t="s">
        <v>17</v>
      </c>
      <c r="E1582" s="1" t="s">
        <v>59</v>
      </c>
      <c r="F1582" s="1" t="s">
        <v>60</v>
      </c>
      <c r="G1582" s="1" t="s">
        <v>32</v>
      </c>
      <c r="H1582" s="1" t="s">
        <v>149</v>
      </c>
      <c r="I1582" s="1">
        <v>3</v>
      </c>
      <c r="J1582" s="1">
        <v>5.01</v>
      </c>
      <c r="K1582" s="1">
        <v>0</v>
      </c>
      <c r="L1582" s="1">
        <v>15.03</v>
      </c>
      <c r="M1582" s="1">
        <v>11.86</v>
      </c>
      <c r="N1582" s="1">
        <v>-3.59</v>
      </c>
      <c r="O1582" s="6" t="s">
        <v>39</v>
      </c>
      <c r="P1582" s="8">
        <f>Table1[Quantity]*Table1[Unit_Price]</f>
        <v>15.03</v>
      </c>
      <c r="Q1582" s="1">
        <f>Table1[Profit]/Table1[Total_Sales]</f>
        <v>-0.23885562208915503</v>
      </c>
      <c r="R1582" s="14">
        <f>Table1[Total_Sales]+Table1[Shipping_Cost]</f>
        <v>26.89</v>
      </c>
    </row>
    <row r="1583" spans="1:18" x14ac:dyDescent="0.35">
      <c r="A1583" s="3" t="s">
        <v>2955</v>
      </c>
      <c r="B1583" s="2">
        <v>45806</v>
      </c>
      <c r="C1583" s="1" t="s">
        <v>1346</v>
      </c>
      <c r="D1583" s="1" t="s">
        <v>30</v>
      </c>
      <c r="E1583" s="1" t="s">
        <v>129</v>
      </c>
      <c r="F1583" s="1" t="s">
        <v>19</v>
      </c>
      <c r="G1583" s="1" t="s">
        <v>32</v>
      </c>
      <c r="H1583" s="1" t="s">
        <v>101</v>
      </c>
      <c r="I1583" s="1">
        <v>1</v>
      </c>
      <c r="J1583" s="1">
        <v>9.93</v>
      </c>
      <c r="K1583" s="1">
        <v>5</v>
      </c>
      <c r="L1583" s="1">
        <v>9.43</v>
      </c>
      <c r="M1583" s="1">
        <v>5.79</v>
      </c>
      <c r="N1583" s="1">
        <v>-0.83</v>
      </c>
      <c r="O1583" s="6" t="s">
        <v>34</v>
      </c>
      <c r="P1583" s="8">
        <f>Table1[Quantity]*Table1[Unit_Price]</f>
        <v>9.93</v>
      </c>
      <c r="Q1583" s="1">
        <f>Table1[Profit]/Table1[Total_Sales]</f>
        <v>-8.8016967126193002E-2</v>
      </c>
      <c r="R1583" s="14">
        <f>Table1[Total_Sales]+Table1[Shipping_Cost]</f>
        <v>15.219999999999999</v>
      </c>
    </row>
    <row r="1584" spans="1:18" x14ac:dyDescent="0.35">
      <c r="A1584" s="3" t="s">
        <v>2956</v>
      </c>
      <c r="B1584" s="2">
        <v>45807</v>
      </c>
      <c r="C1584" s="1" t="s">
        <v>2957</v>
      </c>
      <c r="D1584" s="1" t="s">
        <v>17</v>
      </c>
      <c r="E1584" s="1" t="s">
        <v>135</v>
      </c>
      <c r="F1584" s="1" t="s">
        <v>26</v>
      </c>
      <c r="G1584" s="1" t="s">
        <v>69</v>
      </c>
      <c r="H1584" s="1" t="s">
        <v>243</v>
      </c>
      <c r="I1584" s="1">
        <v>3</v>
      </c>
      <c r="J1584" s="1">
        <v>41.25</v>
      </c>
      <c r="K1584" s="1">
        <v>5</v>
      </c>
      <c r="L1584" s="1">
        <v>117.56</v>
      </c>
      <c r="M1584" s="1">
        <v>8.91</v>
      </c>
      <c r="N1584" s="1">
        <v>46.78</v>
      </c>
      <c r="O1584" s="6" t="s">
        <v>39</v>
      </c>
      <c r="P1584" s="8">
        <f>Table1[Quantity]*Table1[Unit_Price]</f>
        <v>123.75</v>
      </c>
      <c r="Q1584" s="1">
        <f>Table1[Profit]/Table1[Total_Sales]</f>
        <v>0.39792446410343657</v>
      </c>
      <c r="R1584" s="14">
        <f>Table1[Total_Sales]+Table1[Shipping_Cost]</f>
        <v>126.47</v>
      </c>
    </row>
    <row r="1585" spans="1:18" x14ac:dyDescent="0.35">
      <c r="A1585" s="3" t="s">
        <v>2958</v>
      </c>
      <c r="B1585" s="2">
        <v>45807</v>
      </c>
      <c r="C1585" s="1" t="s">
        <v>2959</v>
      </c>
      <c r="D1585" s="1" t="s">
        <v>49</v>
      </c>
      <c r="E1585" s="1" t="s">
        <v>138</v>
      </c>
      <c r="F1585" s="1" t="s">
        <v>54</v>
      </c>
      <c r="G1585" s="1" t="s">
        <v>20</v>
      </c>
      <c r="H1585" s="1" t="s">
        <v>122</v>
      </c>
      <c r="I1585" s="1">
        <v>5</v>
      </c>
      <c r="J1585" s="1">
        <v>115.16</v>
      </c>
      <c r="K1585" s="1">
        <v>5</v>
      </c>
      <c r="L1585" s="1">
        <v>547.01</v>
      </c>
      <c r="M1585" s="1">
        <v>16.63</v>
      </c>
      <c r="N1585" s="1">
        <v>213.69</v>
      </c>
      <c r="O1585" s="6" t="s">
        <v>22</v>
      </c>
      <c r="P1585" s="8">
        <f>Table1[Quantity]*Table1[Unit_Price]</f>
        <v>575.79999999999995</v>
      </c>
      <c r="Q1585" s="1">
        <f>Table1[Profit]/Table1[Total_Sales]</f>
        <v>0.3906509935832983</v>
      </c>
      <c r="R1585" s="14">
        <f>Table1[Total_Sales]+Table1[Shipping_Cost]</f>
        <v>563.64</v>
      </c>
    </row>
    <row r="1586" spans="1:18" x14ac:dyDescent="0.35">
      <c r="A1586" s="3" t="s">
        <v>2960</v>
      </c>
      <c r="B1586" s="2">
        <v>45807</v>
      </c>
      <c r="C1586" s="1" t="s">
        <v>625</v>
      </c>
      <c r="D1586" s="1" t="s">
        <v>17</v>
      </c>
      <c r="E1586" s="1" t="s">
        <v>148</v>
      </c>
      <c r="F1586" s="1" t="s">
        <v>60</v>
      </c>
      <c r="G1586" s="1" t="s">
        <v>42</v>
      </c>
      <c r="H1586" s="1" t="s">
        <v>255</v>
      </c>
      <c r="I1586" s="1">
        <v>9</v>
      </c>
      <c r="J1586" s="1">
        <v>54.27</v>
      </c>
      <c r="K1586" s="1">
        <v>5</v>
      </c>
      <c r="L1586" s="1">
        <v>464.01</v>
      </c>
      <c r="M1586" s="1">
        <v>21.91</v>
      </c>
      <c r="N1586" s="1">
        <v>149.04</v>
      </c>
      <c r="O1586" s="6" t="s">
        <v>39</v>
      </c>
      <c r="P1586" s="8">
        <f>Table1[Quantity]*Table1[Unit_Price]</f>
        <v>488.43</v>
      </c>
      <c r="Q1586" s="1">
        <f>Table1[Profit]/Table1[Total_Sales]</f>
        <v>0.32119997413848839</v>
      </c>
      <c r="R1586" s="14">
        <f>Table1[Total_Sales]+Table1[Shipping_Cost]</f>
        <v>485.92</v>
      </c>
    </row>
    <row r="1587" spans="1:18" x14ac:dyDescent="0.35">
      <c r="A1587" s="3" t="s">
        <v>2961</v>
      </c>
      <c r="B1587" s="2">
        <v>45808</v>
      </c>
      <c r="C1587" s="1" t="s">
        <v>2962</v>
      </c>
      <c r="D1587" s="1" t="s">
        <v>30</v>
      </c>
      <c r="E1587" s="1" t="s">
        <v>248</v>
      </c>
      <c r="F1587" s="1" t="s">
        <v>26</v>
      </c>
      <c r="G1587" s="1" t="s">
        <v>20</v>
      </c>
      <c r="H1587" s="1" t="s">
        <v>122</v>
      </c>
      <c r="I1587" s="1">
        <v>1</v>
      </c>
      <c r="J1587" s="1">
        <v>100.53</v>
      </c>
      <c r="K1587" s="1">
        <v>10</v>
      </c>
      <c r="L1587" s="1">
        <v>90.48</v>
      </c>
      <c r="M1587" s="1">
        <v>9.2200000000000006</v>
      </c>
      <c r="N1587" s="1">
        <v>25.97</v>
      </c>
      <c r="O1587" s="6" t="s">
        <v>56</v>
      </c>
      <c r="P1587" s="8">
        <f>Table1[Quantity]*Table1[Unit_Price]</f>
        <v>100.53</v>
      </c>
      <c r="Q1587" s="1">
        <f>Table1[Profit]/Table1[Total_Sales]</f>
        <v>0.28702475685234302</v>
      </c>
      <c r="R1587" s="14">
        <f>Table1[Total_Sales]+Table1[Shipping_Cost]</f>
        <v>99.7</v>
      </c>
    </row>
    <row r="1588" spans="1:18" x14ac:dyDescent="0.35">
      <c r="A1588" s="3" t="s">
        <v>2963</v>
      </c>
      <c r="B1588" s="2">
        <v>45808</v>
      </c>
      <c r="C1588" s="1" t="s">
        <v>2244</v>
      </c>
      <c r="D1588" s="1" t="s">
        <v>30</v>
      </c>
      <c r="E1588" s="1" t="s">
        <v>148</v>
      </c>
      <c r="F1588" s="1" t="s">
        <v>60</v>
      </c>
      <c r="G1588" s="1" t="s">
        <v>20</v>
      </c>
      <c r="H1588" s="1" t="s">
        <v>264</v>
      </c>
      <c r="I1588" s="1">
        <v>6</v>
      </c>
      <c r="J1588" s="1">
        <v>37.44</v>
      </c>
      <c r="K1588" s="1">
        <v>5</v>
      </c>
      <c r="L1588" s="1">
        <v>213.41</v>
      </c>
      <c r="M1588" s="1">
        <v>15.54</v>
      </c>
      <c r="N1588" s="1">
        <v>74.319999999999993</v>
      </c>
      <c r="O1588" s="6" t="s">
        <v>34</v>
      </c>
      <c r="P1588" s="8">
        <f>Table1[Quantity]*Table1[Unit_Price]</f>
        <v>224.64</v>
      </c>
      <c r="Q1588" s="1">
        <f>Table1[Profit]/Table1[Total_Sales]</f>
        <v>0.34824984771097883</v>
      </c>
      <c r="R1588" s="14">
        <f>Table1[Total_Sales]+Table1[Shipping_Cost]</f>
        <v>228.95</v>
      </c>
    </row>
    <row r="1589" spans="1:18" x14ac:dyDescent="0.35">
      <c r="A1589" s="3" t="s">
        <v>2964</v>
      </c>
      <c r="B1589" s="2">
        <v>45809</v>
      </c>
      <c r="C1589" s="1" t="s">
        <v>399</v>
      </c>
      <c r="D1589" s="1" t="s">
        <v>30</v>
      </c>
      <c r="E1589" s="1" t="s">
        <v>18</v>
      </c>
      <c r="F1589" s="1" t="s">
        <v>19</v>
      </c>
      <c r="G1589" s="1" t="s">
        <v>42</v>
      </c>
      <c r="H1589" s="1" t="s">
        <v>118</v>
      </c>
      <c r="I1589" s="1">
        <v>1</v>
      </c>
      <c r="J1589" s="1">
        <v>65.87</v>
      </c>
      <c r="K1589" s="1">
        <v>0</v>
      </c>
      <c r="L1589" s="1">
        <v>65.87</v>
      </c>
      <c r="M1589" s="1">
        <v>6.61</v>
      </c>
      <c r="N1589" s="1">
        <v>19.739999999999998</v>
      </c>
      <c r="O1589" s="6" t="s">
        <v>39</v>
      </c>
      <c r="P1589" s="8">
        <f>Table1[Quantity]*Table1[Unit_Price]</f>
        <v>65.87</v>
      </c>
      <c r="Q1589" s="1">
        <f>Table1[Profit]/Table1[Total_Sales]</f>
        <v>0.2996811902231668</v>
      </c>
      <c r="R1589" s="14">
        <f>Table1[Total_Sales]+Table1[Shipping_Cost]</f>
        <v>72.48</v>
      </c>
    </row>
    <row r="1590" spans="1:18" x14ac:dyDescent="0.35">
      <c r="A1590" s="3" t="s">
        <v>2965</v>
      </c>
      <c r="B1590" s="2">
        <v>45809</v>
      </c>
      <c r="C1590" s="1" t="s">
        <v>2966</v>
      </c>
      <c r="D1590" s="1" t="s">
        <v>30</v>
      </c>
      <c r="E1590" s="1" t="s">
        <v>31</v>
      </c>
      <c r="F1590" s="1" t="s">
        <v>19</v>
      </c>
      <c r="G1590" s="1" t="s">
        <v>32</v>
      </c>
      <c r="H1590" s="1" t="s">
        <v>33</v>
      </c>
      <c r="I1590" s="1">
        <v>2</v>
      </c>
      <c r="J1590" s="1">
        <v>11.24</v>
      </c>
      <c r="K1590" s="1">
        <v>10</v>
      </c>
      <c r="L1590" s="1">
        <v>20.23</v>
      </c>
      <c r="M1590" s="1">
        <v>6.69</v>
      </c>
      <c r="N1590" s="1">
        <v>3.42</v>
      </c>
      <c r="O1590" s="6" t="s">
        <v>39</v>
      </c>
      <c r="P1590" s="8">
        <f>Table1[Quantity]*Table1[Unit_Price]</f>
        <v>22.48</v>
      </c>
      <c r="Q1590" s="1">
        <f>Table1[Profit]/Table1[Total_Sales]</f>
        <v>0.16905585763717251</v>
      </c>
      <c r="R1590" s="14">
        <f>Table1[Total_Sales]+Table1[Shipping_Cost]</f>
        <v>26.92</v>
      </c>
    </row>
    <row r="1591" spans="1:18" x14ac:dyDescent="0.35">
      <c r="A1591" s="3" t="s">
        <v>2967</v>
      </c>
      <c r="B1591" s="2">
        <v>45809</v>
      </c>
      <c r="C1591" s="1" t="s">
        <v>2968</v>
      </c>
      <c r="D1591" s="1" t="s">
        <v>30</v>
      </c>
      <c r="E1591" s="1" t="s">
        <v>31</v>
      </c>
      <c r="F1591" s="1" t="s">
        <v>19</v>
      </c>
      <c r="G1591" s="1" t="s">
        <v>42</v>
      </c>
      <c r="H1591" s="1" t="s">
        <v>43</v>
      </c>
      <c r="I1591" s="1">
        <v>9</v>
      </c>
      <c r="J1591" s="1">
        <v>148.46</v>
      </c>
      <c r="K1591" s="1">
        <v>10</v>
      </c>
      <c r="L1591" s="1">
        <v>1202.53</v>
      </c>
      <c r="M1591" s="1">
        <v>26.88</v>
      </c>
      <c r="N1591" s="1">
        <v>373.97</v>
      </c>
      <c r="O1591" s="6" t="s">
        <v>22</v>
      </c>
      <c r="P1591" s="8">
        <f>Table1[Quantity]*Table1[Unit_Price]</f>
        <v>1336.14</v>
      </c>
      <c r="Q1591" s="1">
        <f>Table1[Profit]/Table1[Total_Sales]</f>
        <v>0.31098600450716407</v>
      </c>
      <c r="R1591" s="14">
        <f>Table1[Total_Sales]+Table1[Shipping_Cost]</f>
        <v>1229.4100000000001</v>
      </c>
    </row>
    <row r="1592" spans="1:18" x14ac:dyDescent="0.35">
      <c r="A1592" s="3" t="s">
        <v>2969</v>
      </c>
      <c r="B1592" s="2">
        <v>45810</v>
      </c>
      <c r="C1592" s="1" t="s">
        <v>2970</v>
      </c>
      <c r="D1592" s="1" t="s">
        <v>17</v>
      </c>
      <c r="E1592" s="1" t="s">
        <v>31</v>
      </c>
      <c r="F1592" s="1" t="s">
        <v>19</v>
      </c>
      <c r="G1592" s="1" t="s">
        <v>32</v>
      </c>
      <c r="H1592" s="1" t="s">
        <v>348</v>
      </c>
      <c r="I1592" s="1">
        <v>2</v>
      </c>
      <c r="J1592" s="1">
        <v>10.07</v>
      </c>
      <c r="K1592" s="1">
        <v>15</v>
      </c>
      <c r="L1592" s="1">
        <v>17.12</v>
      </c>
      <c r="M1592" s="1">
        <v>6.12</v>
      </c>
      <c r="N1592" s="1">
        <v>1.94</v>
      </c>
      <c r="O1592" s="6" t="s">
        <v>34</v>
      </c>
      <c r="P1592" s="8">
        <f>Table1[Quantity]*Table1[Unit_Price]</f>
        <v>20.14</v>
      </c>
      <c r="Q1592" s="1">
        <f>Table1[Profit]/Table1[Total_Sales]</f>
        <v>0.11331775700934578</v>
      </c>
      <c r="R1592" s="14">
        <f>Table1[Total_Sales]+Table1[Shipping_Cost]</f>
        <v>23.240000000000002</v>
      </c>
    </row>
    <row r="1593" spans="1:18" x14ac:dyDescent="0.35">
      <c r="A1593" s="3" t="s">
        <v>2971</v>
      </c>
      <c r="B1593" s="2">
        <v>45811</v>
      </c>
      <c r="C1593" s="1" t="s">
        <v>2972</v>
      </c>
      <c r="D1593" s="1" t="s">
        <v>49</v>
      </c>
      <c r="E1593" s="1" t="s">
        <v>248</v>
      </c>
      <c r="F1593" s="1" t="s">
        <v>26</v>
      </c>
      <c r="G1593" s="1" t="s">
        <v>20</v>
      </c>
      <c r="H1593" s="1" t="s">
        <v>21</v>
      </c>
      <c r="I1593" s="1">
        <v>2</v>
      </c>
      <c r="J1593" s="1">
        <v>159.65</v>
      </c>
      <c r="K1593" s="1">
        <v>5</v>
      </c>
      <c r="L1593" s="1">
        <v>303.33</v>
      </c>
      <c r="M1593" s="1">
        <v>8.3800000000000008</v>
      </c>
      <c r="N1593" s="1">
        <v>119.33</v>
      </c>
      <c r="O1593" s="6" t="s">
        <v>56</v>
      </c>
      <c r="P1593" s="8">
        <f>Table1[Quantity]*Table1[Unit_Price]</f>
        <v>319.3</v>
      </c>
      <c r="Q1593" s="1">
        <f>Table1[Profit]/Table1[Total_Sales]</f>
        <v>0.39339992747173047</v>
      </c>
      <c r="R1593" s="14">
        <f>Table1[Total_Sales]+Table1[Shipping_Cost]</f>
        <v>311.70999999999998</v>
      </c>
    </row>
    <row r="1594" spans="1:18" x14ac:dyDescent="0.35">
      <c r="A1594" s="3" t="s">
        <v>2973</v>
      </c>
      <c r="B1594" s="2">
        <v>45811</v>
      </c>
      <c r="C1594" s="1" t="s">
        <v>2618</v>
      </c>
      <c r="D1594" s="1" t="s">
        <v>49</v>
      </c>
      <c r="E1594" s="1" t="s">
        <v>129</v>
      </c>
      <c r="F1594" s="1" t="s">
        <v>19</v>
      </c>
      <c r="G1594" s="1" t="s">
        <v>32</v>
      </c>
      <c r="H1594" s="1" t="s">
        <v>50</v>
      </c>
      <c r="I1594" s="1">
        <v>1</v>
      </c>
      <c r="J1594" s="1">
        <v>11.67</v>
      </c>
      <c r="K1594" s="1">
        <v>10</v>
      </c>
      <c r="L1594" s="1">
        <v>10.5</v>
      </c>
      <c r="M1594" s="1">
        <v>6.16</v>
      </c>
      <c r="N1594" s="1">
        <v>-0.91</v>
      </c>
      <c r="O1594" s="6" t="s">
        <v>34</v>
      </c>
      <c r="P1594" s="8">
        <f>Table1[Quantity]*Table1[Unit_Price]</f>
        <v>11.67</v>
      </c>
      <c r="Q1594" s="1">
        <f>Table1[Profit]/Table1[Total_Sales]</f>
        <v>-8.666666666666667E-2</v>
      </c>
      <c r="R1594" s="14">
        <f>Table1[Total_Sales]+Table1[Shipping_Cost]</f>
        <v>16.66</v>
      </c>
    </row>
    <row r="1595" spans="1:18" x14ac:dyDescent="0.35">
      <c r="A1595" s="3" t="s">
        <v>2974</v>
      </c>
      <c r="B1595" s="2">
        <v>45811</v>
      </c>
      <c r="C1595" s="1" t="s">
        <v>1408</v>
      </c>
      <c r="D1595" s="1" t="s">
        <v>49</v>
      </c>
      <c r="E1595" s="1" t="s">
        <v>76</v>
      </c>
      <c r="F1595" s="1" t="s">
        <v>26</v>
      </c>
      <c r="G1595" s="1" t="s">
        <v>69</v>
      </c>
      <c r="H1595" s="1" t="s">
        <v>243</v>
      </c>
      <c r="I1595" s="1">
        <v>2</v>
      </c>
      <c r="J1595" s="1">
        <v>16.7</v>
      </c>
      <c r="K1595" s="1">
        <v>15</v>
      </c>
      <c r="L1595" s="1">
        <v>28.39</v>
      </c>
      <c r="M1595" s="1">
        <v>11.41</v>
      </c>
      <c r="N1595" s="1">
        <v>0.28000000000000003</v>
      </c>
      <c r="O1595" s="6" t="s">
        <v>22</v>
      </c>
      <c r="P1595" s="8">
        <f>Table1[Quantity]*Table1[Unit_Price]</f>
        <v>33.4</v>
      </c>
      <c r="Q1595" s="1">
        <f>Table1[Profit]/Table1[Total_Sales]</f>
        <v>9.8626276858048614E-3</v>
      </c>
      <c r="R1595" s="14">
        <f>Table1[Total_Sales]+Table1[Shipping_Cost]</f>
        <v>39.799999999999997</v>
      </c>
    </row>
    <row r="1596" spans="1:18" x14ac:dyDescent="0.35">
      <c r="A1596" s="3" t="s">
        <v>2975</v>
      </c>
      <c r="B1596" s="2">
        <v>45811</v>
      </c>
      <c r="C1596" s="1" t="s">
        <v>2898</v>
      </c>
      <c r="D1596" s="1" t="s">
        <v>17</v>
      </c>
      <c r="E1596" s="1" t="s">
        <v>18</v>
      </c>
      <c r="F1596" s="1" t="s">
        <v>19</v>
      </c>
      <c r="G1596" s="1" t="s">
        <v>42</v>
      </c>
      <c r="H1596" s="1" t="s">
        <v>93</v>
      </c>
      <c r="I1596" s="1">
        <v>5</v>
      </c>
      <c r="J1596" s="1">
        <v>408.13</v>
      </c>
      <c r="K1596" s="1">
        <v>15</v>
      </c>
      <c r="L1596" s="1">
        <v>1734.55</v>
      </c>
      <c r="M1596" s="1">
        <v>8.1199999999999992</v>
      </c>
      <c r="N1596" s="1">
        <v>502.04</v>
      </c>
      <c r="O1596" s="6" t="s">
        <v>34</v>
      </c>
      <c r="P1596" s="8">
        <f>Table1[Quantity]*Table1[Unit_Price]</f>
        <v>2040.65</v>
      </c>
      <c r="Q1596" s="1">
        <f>Table1[Profit]/Table1[Total_Sales]</f>
        <v>0.28943530022195962</v>
      </c>
      <c r="R1596" s="14">
        <f>Table1[Total_Sales]+Table1[Shipping_Cost]</f>
        <v>1742.6699999999998</v>
      </c>
    </row>
    <row r="1597" spans="1:18" x14ac:dyDescent="0.35">
      <c r="A1597" s="3" t="s">
        <v>2976</v>
      </c>
      <c r="B1597" s="2">
        <v>45812</v>
      </c>
      <c r="C1597" s="1" t="s">
        <v>1837</v>
      </c>
      <c r="D1597" s="1" t="s">
        <v>30</v>
      </c>
      <c r="E1597" s="1" t="s">
        <v>138</v>
      </c>
      <c r="F1597" s="1" t="s">
        <v>54</v>
      </c>
      <c r="G1597" s="1" t="s">
        <v>69</v>
      </c>
      <c r="H1597" s="1" t="s">
        <v>70</v>
      </c>
      <c r="I1597" s="1">
        <v>3</v>
      </c>
      <c r="J1597" s="1">
        <v>22.94</v>
      </c>
      <c r="K1597" s="1">
        <v>5</v>
      </c>
      <c r="L1597" s="1">
        <v>65.38</v>
      </c>
      <c r="M1597" s="1">
        <v>13.72</v>
      </c>
      <c r="N1597" s="1">
        <v>17.25</v>
      </c>
      <c r="O1597" s="6" t="s">
        <v>56</v>
      </c>
      <c r="P1597" s="8">
        <f>Table1[Quantity]*Table1[Unit_Price]</f>
        <v>68.820000000000007</v>
      </c>
      <c r="Q1597" s="1">
        <f>Table1[Profit]/Table1[Total_Sales]</f>
        <v>0.26384215356378099</v>
      </c>
      <c r="R1597" s="14">
        <f>Table1[Total_Sales]+Table1[Shipping_Cost]</f>
        <v>79.099999999999994</v>
      </c>
    </row>
    <row r="1598" spans="1:18" x14ac:dyDescent="0.35">
      <c r="A1598" s="3" t="s">
        <v>2977</v>
      </c>
      <c r="B1598" s="2">
        <v>45812</v>
      </c>
      <c r="C1598" s="1" t="s">
        <v>2539</v>
      </c>
      <c r="D1598" s="1" t="s">
        <v>30</v>
      </c>
      <c r="E1598" s="1" t="s">
        <v>129</v>
      </c>
      <c r="F1598" s="1" t="s">
        <v>19</v>
      </c>
      <c r="G1598" s="1" t="s">
        <v>42</v>
      </c>
      <c r="H1598" s="1" t="s">
        <v>371</v>
      </c>
      <c r="I1598" s="1">
        <v>6</v>
      </c>
      <c r="J1598" s="1">
        <v>112.24</v>
      </c>
      <c r="K1598" s="1">
        <v>10</v>
      </c>
      <c r="L1598" s="1">
        <v>606.1</v>
      </c>
      <c r="M1598" s="1">
        <v>15.24</v>
      </c>
      <c r="N1598" s="1">
        <v>186.8</v>
      </c>
      <c r="O1598" s="6" t="s">
        <v>39</v>
      </c>
      <c r="P1598" s="8">
        <f>Table1[Quantity]*Table1[Unit_Price]</f>
        <v>673.43999999999994</v>
      </c>
      <c r="Q1598" s="1">
        <f>Table1[Profit]/Table1[Total_Sales]</f>
        <v>0.30819996700214486</v>
      </c>
      <c r="R1598" s="14">
        <f>Table1[Total_Sales]+Table1[Shipping_Cost]</f>
        <v>621.34</v>
      </c>
    </row>
    <row r="1599" spans="1:18" x14ac:dyDescent="0.35">
      <c r="A1599" s="3" t="s">
        <v>2978</v>
      </c>
      <c r="B1599" s="2">
        <v>45813</v>
      </c>
      <c r="C1599" s="1" t="s">
        <v>2979</v>
      </c>
      <c r="D1599" s="1" t="s">
        <v>30</v>
      </c>
      <c r="E1599" s="1" t="s">
        <v>166</v>
      </c>
      <c r="F1599" s="1" t="s">
        <v>60</v>
      </c>
      <c r="G1599" s="1" t="s">
        <v>42</v>
      </c>
      <c r="H1599" s="1" t="s">
        <v>294</v>
      </c>
      <c r="I1599" s="1">
        <v>2</v>
      </c>
      <c r="J1599" s="1">
        <v>133.72</v>
      </c>
      <c r="K1599" s="1">
        <v>5</v>
      </c>
      <c r="L1599" s="1">
        <v>254.07</v>
      </c>
      <c r="M1599" s="1">
        <v>13.55</v>
      </c>
      <c r="N1599" s="1">
        <v>80.06</v>
      </c>
      <c r="O1599" s="6" t="s">
        <v>22</v>
      </c>
      <c r="P1599" s="8">
        <f>Table1[Quantity]*Table1[Unit_Price]</f>
        <v>267.44</v>
      </c>
      <c r="Q1599" s="1">
        <f>Table1[Profit]/Table1[Total_Sales]</f>
        <v>0.31511000905262332</v>
      </c>
      <c r="R1599" s="14">
        <f>Table1[Total_Sales]+Table1[Shipping_Cost]</f>
        <v>267.62</v>
      </c>
    </row>
    <row r="1600" spans="1:18" x14ac:dyDescent="0.35">
      <c r="A1600" s="3" t="s">
        <v>2980</v>
      </c>
      <c r="B1600" s="2">
        <v>45813</v>
      </c>
      <c r="C1600" s="1" t="s">
        <v>2981</v>
      </c>
      <c r="D1600" s="1" t="s">
        <v>17</v>
      </c>
      <c r="E1600" s="1" t="s">
        <v>85</v>
      </c>
      <c r="F1600" s="1" t="s">
        <v>60</v>
      </c>
      <c r="G1600" s="1" t="s">
        <v>20</v>
      </c>
      <c r="H1600" s="1" t="s">
        <v>27</v>
      </c>
      <c r="I1600" s="1">
        <v>4</v>
      </c>
      <c r="J1600" s="1">
        <v>132.13999999999999</v>
      </c>
      <c r="K1600" s="1">
        <v>25</v>
      </c>
      <c r="L1600" s="1">
        <v>396.42</v>
      </c>
      <c r="M1600" s="1">
        <v>16.649999999999999</v>
      </c>
      <c r="N1600" s="1">
        <v>89.06</v>
      </c>
      <c r="O1600" s="6" t="s">
        <v>39</v>
      </c>
      <c r="P1600" s="8">
        <f>Table1[Quantity]*Table1[Unit_Price]</f>
        <v>528.55999999999995</v>
      </c>
      <c r="Q1600" s="1">
        <f>Table1[Profit]/Table1[Total_Sales]</f>
        <v>0.2246607133847939</v>
      </c>
      <c r="R1600" s="14">
        <f>Table1[Total_Sales]+Table1[Shipping_Cost]</f>
        <v>413.07</v>
      </c>
    </row>
    <row r="1601" spans="1:18" x14ac:dyDescent="0.35">
      <c r="A1601" s="3" t="s">
        <v>2982</v>
      </c>
      <c r="B1601" s="2">
        <v>45814</v>
      </c>
      <c r="C1601" s="1" t="s">
        <v>2160</v>
      </c>
      <c r="D1601" s="1" t="s">
        <v>30</v>
      </c>
      <c r="E1601" s="1" t="s">
        <v>148</v>
      </c>
      <c r="F1601" s="1" t="s">
        <v>60</v>
      </c>
      <c r="G1601" s="1" t="s">
        <v>20</v>
      </c>
      <c r="H1601" s="1" t="s">
        <v>21</v>
      </c>
      <c r="I1601" s="1">
        <v>10</v>
      </c>
      <c r="J1601" s="1">
        <v>177.5</v>
      </c>
      <c r="K1601" s="1">
        <v>0</v>
      </c>
      <c r="L1601" s="1">
        <v>1775</v>
      </c>
      <c r="M1601" s="1">
        <v>15.06</v>
      </c>
      <c r="N1601" s="1">
        <v>783.69</v>
      </c>
      <c r="O1601" s="6" t="s">
        <v>34</v>
      </c>
      <c r="P1601" s="8">
        <f>Table1[Quantity]*Table1[Unit_Price]</f>
        <v>1775</v>
      </c>
      <c r="Q1601" s="1">
        <f>Table1[Profit]/Table1[Total_Sales]</f>
        <v>0.4415154929577465</v>
      </c>
      <c r="R1601" s="14">
        <f>Table1[Total_Sales]+Table1[Shipping_Cost]</f>
        <v>1790.06</v>
      </c>
    </row>
    <row r="1602" spans="1:18" x14ac:dyDescent="0.35">
      <c r="A1602" s="3" t="s">
        <v>2983</v>
      </c>
      <c r="B1602" s="2">
        <v>45814</v>
      </c>
      <c r="C1602" s="1" t="s">
        <v>2984</v>
      </c>
      <c r="D1602" s="1" t="s">
        <v>30</v>
      </c>
      <c r="E1602" s="1" t="s">
        <v>67</v>
      </c>
      <c r="F1602" s="1" t="s">
        <v>68</v>
      </c>
      <c r="G1602" s="1" t="s">
        <v>20</v>
      </c>
      <c r="H1602" s="1" t="s">
        <v>122</v>
      </c>
      <c r="I1602" s="1">
        <v>3</v>
      </c>
      <c r="J1602" s="1">
        <v>91.93</v>
      </c>
      <c r="K1602" s="1">
        <v>5</v>
      </c>
      <c r="L1602" s="1">
        <v>262</v>
      </c>
      <c r="M1602" s="1">
        <v>17.100000000000001</v>
      </c>
      <c r="N1602" s="1">
        <v>93.22</v>
      </c>
      <c r="O1602" s="6" t="s">
        <v>22</v>
      </c>
      <c r="P1602" s="8">
        <f>Table1[Quantity]*Table1[Unit_Price]</f>
        <v>275.79000000000002</v>
      </c>
      <c r="Q1602" s="1">
        <f>Table1[Profit]/Table1[Total_Sales]</f>
        <v>0.35580152671755727</v>
      </c>
      <c r="R1602" s="14">
        <f>Table1[Total_Sales]+Table1[Shipping_Cost]</f>
        <v>279.10000000000002</v>
      </c>
    </row>
    <row r="1603" spans="1:18" x14ac:dyDescent="0.35">
      <c r="A1603" s="3" t="s">
        <v>2985</v>
      </c>
      <c r="B1603" s="2">
        <v>45815</v>
      </c>
      <c r="C1603" s="1" t="s">
        <v>2986</v>
      </c>
      <c r="D1603" s="1" t="s">
        <v>17</v>
      </c>
      <c r="E1603" s="1" t="s">
        <v>59</v>
      </c>
      <c r="F1603" s="1" t="s">
        <v>60</v>
      </c>
      <c r="G1603" s="1" t="s">
        <v>32</v>
      </c>
      <c r="H1603" s="1" t="s">
        <v>33</v>
      </c>
      <c r="I1603" s="1">
        <v>3</v>
      </c>
      <c r="J1603" s="1">
        <v>9.7200000000000006</v>
      </c>
      <c r="K1603" s="1">
        <v>0</v>
      </c>
      <c r="L1603" s="1">
        <v>29.16</v>
      </c>
      <c r="M1603" s="1">
        <v>13.7</v>
      </c>
      <c r="N1603" s="1">
        <v>2.34</v>
      </c>
      <c r="O1603" s="6" t="s">
        <v>56</v>
      </c>
      <c r="P1603" s="8">
        <f>Table1[Quantity]*Table1[Unit_Price]</f>
        <v>29.160000000000004</v>
      </c>
      <c r="Q1603" s="1">
        <f>Table1[Profit]/Table1[Total_Sales]</f>
        <v>8.0246913580246909E-2</v>
      </c>
      <c r="R1603" s="14">
        <f>Table1[Total_Sales]+Table1[Shipping_Cost]</f>
        <v>42.86</v>
      </c>
    </row>
    <row r="1604" spans="1:18" x14ac:dyDescent="0.35">
      <c r="A1604" s="3" t="s">
        <v>2987</v>
      </c>
      <c r="B1604" s="2">
        <v>45815</v>
      </c>
      <c r="C1604" s="1" t="s">
        <v>2988</v>
      </c>
      <c r="D1604" s="1" t="s">
        <v>30</v>
      </c>
      <c r="E1604" s="1" t="s">
        <v>76</v>
      </c>
      <c r="F1604" s="1" t="s">
        <v>26</v>
      </c>
      <c r="G1604" s="1" t="s">
        <v>20</v>
      </c>
      <c r="H1604" s="1" t="s">
        <v>55</v>
      </c>
      <c r="I1604" s="1">
        <v>1</v>
      </c>
      <c r="J1604" s="1">
        <v>52.67</v>
      </c>
      <c r="K1604" s="1">
        <v>5</v>
      </c>
      <c r="L1604" s="1">
        <v>50.04</v>
      </c>
      <c r="M1604" s="1">
        <v>8.6</v>
      </c>
      <c r="N1604" s="1">
        <v>12.47</v>
      </c>
      <c r="O1604" s="6" t="s">
        <v>34</v>
      </c>
      <c r="P1604" s="8">
        <f>Table1[Quantity]*Table1[Unit_Price]</f>
        <v>52.67</v>
      </c>
      <c r="Q1604" s="1">
        <f>Table1[Profit]/Table1[Total_Sales]</f>
        <v>0.24920063948840929</v>
      </c>
      <c r="R1604" s="14">
        <f>Table1[Total_Sales]+Table1[Shipping_Cost]</f>
        <v>58.64</v>
      </c>
    </row>
    <row r="1605" spans="1:18" x14ac:dyDescent="0.35">
      <c r="A1605" s="3" t="s">
        <v>2989</v>
      </c>
      <c r="B1605" s="2">
        <v>45815</v>
      </c>
      <c r="C1605" s="1" t="s">
        <v>2990</v>
      </c>
      <c r="D1605" s="1" t="s">
        <v>17</v>
      </c>
      <c r="E1605" s="1" t="s">
        <v>31</v>
      </c>
      <c r="F1605" s="1" t="s">
        <v>19</v>
      </c>
      <c r="G1605" s="1" t="s">
        <v>32</v>
      </c>
      <c r="H1605" s="1" t="s">
        <v>73</v>
      </c>
      <c r="I1605" s="1">
        <v>1</v>
      </c>
      <c r="J1605" s="1">
        <v>3.44</v>
      </c>
      <c r="K1605" s="1">
        <v>25</v>
      </c>
      <c r="L1605" s="1">
        <v>2.58</v>
      </c>
      <c r="M1605" s="1">
        <v>6.69</v>
      </c>
      <c r="N1605" s="1">
        <v>-5.66</v>
      </c>
      <c r="O1605" s="6" t="s">
        <v>34</v>
      </c>
      <c r="P1605" s="8">
        <f>Table1[Quantity]*Table1[Unit_Price]</f>
        <v>3.44</v>
      </c>
      <c r="Q1605" s="1">
        <f>Table1[Profit]/Table1[Total_Sales]</f>
        <v>-2.193798449612403</v>
      </c>
      <c r="R1605" s="14">
        <f>Table1[Total_Sales]+Table1[Shipping_Cost]</f>
        <v>9.27</v>
      </c>
    </row>
    <row r="1606" spans="1:18" x14ac:dyDescent="0.35">
      <c r="A1606" s="3" t="s">
        <v>2991</v>
      </c>
      <c r="B1606" s="2">
        <v>45815</v>
      </c>
      <c r="C1606" s="1" t="s">
        <v>425</v>
      </c>
      <c r="D1606" s="1" t="s">
        <v>30</v>
      </c>
      <c r="E1606" s="1" t="s">
        <v>135</v>
      </c>
      <c r="F1606" s="1" t="s">
        <v>26</v>
      </c>
      <c r="G1606" s="1" t="s">
        <v>69</v>
      </c>
      <c r="H1606" s="1" t="s">
        <v>98</v>
      </c>
      <c r="I1606" s="1">
        <v>5</v>
      </c>
      <c r="J1606" s="1">
        <v>16.98</v>
      </c>
      <c r="K1606" s="1">
        <v>15</v>
      </c>
      <c r="L1606" s="1">
        <v>72.17</v>
      </c>
      <c r="M1606" s="1">
        <v>10.38</v>
      </c>
      <c r="N1606" s="1">
        <v>19.34</v>
      </c>
      <c r="O1606" s="6" t="s">
        <v>39</v>
      </c>
      <c r="P1606" s="8">
        <f>Table1[Quantity]*Table1[Unit_Price]</f>
        <v>84.9</v>
      </c>
      <c r="Q1606" s="1">
        <f>Table1[Profit]/Table1[Total_Sales]</f>
        <v>0.26797838437023691</v>
      </c>
      <c r="R1606" s="14">
        <f>Table1[Total_Sales]+Table1[Shipping_Cost]</f>
        <v>82.55</v>
      </c>
    </row>
    <row r="1607" spans="1:18" x14ac:dyDescent="0.35">
      <c r="A1607" s="3" t="s">
        <v>2992</v>
      </c>
      <c r="B1607" s="2">
        <v>45816</v>
      </c>
      <c r="C1607" s="1" t="s">
        <v>1233</v>
      </c>
      <c r="D1607" s="1" t="s">
        <v>49</v>
      </c>
      <c r="E1607" s="1" t="s">
        <v>76</v>
      </c>
      <c r="F1607" s="1" t="s">
        <v>26</v>
      </c>
      <c r="G1607" s="1" t="s">
        <v>32</v>
      </c>
      <c r="H1607" s="1" t="s">
        <v>33</v>
      </c>
      <c r="I1607" s="1">
        <v>4</v>
      </c>
      <c r="J1607" s="1">
        <v>6.96</v>
      </c>
      <c r="K1607" s="1">
        <v>15</v>
      </c>
      <c r="L1607" s="1">
        <v>23.66</v>
      </c>
      <c r="M1607" s="1">
        <v>14.15</v>
      </c>
      <c r="N1607" s="1">
        <v>-3.02</v>
      </c>
      <c r="O1607" s="6" t="s">
        <v>34</v>
      </c>
      <c r="P1607" s="8">
        <f>Table1[Quantity]*Table1[Unit_Price]</f>
        <v>27.84</v>
      </c>
      <c r="Q1607" s="1">
        <f>Table1[Profit]/Table1[Total_Sales]</f>
        <v>-0.12764158918005072</v>
      </c>
      <c r="R1607" s="14">
        <f>Table1[Total_Sales]+Table1[Shipping_Cost]</f>
        <v>37.81</v>
      </c>
    </row>
    <row r="1608" spans="1:18" x14ac:dyDescent="0.35">
      <c r="A1608" s="3" t="s">
        <v>2993</v>
      </c>
      <c r="B1608" s="2">
        <v>45816</v>
      </c>
      <c r="C1608" s="1" t="s">
        <v>2994</v>
      </c>
      <c r="D1608" s="1" t="s">
        <v>30</v>
      </c>
      <c r="E1608" s="1" t="s">
        <v>138</v>
      </c>
      <c r="F1608" s="1" t="s">
        <v>54</v>
      </c>
      <c r="G1608" s="1" t="s">
        <v>69</v>
      </c>
      <c r="H1608" s="1" t="s">
        <v>243</v>
      </c>
      <c r="I1608" s="1">
        <v>2</v>
      </c>
      <c r="J1608" s="1">
        <v>49.74</v>
      </c>
      <c r="K1608" s="1">
        <v>0</v>
      </c>
      <c r="L1608" s="1">
        <v>99.48</v>
      </c>
      <c r="M1608" s="1">
        <v>14.2</v>
      </c>
      <c r="N1608" s="1">
        <v>35.54</v>
      </c>
      <c r="O1608" s="6" t="s">
        <v>34</v>
      </c>
      <c r="P1608" s="8">
        <f>Table1[Quantity]*Table1[Unit_Price]</f>
        <v>99.48</v>
      </c>
      <c r="Q1608" s="1">
        <f>Table1[Profit]/Table1[Total_Sales]</f>
        <v>0.3572577402492963</v>
      </c>
      <c r="R1608" s="14">
        <f>Table1[Total_Sales]+Table1[Shipping_Cost]</f>
        <v>113.68</v>
      </c>
    </row>
    <row r="1609" spans="1:18" x14ac:dyDescent="0.35">
      <c r="A1609" s="3" t="s">
        <v>2995</v>
      </c>
      <c r="B1609" s="2">
        <v>45818</v>
      </c>
      <c r="C1609" s="1" t="s">
        <v>421</v>
      </c>
      <c r="D1609" s="1" t="s">
        <v>17</v>
      </c>
      <c r="E1609" s="1" t="s">
        <v>63</v>
      </c>
      <c r="F1609" s="1" t="s">
        <v>54</v>
      </c>
      <c r="G1609" s="1" t="s">
        <v>32</v>
      </c>
      <c r="H1609" s="1" t="s">
        <v>149</v>
      </c>
      <c r="I1609" s="1">
        <v>1</v>
      </c>
      <c r="J1609" s="1">
        <v>14.71</v>
      </c>
      <c r="K1609" s="1">
        <v>10</v>
      </c>
      <c r="L1609" s="1">
        <v>13.24</v>
      </c>
      <c r="M1609" s="1">
        <v>12.16</v>
      </c>
      <c r="N1609" s="1">
        <v>-5.54</v>
      </c>
      <c r="O1609" s="6" t="s">
        <v>34</v>
      </c>
      <c r="P1609" s="8">
        <f>Table1[Quantity]*Table1[Unit_Price]</f>
        <v>14.71</v>
      </c>
      <c r="Q1609" s="1">
        <f>Table1[Profit]/Table1[Total_Sales]</f>
        <v>-0.41842900302114805</v>
      </c>
      <c r="R1609" s="14">
        <f>Table1[Total_Sales]+Table1[Shipping_Cost]</f>
        <v>25.4</v>
      </c>
    </row>
    <row r="1610" spans="1:18" x14ac:dyDescent="0.35">
      <c r="A1610" s="3" t="s">
        <v>2996</v>
      </c>
      <c r="B1610" s="2">
        <v>45818</v>
      </c>
      <c r="C1610" s="1" t="s">
        <v>2997</v>
      </c>
      <c r="D1610" s="1" t="s">
        <v>30</v>
      </c>
      <c r="E1610" s="1" t="s">
        <v>37</v>
      </c>
      <c r="F1610" s="1" t="s">
        <v>26</v>
      </c>
      <c r="G1610" s="1" t="s">
        <v>42</v>
      </c>
      <c r="H1610" s="1" t="s">
        <v>46</v>
      </c>
      <c r="I1610" s="1">
        <v>1</v>
      </c>
      <c r="J1610" s="1">
        <v>126.48</v>
      </c>
      <c r="K1610" s="1">
        <v>5</v>
      </c>
      <c r="L1610" s="1">
        <v>120.16</v>
      </c>
      <c r="M1610" s="1">
        <v>9.35</v>
      </c>
      <c r="N1610" s="1">
        <v>34.92</v>
      </c>
      <c r="O1610" s="6" t="s">
        <v>56</v>
      </c>
      <c r="P1610" s="8">
        <f>Table1[Quantity]*Table1[Unit_Price]</f>
        <v>126.48</v>
      </c>
      <c r="Q1610" s="1">
        <f>Table1[Profit]/Table1[Total_Sales]</f>
        <v>0.29061251664447407</v>
      </c>
      <c r="R1610" s="14">
        <f>Table1[Total_Sales]+Table1[Shipping_Cost]</f>
        <v>129.51</v>
      </c>
    </row>
    <row r="1611" spans="1:18" x14ac:dyDescent="0.35">
      <c r="A1611" s="3" t="s">
        <v>2998</v>
      </c>
      <c r="B1611" s="2">
        <v>45818</v>
      </c>
      <c r="C1611" s="1" t="s">
        <v>1302</v>
      </c>
      <c r="D1611" s="1" t="s">
        <v>30</v>
      </c>
      <c r="E1611" s="1" t="s">
        <v>129</v>
      </c>
      <c r="F1611" s="1" t="s">
        <v>19</v>
      </c>
      <c r="G1611" s="1" t="s">
        <v>42</v>
      </c>
      <c r="H1611" s="1" t="s">
        <v>118</v>
      </c>
      <c r="I1611" s="1">
        <v>2</v>
      </c>
      <c r="J1611" s="1">
        <v>81.06</v>
      </c>
      <c r="K1611" s="1">
        <v>10</v>
      </c>
      <c r="L1611" s="1">
        <v>145.91</v>
      </c>
      <c r="M1611" s="1">
        <v>9.58</v>
      </c>
      <c r="N1611" s="1">
        <v>39.06</v>
      </c>
      <c r="O1611" s="6" t="s">
        <v>39</v>
      </c>
      <c r="P1611" s="8">
        <f>Table1[Quantity]*Table1[Unit_Price]</f>
        <v>162.12</v>
      </c>
      <c r="Q1611" s="1">
        <f>Table1[Profit]/Table1[Total_Sales]</f>
        <v>0.26769926667123572</v>
      </c>
      <c r="R1611" s="14">
        <f>Table1[Total_Sales]+Table1[Shipping_Cost]</f>
        <v>155.49</v>
      </c>
    </row>
    <row r="1612" spans="1:18" x14ac:dyDescent="0.35">
      <c r="A1612" s="3" t="s">
        <v>2999</v>
      </c>
      <c r="B1612" s="2">
        <v>45819</v>
      </c>
      <c r="C1612" s="1" t="s">
        <v>3000</v>
      </c>
      <c r="D1612" s="1" t="s">
        <v>17</v>
      </c>
      <c r="E1612" s="1" t="s">
        <v>18</v>
      </c>
      <c r="F1612" s="1" t="s">
        <v>19</v>
      </c>
      <c r="G1612" s="1" t="s">
        <v>20</v>
      </c>
      <c r="H1612" s="1" t="s">
        <v>122</v>
      </c>
      <c r="I1612" s="1">
        <v>1</v>
      </c>
      <c r="J1612" s="1">
        <v>95.57</v>
      </c>
      <c r="K1612" s="1">
        <v>30</v>
      </c>
      <c r="L1612" s="1">
        <v>66.900000000000006</v>
      </c>
      <c r="M1612" s="1">
        <v>6.55</v>
      </c>
      <c r="N1612" s="1">
        <v>7.79</v>
      </c>
      <c r="O1612" s="6" t="s">
        <v>39</v>
      </c>
      <c r="P1612" s="8">
        <f>Table1[Quantity]*Table1[Unit_Price]</f>
        <v>95.57</v>
      </c>
      <c r="Q1612" s="1">
        <f>Table1[Profit]/Table1[Total_Sales]</f>
        <v>0.11644245142002989</v>
      </c>
      <c r="R1612" s="14">
        <f>Table1[Total_Sales]+Table1[Shipping_Cost]</f>
        <v>73.45</v>
      </c>
    </row>
    <row r="1613" spans="1:18" x14ac:dyDescent="0.35">
      <c r="A1613" s="3" t="s">
        <v>3001</v>
      </c>
      <c r="B1613" s="2">
        <v>45820</v>
      </c>
      <c r="C1613" s="1" t="s">
        <v>3002</v>
      </c>
      <c r="D1613" s="1" t="s">
        <v>17</v>
      </c>
      <c r="E1613" s="1" t="s">
        <v>135</v>
      </c>
      <c r="F1613" s="1" t="s">
        <v>26</v>
      </c>
      <c r="G1613" s="1" t="s">
        <v>42</v>
      </c>
      <c r="H1613" s="1" t="s">
        <v>46</v>
      </c>
      <c r="I1613" s="1">
        <v>1</v>
      </c>
      <c r="J1613" s="1">
        <v>177.19</v>
      </c>
      <c r="K1613" s="1">
        <v>10</v>
      </c>
      <c r="L1613" s="1">
        <v>159.47</v>
      </c>
      <c r="M1613" s="1">
        <v>7.89</v>
      </c>
      <c r="N1613" s="1">
        <v>45.27</v>
      </c>
      <c r="O1613" s="6" t="s">
        <v>22</v>
      </c>
      <c r="P1613" s="8">
        <f>Table1[Quantity]*Table1[Unit_Price]</f>
        <v>177.19</v>
      </c>
      <c r="Q1613" s="1">
        <f>Table1[Profit]/Table1[Total_Sales]</f>
        <v>0.28387784536276417</v>
      </c>
      <c r="R1613" s="14">
        <f>Table1[Total_Sales]+Table1[Shipping_Cost]</f>
        <v>167.35999999999999</v>
      </c>
    </row>
    <row r="1614" spans="1:18" x14ac:dyDescent="0.35">
      <c r="A1614" s="3" t="s">
        <v>3003</v>
      </c>
      <c r="B1614" s="2">
        <v>45822</v>
      </c>
      <c r="C1614" s="1" t="s">
        <v>1573</v>
      </c>
      <c r="D1614" s="1" t="s">
        <v>49</v>
      </c>
      <c r="E1614" s="1" t="s">
        <v>92</v>
      </c>
      <c r="F1614" s="1" t="s">
        <v>60</v>
      </c>
      <c r="G1614" s="1" t="s">
        <v>42</v>
      </c>
      <c r="H1614" s="1" t="s">
        <v>43</v>
      </c>
      <c r="I1614" s="1">
        <v>1</v>
      </c>
      <c r="J1614" s="1">
        <v>134.93</v>
      </c>
      <c r="K1614" s="1">
        <v>15</v>
      </c>
      <c r="L1614" s="1">
        <v>114.69</v>
      </c>
      <c r="M1614" s="1">
        <v>11.49</v>
      </c>
      <c r="N1614" s="1">
        <v>22.24</v>
      </c>
      <c r="O1614" s="6" t="s">
        <v>34</v>
      </c>
      <c r="P1614" s="8">
        <f>Table1[Quantity]*Table1[Unit_Price]</f>
        <v>134.93</v>
      </c>
      <c r="Q1614" s="1">
        <f>Table1[Profit]/Table1[Total_Sales]</f>
        <v>0.19391402912198097</v>
      </c>
      <c r="R1614" s="14">
        <f>Table1[Total_Sales]+Table1[Shipping_Cost]</f>
        <v>126.17999999999999</v>
      </c>
    </row>
    <row r="1615" spans="1:18" x14ac:dyDescent="0.35">
      <c r="A1615" s="3" t="s">
        <v>3004</v>
      </c>
      <c r="B1615" s="2">
        <v>45822</v>
      </c>
      <c r="C1615" s="1" t="s">
        <v>3005</v>
      </c>
      <c r="D1615" s="1" t="s">
        <v>17</v>
      </c>
      <c r="E1615" s="1" t="s">
        <v>169</v>
      </c>
      <c r="F1615" s="1" t="s">
        <v>68</v>
      </c>
      <c r="G1615" s="1" t="s">
        <v>20</v>
      </c>
      <c r="H1615" s="1" t="s">
        <v>27</v>
      </c>
      <c r="I1615" s="1">
        <v>8</v>
      </c>
      <c r="J1615" s="1">
        <v>84.99</v>
      </c>
      <c r="K1615" s="1">
        <v>5</v>
      </c>
      <c r="L1615" s="1">
        <v>645.91999999999996</v>
      </c>
      <c r="M1615" s="1">
        <v>16.53</v>
      </c>
      <c r="N1615" s="1">
        <v>255.43</v>
      </c>
      <c r="O1615" s="6" t="s">
        <v>34</v>
      </c>
      <c r="P1615" s="8">
        <f>Table1[Quantity]*Table1[Unit_Price]</f>
        <v>679.92</v>
      </c>
      <c r="Q1615" s="1">
        <f>Table1[Profit]/Table1[Total_Sales]</f>
        <v>0.39545144909586333</v>
      </c>
      <c r="R1615" s="14">
        <f>Table1[Total_Sales]+Table1[Shipping_Cost]</f>
        <v>662.44999999999993</v>
      </c>
    </row>
    <row r="1616" spans="1:18" x14ac:dyDescent="0.35">
      <c r="A1616" s="3" t="s">
        <v>3006</v>
      </c>
      <c r="B1616" s="2">
        <v>45822</v>
      </c>
      <c r="C1616" s="1" t="s">
        <v>3007</v>
      </c>
      <c r="D1616" s="1" t="s">
        <v>17</v>
      </c>
      <c r="E1616" s="1" t="s">
        <v>129</v>
      </c>
      <c r="F1616" s="1" t="s">
        <v>19</v>
      </c>
      <c r="G1616" s="1" t="s">
        <v>42</v>
      </c>
      <c r="H1616" s="1" t="s">
        <v>118</v>
      </c>
      <c r="I1616" s="1">
        <v>2</v>
      </c>
      <c r="J1616" s="1">
        <v>89.6</v>
      </c>
      <c r="K1616" s="1">
        <v>5</v>
      </c>
      <c r="L1616" s="1">
        <v>170.24</v>
      </c>
      <c r="M1616" s="1">
        <v>9.8800000000000008</v>
      </c>
      <c r="N1616" s="1">
        <v>52.84</v>
      </c>
      <c r="O1616" s="6" t="s">
        <v>56</v>
      </c>
      <c r="P1616" s="8">
        <f>Table1[Quantity]*Table1[Unit_Price]</f>
        <v>179.2</v>
      </c>
      <c r="Q1616" s="1">
        <f>Table1[Profit]/Table1[Total_Sales]</f>
        <v>0.31038533834586468</v>
      </c>
      <c r="R1616" s="14">
        <f>Table1[Total_Sales]+Table1[Shipping_Cost]</f>
        <v>180.12</v>
      </c>
    </row>
    <row r="1617" spans="1:18" x14ac:dyDescent="0.35">
      <c r="A1617" s="3" t="s">
        <v>3008</v>
      </c>
      <c r="B1617" s="2">
        <v>45824</v>
      </c>
      <c r="C1617" s="1" t="s">
        <v>1072</v>
      </c>
      <c r="D1617" s="1" t="s">
        <v>49</v>
      </c>
      <c r="E1617" s="1" t="s">
        <v>18</v>
      </c>
      <c r="F1617" s="1" t="s">
        <v>19</v>
      </c>
      <c r="G1617" s="1" t="s">
        <v>32</v>
      </c>
      <c r="H1617" s="1" t="s">
        <v>110</v>
      </c>
      <c r="I1617" s="1">
        <v>1</v>
      </c>
      <c r="J1617" s="1">
        <v>4.99</v>
      </c>
      <c r="K1617" s="1">
        <v>0</v>
      </c>
      <c r="L1617" s="1">
        <v>4.99</v>
      </c>
      <c r="M1617" s="1">
        <v>6.34</v>
      </c>
      <c r="N1617" s="1">
        <v>-3.6</v>
      </c>
      <c r="O1617" s="6" t="s">
        <v>56</v>
      </c>
      <c r="P1617" s="8">
        <f>Table1[Quantity]*Table1[Unit_Price]</f>
        <v>4.99</v>
      </c>
      <c r="Q1617" s="1">
        <f>Table1[Profit]/Table1[Total_Sales]</f>
        <v>-0.72144288577154303</v>
      </c>
      <c r="R1617" s="14">
        <f>Table1[Total_Sales]+Table1[Shipping_Cost]</f>
        <v>11.33</v>
      </c>
    </row>
    <row r="1618" spans="1:18" x14ac:dyDescent="0.35">
      <c r="A1618" s="3" t="s">
        <v>3009</v>
      </c>
      <c r="B1618" s="2">
        <v>45824</v>
      </c>
      <c r="C1618" s="1" t="s">
        <v>3010</v>
      </c>
      <c r="D1618" s="1" t="s">
        <v>17</v>
      </c>
      <c r="E1618" s="1" t="s">
        <v>85</v>
      </c>
      <c r="F1618" s="1" t="s">
        <v>60</v>
      </c>
      <c r="G1618" s="1" t="s">
        <v>20</v>
      </c>
      <c r="H1618" s="1" t="s">
        <v>264</v>
      </c>
      <c r="I1618" s="1">
        <v>2</v>
      </c>
      <c r="J1618" s="1">
        <v>24.99</v>
      </c>
      <c r="K1618" s="1">
        <v>5</v>
      </c>
      <c r="L1618" s="1">
        <v>47.48</v>
      </c>
      <c r="M1618" s="1">
        <v>10.52</v>
      </c>
      <c r="N1618" s="1">
        <v>9.4700000000000006</v>
      </c>
      <c r="O1618" s="6" t="s">
        <v>39</v>
      </c>
      <c r="P1618" s="8">
        <f>Table1[Quantity]*Table1[Unit_Price]</f>
        <v>49.98</v>
      </c>
      <c r="Q1618" s="1">
        <f>Table1[Profit]/Table1[Total_Sales]</f>
        <v>0.19945240101095202</v>
      </c>
      <c r="R1618" s="14">
        <f>Table1[Total_Sales]+Table1[Shipping_Cost]</f>
        <v>58</v>
      </c>
    </row>
    <row r="1619" spans="1:18" x14ac:dyDescent="0.35">
      <c r="A1619" s="3" t="s">
        <v>3011</v>
      </c>
      <c r="B1619" s="2">
        <v>45825</v>
      </c>
      <c r="C1619" s="1" t="s">
        <v>3012</v>
      </c>
      <c r="D1619" s="1" t="s">
        <v>17</v>
      </c>
      <c r="E1619" s="1" t="s">
        <v>59</v>
      </c>
      <c r="F1619" s="1" t="s">
        <v>60</v>
      </c>
      <c r="G1619" s="1" t="s">
        <v>42</v>
      </c>
      <c r="H1619" s="1" t="s">
        <v>118</v>
      </c>
      <c r="I1619" s="1">
        <v>1</v>
      </c>
      <c r="J1619" s="1">
        <v>32.11</v>
      </c>
      <c r="K1619" s="1">
        <v>20</v>
      </c>
      <c r="L1619" s="1">
        <v>25.69</v>
      </c>
      <c r="M1619" s="1">
        <v>10.11</v>
      </c>
      <c r="N1619" s="1">
        <v>-3.69</v>
      </c>
      <c r="O1619" s="6" t="s">
        <v>56</v>
      </c>
      <c r="P1619" s="8">
        <f>Table1[Quantity]*Table1[Unit_Price]</f>
        <v>32.11</v>
      </c>
      <c r="Q1619" s="1">
        <f>Table1[Profit]/Table1[Total_Sales]</f>
        <v>-0.14363565589723626</v>
      </c>
      <c r="R1619" s="14">
        <f>Table1[Total_Sales]+Table1[Shipping_Cost]</f>
        <v>35.799999999999997</v>
      </c>
    </row>
    <row r="1620" spans="1:18" x14ac:dyDescent="0.35">
      <c r="A1620" s="3" t="s">
        <v>3013</v>
      </c>
      <c r="B1620" s="2">
        <v>45826</v>
      </c>
      <c r="C1620" s="1" t="s">
        <v>1326</v>
      </c>
      <c r="D1620" s="1" t="s">
        <v>49</v>
      </c>
      <c r="E1620" s="1" t="s">
        <v>138</v>
      </c>
      <c r="F1620" s="1" t="s">
        <v>54</v>
      </c>
      <c r="G1620" s="1" t="s">
        <v>69</v>
      </c>
      <c r="H1620" s="1" t="s">
        <v>79</v>
      </c>
      <c r="I1620" s="1">
        <v>1</v>
      </c>
      <c r="J1620" s="1">
        <v>39.86</v>
      </c>
      <c r="K1620" s="1">
        <v>0</v>
      </c>
      <c r="L1620" s="1">
        <v>39.86</v>
      </c>
      <c r="M1620" s="1">
        <v>11.78</v>
      </c>
      <c r="N1620" s="1">
        <v>8.15</v>
      </c>
      <c r="O1620" s="6" t="s">
        <v>56</v>
      </c>
      <c r="P1620" s="8">
        <f>Table1[Quantity]*Table1[Unit_Price]</f>
        <v>39.86</v>
      </c>
      <c r="Q1620" s="1">
        <f>Table1[Profit]/Table1[Total_Sales]</f>
        <v>0.2044656297039639</v>
      </c>
      <c r="R1620" s="14">
        <f>Table1[Total_Sales]+Table1[Shipping_Cost]</f>
        <v>51.64</v>
      </c>
    </row>
    <row r="1621" spans="1:18" x14ac:dyDescent="0.35">
      <c r="A1621" s="3" t="s">
        <v>3014</v>
      </c>
      <c r="B1621" s="2">
        <v>45826</v>
      </c>
      <c r="C1621" s="1" t="s">
        <v>868</v>
      </c>
      <c r="D1621" s="1" t="s">
        <v>30</v>
      </c>
      <c r="E1621" s="1" t="s">
        <v>76</v>
      </c>
      <c r="F1621" s="1" t="s">
        <v>26</v>
      </c>
      <c r="G1621" s="1" t="s">
        <v>69</v>
      </c>
      <c r="H1621" s="1" t="s">
        <v>70</v>
      </c>
      <c r="I1621" s="1">
        <v>4</v>
      </c>
      <c r="J1621" s="1">
        <v>44.68</v>
      </c>
      <c r="K1621" s="1">
        <v>10</v>
      </c>
      <c r="L1621" s="1">
        <v>160.85</v>
      </c>
      <c r="M1621" s="1">
        <v>12.79</v>
      </c>
      <c r="N1621" s="1">
        <v>58.7</v>
      </c>
      <c r="O1621" s="6" t="s">
        <v>34</v>
      </c>
      <c r="P1621" s="8">
        <f>Table1[Quantity]*Table1[Unit_Price]</f>
        <v>178.72</v>
      </c>
      <c r="Q1621" s="1">
        <f>Table1[Profit]/Table1[Total_Sales]</f>
        <v>0.3649362760335717</v>
      </c>
      <c r="R1621" s="14">
        <f>Table1[Total_Sales]+Table1[Shipping_Cost]</f>
        <v>173.64</v>
      </c>
    </row>
    <row r="1622" spans="1:18" x14ac:dyDescent="0.35">
      <c r="A1622" s="3" t="s">
        <v>3015</v>
      </c>
      <c r="B1622" s="2">
        <v>45826</v>
      </c>
      <c r="C1622" s="1" t="s">
        <v>3016</v>
      </c>
      <c r="D1622" s="1" t="s">
        <v>17</v>
      </c>
      <c r="E1622" s="1" t="s">
        <v>76</v>
      </c>
      <c r="F1622" s="1" t="s">
        <v>26</v>
      </c>
      <c r="G1622" s="1" t="s">
        <v>32</v>
      </c>
      <c r="H1622" s="1" t="s">
        <v>82</v>
      </c>
      <c r="I1622" s="1">
        <v>1</v>
      </c>
      <c r="J1622" s="1">
        <v>19.010000000000002</v>
      </c>
      <c r="K1622" s="1">
        <v>15</v>
      </c>
      <c r="L1622" s="1">
        <v>16.16</v>
      </c>
      <c r="M1622" s="1">
        <v>9.44</v>
      </c>
      <c r="N1622" s="1">
        <v>-1.83</v>
      </c>
      <c r="O1622" s="6" t="s">
        <v>34</v>
      </c>
      <c r="P1622" s="8">
        <f>Table1[Quantity]*Table1[Unit_Price]</f>
        <v>19.010000000000002</v>
      </c>
      <c r="Q1622" s="1">
        <f>Table1[Profit]/Table1[Total_Sales]</f>
        <v>-0.11324257425742575</v>
      </c>
      <c r="R1622" s="14">
        <f>Table1[Total_Sales]+Table1[Shipping_Cost]</f>
        <v>25.6</v>
      </c>
    </row>
    <row r="1623" spans="1:18" x14ac:dyDescent="0.35">
      <c r="A1623" s="3" t="s">
        <v>3017</v>
      </c>
      <c r="B1623" s="2">
        <v>45826</v>
      </c>
      <c r="C1623" s="1" t="s">
        <v>3018</v>
      </c>
      <c r="D1623" s="1" t="s">
        <v>17</v>
      </c>
      <c r="E1623" s="1" t="s">
        <v>129</v>
      </c>
      <c r="F1623" s="1" t="s">
        <v>19</v>
      </c>
      <c r="G1623" s="1" t="s">
        <v>42</v>
      </c>
      <c r="H1623" s="1" t="s">
        <v>93</v>
      </c>
      <c r="I1623" s="1">
        <v>7</v>
      </c>
      <c r="J1623" s="1">
        <v>422.4</v>
      </c>
      <c r="K1623" s="1">
        <v>30</v>
      </c>
      <c r="L1623" s="1">
        <v>2069.7600000000002</v>
      </c>
      <c r="M1623" s="1">
        <v>15.51</v>
      </c>
      <c r="N1623" s="1">
        <v>280.17</v>
      </c>
      <c r="O1623" s="6" t="s">
        <v>39</v>
      </c>
      <c r="P1623" s="8">
        <f>Table1[Quantity]*Table1[Unit_Price]</f>
        <v>2956.7999999999997</v>
      </c>
      <c r="Q1623" s="1">
        <f>Table1[Profit]/Table1[Total_Sales]</f>
        <v>0.13536352040816327</v>
      </c>
      <c r="R1623" s="14">
        <f>Table1[Total_Sales]+Table1[Shipping_Cost]</f>
        <v>2085.2700000000004</v>
      </c>
    </row>
    <row r="1624" spans="1:18" x14ac:dyDescent="0.35">
      <c r="A1624" s="3" t="s">
        <v>3019</v>
      </c>
      <c r="B1624" s="2">
        <v>45827</v>
      </c>
      <c r="C1624" s="1" t="s">
        <v>3020</v>
      </c>
      <c r="D1624" s="1" t="s">
        <v>49</v>
      </c>
      <c r="E1624" s="1" t="s">
        <v>31</v>
      </c>
      <c r="F1624" s="1" t="s">
        <v>19</v>
      </c>
      <c r="G1624" s="1" t="s">
        <v>42</v>
      </c>
      <c r="H1624" s="1" t="s">
        <v>89</v>
      </c>
      <c r="I1624" s="1">
        <v>3</v>
      </c>
      <c r="J1624" s="1">
        <v>227.94</v>
      </c>
      <c r="K1624" s="1">
        <v>0</v>
      </c>
      <c r="L1624" s="1">
        <v>683.82</v>
      </c>
      <c r="M1624" s="1">
        <v>9.86</v>
      </c>
      <c r="N1624" s="1">
        <v>263.67</v>
      </c>
      <c r="O1624" s="6" t="s">
        <v>34</v>
      </c>
      <c r="P1624" s="8">
        <f>Table1[Quantity]*Table1[Unit_Price]</f>
        <v>683.81999999999994</v>
      </c>
      <c r="Q1624" s="1">
        <f>Table1[Profit]/Table1[Total_Sales]</f>
        <v>0.3855839255944547</v>
      </c>
      <c r="R1624" s="14">
        <f>Table1[Total_Sales]+Table1[Shipping_Cost]</f>
        <v>693.68000000000006</v>
      </c>
    </row>
    <row r="1625" spans="1:18" x14ac:dyDescent="0.35">
      <c r="A1625" s="3" t="s">
        <v>3021</v>
      </c>
      <c r="B1625" s="2">
        <v>45828</v>
      </c>
      <c r="C1625" s="1" t="s">
        <v>3022</v>
      </c>
      <c r="D1625" s="1" t="s">
        <v>49</v>
      </c>
      <c r="E1625" s="1" t="s">
        <v>59</v>
      </c>
      <c r="F1625" s="1" t="s">
        <v>60</v>
      </c>
      <c r="G1625" s="1" t="s">
        <v>20</v>
      </c>
      <c r="H1625" s="1" t="s">
        <v>170</v>
      </c>
      <c r="I1625" s="1">
        <v>1</v>
      </c>
      <c r="J1625" s="1">
        <v>22.46</v>
      </c>
      <c r="K1625" s="1">
        <v>5</v>
      </c>
      <c r="L1625" s="1">
        <v>21.34</v>
      </c>
      <c r="M1625" s="1">
        <v>9.83</v>
      </c>
      <c r="N1625" s="1">
        <v>-0.84</v>
      </c>
      <c r="O1625" s="6" t="s">
        <v>39</v>
      </c>
      <c r="P1625" s="8">
        <f>Table1[Quantity]*Table1[Unit_Price]</f>
        <v>22.46</v>
      </c>
      <c r="Q1625" s="1">
        <f>Table1[Profit]/Table1[Total_Sales]</f>
        <v>-3.9362699156513588E-2</v>
      </c>
      <c r="R1625" s="14">
        <f>Table1[Total_Sales]+Table1[Shipping_Cost]</f>
        <v>31.17</v>
      </c>
    </row>
    <row r="1626" spans="1:18" x14ac:dyDescent="0.35">
      <c r="A1626" s="3" t="s">
        <v>3023</v>
      </c>
      <c r="B1626" s="2">
        <v>45828</v>
      </c>
      <c r="C1626" s="1" t="s">
        <v>3024</v>
      </c>
      <c r="D1626" s="1" t="s">
        <v>30</v>
      </c>
      <c r="E1626" s="1" t="s">
        <v>37</v>
      </c>
      <c r="F1626" s="1" t="s">
        <v>26</v>
      </c>
      <c r="G1626" s="1" t="s">
        <v>32</v>
      </c>
      <c r="H1626" s="1" t="s">
        <v>348</v>
      </c>
      <c r="I1626" s="1">
        <v>2</v>
      </c>
      <c r="J1626" s="1">
        <v>11.32</v>
      </c>
      <c r="K1626" s="1">
        <v>0</v>
      </c>
      <c r="L1626" s="1">
        <v>22.64</v>
      </c>
      <c r="M1626" s="1">
        <v>10.02</v>
      </c>
      <c r="N1626" s="1">
        <v>2.4300000000000002</v>
      </c>
      <c r="O1626" s="6" t="s">
        <v>39</v>
      </c>
      <c r="P1626" s="8">
        <f>Table1[Quantity]*Table1[Unit_Price]</f>
        <v>22.64</v>
      </c>
      <c r="Q1626" s="1">
        <f>Table1[Profit]/Table1[Total_Sales]</f>
        <v>0.1073321554770318</v>
      </c>
      <c r="R1626" s="14">
        <f>Table1[Total_Sales]+Table1[Shipping_Cost]</f>
        <v>32.659999999999997</v>
      </c>
    </row>
    <row r="1627" spans="1:18" x14ac:dyDescent="0.35">
      <c r="A1627" s="3" t="s">
        <v>3025</v>
      </c>
      <c r="B1627" s="2">
        <v>45828</v>
      </c>
      <c r="C1627" s="1" t="s">
        <v>3007</v>
      </c>
      <c r="D1627" s="1" t="s">
        <v>49</v>
      </c>
      <c r="E1627" s="1" t="s">
        <v>25</v>
      </c>
      <c r="F1627" s="1" t="s">
        <v>26</v>
      </c>
      <c r="G1627" s="1" t="s">
        <v>42</v>
      </c>
      <c r="H1627" s="1" t="s">
        <v>118</v>
      </c>
      <c r="I1627" s="1">
        <v>2</v>
      </c>
      <c r="J1627" s="1">
        <v>56.68</v>
      </c>
      <c r="K1627" s="1">
        <v>15</v>
      </c>
      <c r="L1627" s="1">
        <v>96.36</v>
      </c>
      <c r="M1627" s="1">
        <v>8.36</v>
      </c>
      <c r="N1627" s="1">
        <v>19.98</v>
      </c>
      <c r="O1627" s="6" t="s">
        <v>34</v>
      </c>
      <c r="P1627" s="8">
        <f>Table1[Quantity]*Table1[Unit_Price]</f>
        <v>113.36</v>
      </c>
      <c r="Q1627" s="1">
        <f>Table1[Profit]/Table1[Total_Sales]</f>
        <v>0.20734744707347447</v>
      </c>
      <c r="R1627" s="14">
        <f>Table1[Total_Sales]+Table1[Shipping_Cost]</f>
        <v>104.72</v>
      </c>
    </row>
    <row r="1628" spans="1:18" x14ac:dyDescent="0.35">
      <c r="A1628" s="3" t="s">
        <v>3026</v>
      </c>
      <c r="B1628" s="2">
        <v>45829</v>
      </c>
      <c r="C1628" s="1" t="s">
        <v>3027</v>
      </c>
      <c r="D1628" s="1" t="s">
        <v>30</v>
      </c>
      <c r="E1628" s="1" t="s">
        <v>59</v>
      </c>
      <c r="F1628" s="1" t="s">
        <v>60</v>
      </c>
      <c r="G1628" s="1" t="s">
        <v>42</v>
      </c>
      <c r="H1628" s="1" t="s">
        <v>64</v>
      </c>
      <c r="I1628" s="1">
        <v>2</v>
      </c>
      <c r="J1628" s="1">
        <v>125.68</v>
      </c>
      <c r="K1628" s="1">
        <v>10</v>
      </c>
      <c r="L1628" s="1">
        <v>226.22</v>
      </c>
      <c r="M1628" s="1">
        <v>12.02</v>
      </c>
      <c r="N1628" s="1">
        <v>63.38</v>
      </c>
      <c r="O1628" s="6" t="s">
        <v>34</v>
      </c>
      <c r="P1628" s="8">
        <f>Table1[Quantity]*Table1[Unit_Price]</f>
        <v>251.36</v>
      </c>
      <c r="Q1628" s="1">
        <f>Table1[Profit]/Table1[Total_Sales]</f>
        <v>0.28016974626469809</v>
      </c>
      <c r="R1628" s="14">
        <f>Table1[Total_Sales]+Table1[Shipping_Cost]</f>
        <v>238.24</v>
      </c>
    </row>
    <row r="1629" spans="1:18" x14ac:dyDescent="0.35">
      <c r="A1629" s="3" t="s">
        <v>3028</v>
      </c>
      <c r="B1629" s="2">
        <v>45830</v>
      </c>
      <c r="C1629" s="1" t="s">
        <v>2043</v>
      </c>
      <c r="D1629" s="1" t="s">
        <v>49</v>
      </c>
      <c r="E1629" s="1" t="s">
        <v>31</v>
      </c>
      <c r="F1629" s="1" t="s">
        <v>19</v>
      </c>
      <c r="G1629" s="1" t="s">
        <v>42</v>
      </c>
      <c r="H1629" s="1" t="s">
        <v>294</v>
      </c>
      <c r="I1629" s="1">
        <v>6</v>
      </c>
      <c r="J1629" s="1">
        <v>111.51</v>
      </c>
      <c r="K1629" s="1">
        <v>15</v>
      </c>
      <c r="L1629" s="1">
        <v>568.70000000000005</v>
      </c>
      <c r="M1629" s="1">
        <v>11.57</v>
      </c>
      <c r="N1629" s="1">
        <v>155.69</v>
      </c>
      <c r="O1629" s="6" t="s">
        <v>22</v>
      </c>
      <c r="P1629" s="8">
        <f>Table1[Quantity]*Table1[Unit_Price]</f>
        <v>669.06000000000006</v>
      </c>
      <c r="Q1629" s="1">
        <f>Table1[Profit]/Table1[Total_Sales]</f>
        <v>0.27376472656936873</v>
      </c>
      <c r="R1629" s="14">
        <f>Table1[Total_Sales]+Table1[Shipping_Cost]</f>
        <v>580.2700000000001</v>
      </c>
    </row>
    <row r="1630" spans="1:18" x14ac:dyDescent="0.35">
      <c r="A1630" s="3" t="s">
        <v>3029</v>
      </c>
      <c r="B1630" s="2">
        <v>45830</v>
      </c>
      <c r="C1630" s="1" t="s">
        <v>3030</v>
      </c>
      <c r="D1630" s="1" t="s">
        <v>17</v>
      </c>
      <c r="E1630" s="1" t="s">
        <v>76</v>
      </c>
      <c r="F1630" s="1" t="s">
        <v>26</v>
      </c>
      <c r="G1630" s="1" t="s">
        <v>20</v>
      </c>
      <c r="H1630" s="1" t="s">
        <v>55</v>
      </c>
      <c r="I1630" s="1">
        <v>2</v>
      </c>
      <c r="J1630" s="1">
        <v>27.7</v>
      </c>
      <c r="K1630" s="1">
        <v>25</v>
      </c>
      <c r="L1630" s="1">
        <v>41.55</v>
      </c>
      <c r="M1630" s="1">
        <v>8.7799999999999994</v>
      </c>
      <c r="N1630" s="1">
        <v>2.2999999999999998</v>
      </c>
      <c r="O1630" s="6" t="s">
        <v>34</v>
      </c>
      <c r="P1630" s="8">
        <f>Table1[Quantity]*Table1[Unit_Price]</f>
        <v>55.4</v>
      </c>
      <c r="Q1630" s="1">
        <f>Table1[Profit]/Table1[Total_Sales]</f>
        <v>5.5354993983152828E-2</v>
      </c>
      <c r="R1630" s="14">
        <f>Table1[Total_Sales]+Table1[Shipping_Cost]</f>
        <v>50.33</v>
      </c>
    </row>
    <row r="1631" spans="1:18" x14ac:dyDescent="0.35">
      <c r="A1631" s="3" t="s">
        <v>3031</v>
      </c>
      <c r="B1631" s="2">
        <v>45830</v>
      </c>
      <c r="C1631" s="1" t="s">
        <v>3032</v>
      </c>
      <c r="D1631" s="1" t="s">
        <v>17</v>
      </c>
      <c r="E1631" s="1" t="s">
        <v>166</v>
      </c>
      <c r="F1631" s="1" t="s">
        <v>60</v>
      </c>
      <c r="G1631" s="1" t="s">
        <v>32</v>
      </c>
      <c r="H1631" s="1" t="s">
        <v>115</v>
      </c>
      <c r="I1631" s="1">
        <v>1</v>
      </c>
      <c r="J1631" s="1">
        <v>12.26</v>
      </c>
      <c r="K1631" s="1">
        <v>10</v>
      </c>
      <c r="L1631" s="1">
        <v>11.03</v>
      </c>
      <c r="M1631" s="1">
        <v>10.84</v>
      </c>
      <c r="N1631" s="1">
        <v>-5.33</v>
      </c>
      <c r="O1631" s="6" t="s">
        <v>34</v>
      </c>
      <c r="P1631" s="8">
        <f>Table1[Quantity]*Table1[Unit_Price]</f>
        <v>12.26</v>
      </c>
      <c r="Q1631" s="1">
        <f>Table1[Profit]/Table1[Total_Sales]</f>
        <v>-0.48322756119673621</v>
      </c>
      <c r="R1631" s="14">
        <f>Table1[Total_Sales]+Table1[Shipping_Cost]</f>
        <v>21.869999999999997</v>
      </c>
    </row>
    <row r="1632" spans="1:18" x14ac:dyDescent="0.35">
      <c r="A1632" s="3" t="s">
        <v>3033</v>
      </c>
      <c r="B1632" s="2">
        <v>45831</v>
      </c>
      <c r="C1632" s="1" t="s">
        <v>3034</v>
      </c>
      <c r="D1632" s="1" t="s">
        <v>17</v>
      </c>
      <c r="E1632" s="1" t="s">
        <v>92</v>
      </c>
      <c r="F1632" s="1" t="s">
        <v>60</v>
      </c>
      <c r="G1632" s="1" t="s">
        <v>42</v>
      </c>
      <c r="H1632" s="1" t="s">
        <v>371</v>
      </c>
      <c r="I1632" s="1">
        <v>5</v>
      </c>
      <c r="J1632" s="1">
        <v>166.9</v>
      </c>
      <c r="K1632" s="1">
        <v>25</v>
      </c>
      <c r="L1632" s="1">
        <v>625.88</v>
      </c>
      <c r="M1632" s="1">
        <v>18.86</v>
      </c>
      <c r="N1632" s="1">
        <v>106.32</v>
      </c>
      <c r="O1632" s="6" t="s">
        <v>39</v>
      </c>
      <c r="P1632" s="8">
        <f>Table1[Quantity]*Table1[Unit_Price]</f>
        <v>834.5</v>
      </c>
      <c r="Q1632" s="1">
        <f>Table1[Profit]/Table1[Total_Sales]</f>
        <v>0.16987281907074839</v>
      </c>
      <c r="R1632" s="14">
        <f>Table1[Total_Sales]+Table1[Shipping_Cost]</f>
        <v>644.74</v>
      </c>
    </row>
    <row r="1633" spans="1:18" x14ac:dyDescent="0.35">
      <c r="A1633" s="3" t="s">
        <v>3035</v>
      </c>
      <c r="B1633" s="2">
        <v>45831</v>
      </c>
      <c r="C1633" s="1" t="s">
        <v>3036</v>
      </c>
      <c r="D1633" s="1" t="s">
        <v>30</v>
      </c>
      <c r="E1633" s="1" t="s">
        <v>25</v>
      </c>
      <c r="F1633" s="1" t="s">
        <v>26</v>
      </c>
      <c r="G1633" s="1" t="s">
        <v>20</v>
      </c>
      <c r="H1633" s="1" t="s">
        <v>264</v>
      </c>
      <c r="I1633" s="1">
        <v>1</v>
      </c>
      <c r="J1633" s="1">
        <v>51.63</v>
      </c>
      <c r="K1633" s="1">
        <v>0</v>
      </c>
      <c r="L1633" s="1">
        <v>51.63</v>
      </c>
      <c r="M1633" s="1">
        <v>7.8</v>
      </c>
      <c r="N1633" s="1">
        <v>15.43</v>
      </c>
      <c r="O1633" s="6" t="s">
        <v>39</v>
      </c>
      <c r="P1633" s="8">
        <f>Table1[Quantity]*Table1[Unit_Price]</f>
        <v>51.63</v>
      </c>
      <c r="Q1633" s="1">
        <f>Table1[Profit]/Table1[Total_Sales]</f>
        <v>0.29885725353476661</v>
      </c>
      <c r="R1633" s="14">
        <f>Table1[Total_Sales]+Table1[Shipping_Cost]</f>
        <v>59.43</v>
      </c>
    </row>
    <row r="1634" spans="1:18" x14ac:dyDescent="0.35">
      <c r="A1634" s="3" t="s">
        <v>3037</v>
      </c>
      <c r="B1634" s="2">
        <v>45831</v>
      </c>
      <c r="C1634" s="1" t="s">
        <v>3038</v>
      </c>
      <c r="D1634" s="1" t="s">
        <v>30</v>
      </c>
      <c r="E1634" s="1" t="s">
        <v>248</v>
      </c>
      <c r="F1634" s="1" t="s">
        <v>26</v>
      </c>
      <c r="G1634" s="1" t="s">
        <v>42</v>
      </c>
      <c r="H1634" s="1" t="s">
        <v>46</v>
      </c>
      <c r="I1634" s="1">
        <v>1</v>
      </c>
      <c r="J1634" s="1">
        <v>144.88999999999999</v>
      </c>
      <c r="K1634" s="1">
        <v>10</v>
      </c>
      <c r="L1634" s="1">
        <v>130.4</v>
      </c>
      <c r="M1634" s="1">
        <v>8.09</v>
      </c>
      <c r="N1634" s="1">
        <v>35.380000000000003</v>
      </c>
      <c r="O1634" s="6" t="s">
        <v>34</v>
      </c>
      <c r="P1634" s="8">
        <f>Table1[Quantity]*Table1[Unit_Price]</f>
        <v>144.88999999999999</v>
      </c>
      <c r="Q1634" s="1">
        <f>Table1[Profit]/Table1[Total_Sales]</f>
        <v>0.27131901840490796</v>
      </c>
      <c r="R1634" s="14">
        <f>Table1[Total_Sales]+Table1[Shipping_Cost]</f>
        <v>138.49</v>
      </c>
    </row>
    <row r="1635" spans="1:18" x14ac:dyDescent="0.35">
      <c r="A1635" s="3" t="s">
        <v>3039</v>
      </c>
      <c r="B1635" s="2">
        <v>45832</v>
      </c>
      <c r="C1635" s="1" t="s">
        <v>3040</v>
      </c>
      <c r="D1635" s="1" t="s">
        <v>30</v>
      </c>
      <c r="E1635" s="1" t="s">
        <v>148</v>
      </c>
      <c r="F1635" s="1" t="s">
        <v>60</v>
      </c>
      <c r="G1635" s="1" t="s">
        <v>32</v>
      </c>
      <c r="H1635" s="1" t="s">
        <v>33</v>
      </c>
      <c r="I1635" s="1">
        <v>7</v>
      </c>
      <c r="J1635" s="1">
        <v>13.53</v>
      </c>
      <c r="K1635" s="1">
        <v>0</v>
      </c>
      <c r="L1635" s="1">
        <v>94.71</v>
      </c>
      <c r="M1635" s="1">
        <v>20.02</v>
      </c>
      <c r="N1635" s="1">
        <v>32.07</v>
      </c>
      <c r="O1635" s="6" t="s">
        <v>34</v>
      </c>
      <c r="P1635" s="8">
        <f>Table1[Quantity]*Table1[Unit_Price]</f>
        <v>94.71</v>
      </c>
      <c r="Q1635" s="1">
        <f>Table1[Profit]/Table1[Total_Sales]</f>
        <v>0.33861260690528988</v>
      </c>
      <c r="R1635" s="14">
        <f>Table1[Total_Sales]+Table1[Shipping_Cost]</f>
        <v>114.72999999999999</v>
      </c>
    </row>
    <row r="1636" spans="1:18" x14ac:dyDescent="0.35">
      <c r="A1636" s="3" t="s">
        <v>3041</v>
      </c>
      <c r="B1636" s="2">
        <v>45832</v>
      </c>
      <c r="C1636" s="1" t="s">
        <v>3042</v>
      </c>
      <c r="D1636" s="1" t="s">
        <v>17</v>
      </c>
      <c r="E1636" s="1" t="s">
        <v>63</v>
      </c>
      <c r="F1636" s="1" t="s">
        <v>54</v>
      </c>
      <c r="G1636" s="1" t="s">
        <v>32</v>
      </c>
      <c r="H1636" s="1" t="s">
        <v>82</v>
      </c>
      <c r="I1636" s="1">
        <v>4</v>
      </c>
      <c r="J1636" s="1">
        <v>18.899999999999999</v>
      </c>
      <c r="K1636" s="1">
        <v>20</v>
      </c>
      <c r="L1636" s="1">
        <v>60.48</v>
      </c>
      <c r="M1636" s="1">
        <v>16.12</v>
      </c>
      <c r="N1636" s="1">
        <v>10.34</v>
      </c>
      <c r="O1636" s="6" t="s">
        <v>34</v>
      </c>
      <c r="P1636" s="8">
        <f>Table1[Quantity]*Table1[Unit_Price]</f>
        <v>75.599999999999994</v>
      </c>
      <c r="Q1636" s="1">
        <f>Table1[Profit]/Table1[Total_Sales]</f>
        <v>0.17096560846560846</v>
      </c>
      <c r="R1636" s="14">
        <f>Table1[Total_Sales]+Table1[Shipping_Cost]</f>
        <v>76.599999999999994</v>
      </c>
    </row>
    <row r="1637" spans="1:18" x14ac:dyDescent="0.35">
      <c r="A1637" s="3" t="s">
        <v>3043</v>
      </c>
      <c r="B1637" s="2">
        <v>45832</v>
      </c>
      <c r="C1637" s="1" t="s">
        <v>3044</v>
      </c>
      <c r="D1637" s="1" t="s">
        <v>49</v>
      </c>
      <c r="E1637" s="1" t="s">
        <v>135</v>
      </c>
      <c r="F1637" s="1" t="s">
        <v>26</v>
      </c>
      <c r="G1637" s="1" t="s">
        <v>32</v>
      </c>
      <c r="H1637" s="1" t="s">
        <v>149</v>
      </c>
      <c r="I1637" s="1">
        <v>1</v>
      </c>
      <c r="J1637" s="1">
        <v>16.309999999999999</v>
      </c>
      <c r="K1637" s="1">
        <v>0</v>
      </c>
      <c r="L1637" s="1">
        <v>16.309999999999999</v>
      </c>
      <c r="M1637" s="1">
        <v>8.77</v>
      </c>
      <c r="N1637" s="1">
        <v>0.2</v>
      </c>
      <c r="O1637" s="6" t="s">
        <v>34</v>
      </c>
      <c r="P1637" s="8">
        <f>Table1[Quantity]*Table1[Unit_Price]</f>
        <v>16.309999999999999</v>
      </c>
      <c r="Q1637" s="1">
        <f>Table1[Profit]/Table1[Total_Sales]</f>
        <v>1.2262415695892093E-2</v>
      </c>
      <c r="R1637" s="14">
        <f>Table1[Total_Sales]+Table1[Shipping_Cost]</f>
        <v>25.08</v>
      </c>
    </row>
    <row r="1638" spans="1:18" x14ac:dyDescent="0.35">
      <c r="A1638" s="3" t="s">
        <v>3045</v>
      </c>
      <c r="B1638" s="2">
        <v>45832</v>
      </c>
      <c r="C1638" s="1" t="s">
        <v>3046</v>
      </c>
      <c r="D1638" s="1" t="s">
        <v>49</v>
      </c>
      <c r="E1638" s="1" t="s">
        <v>18</v>
      </c>
      <c r="F1638" s="1" t="s">
        <v>19</v>
      </c>
      <c r="G1638" s="1" t="s">
        <v>69</v>
      </c>
      <c r="H1638" s="1" t="s">
        <v>305</v>
      </c>
      <c r="I1638" s="1">
        <v>2</v>
      </c>
      <c r="J1638" s="1">
        <v>70.84</v>
      </c>
      <c r="K1638" s="1">
        <v>15</v>
      </c>
      <c r="L1638" s="1">
        <v>120.43</v>
      </c>
      <c r="M1638" s="1">
        <v>7.08</v>
      </c>
      <c r="N1638" s="1">
        <v>42.51</v>
      </c>
      <c r="O1638" s="6" t="s">
        <v>39</v>
      </c>
      <c r="P1638" s="8">
        <f>Table1[Quantity]*Table1[Unit_Price]</f>
        <v>141.68</v>
      </c>
      <c r="Q1638" s="1">
        <f>Table1[Profit]/Table1[Total_Sales]</f>
        <v>0.35298513659387193</v>
      </c>
      <c r="R1638" s="14">
        <f>Table1[Total_Sales]+Table1[Shipping_Cost]</f>
        <v>127.51</v>
      </c>
    </row>
    <row r="1639" spans="1:18" x14ac:dyDescent="0.35">
      <c r="A1639" s="3" t="s">
        <v>3047</v>
      </c>
      <c r="B1639" s="2">
        <v>45832</v>
      </c>
      <c r="C1639" s="1" t="s">
        <v>1335</v>
      </c>
      <c r="D1639" s="1" t="s">
        <v>17</v>
      </c>
      <c r="E1639" s="1" t="s">
        <v>76</v>
      </c>
      <c r="F1639" s="1" t="s">
        <v>26</v>
      </c>
      <c r="G1639" s="1" t="s">
        <v>32</v>
      </c>
      <c r="H1639" s="1" t="s">
        <v>101</v>
      </c>
      <c r="I1639" s="1">
        <v>5</v>
      </c>
      <c r="J1639" s="1">
        <v>19.61</v>
      </c>
      <c r="K1639" s="1">
        <v>20</v>
      </c>
      <c r="L1639" s="1">
        <v>78.44</v>
      </c>
      <c r="M1639" s="1">
        <v>10.31</v>
      </c>
      <c r="N1639" s="1">
        <v>24.01</v>
      </c>
      <c r="O1639" s="6" t="s">
        <v>22</v>
      </c>
      <c r="P1639" s="8">
        <f>Table1[Quantity]*Table1[Unit_Price]</f>
        <v>98.05</v>
      </c>
      <c r="Q1639" s="1">
        <f>Table1[Profit]/Table1[Total_Sales]</f>
        <v>0.30609382967873539</v>
      </c>
      <c r="R1639" s="14">
        <f>Table1[Total_Sales]+Table1[Shipping_Cost]</f>
        <v>88.75</v>
      </c>
    </row>
    <row r="1640" spans="1:18" x14ac:dyDescent="0.35">
      <c r="A1640" s="3" t="s">
        <v>3048</v>
      </c>
      <c r="B1640" s="2">
        <v>45833</v>
      </c>
      <c r="C1640" s="1" t="s">
        <v>2203</v>
      </c>
      <c r="D1640" s="1" t="s">
        <v>17</v>
      </c>
      <c r="E1640" s="1" t="s">
        <v>135</v>
      </c>
      <c r="F1640" s="1" t="s">
        <v>26</v>
      </c>
      <c r="G1640" s="1" t="s">
        <v>42</v>
      </c>
      <c r="H1640" s="1" t="s">
        <v>294</v>
      </c>
      <c r="I1640" s="1">
        <v>8</v>
      </c>
      <c r="J1640" s="1">
        <v>284.77999999999997</v>
      </c>
      <c r="K1640" s="1">
        <v>5</v>
      </c>
      <c r="L1640" s="1">
        <v>2164.33</v>
      </c>
      <c r="M1640" s="1">
        <v>25.98</v>
      </c>
      <c r="N1640" s="1">
        <v>771.41</v>
      </c>
      <c r="O1640" s="6" t="s">
        <v>56</v>
      </c>
      <c r="P1640" s="8">
        <f>Table1[Quantity]*Table1[Unit_Price]</f>
        <v>2278.2399999999998</v>
      </c>
      <c r="Q1640" s="1">
        <f>Table1[Profit]/Table1[Total_Sales]</f>
        <v>0.35641976962847627</v>
      </c>
      <c r="R1640" s="14">
        <f>Table1[Total_Sales]+Table1[Shipping_Cost]</f>
        <v>2190.31</v>
      </c>
    </row>
    <row r="1641" spans="1:18" x14ac:dyDescent="0.35">
      <c r="A1641" s="3" t="s">
        <v>3049</v>
      </c>
      <c r="B1641" s="2">
        <v>45833</v>
      </c>
      <c r="C1641" s="1" t="s">
        <v>1030</v>
      </c>
      <c r="D1641" s="1" t="s">
        <v>17</v>
      </c>
      <c r="E1641" s="1" t="s">
        <v>85</v>
      </c>
      <c r="F1641" s="1" t="s">
        <v>60</v>
      </c>
      <c r="G1641" s="1" t="s">
        <v>20</v>
      </c>
      <c r="H1641" s="1" t="s">
        <v>21</v>
      </c>
      <c r="I1641" s="1">
        <v>11</v>
      </c>
      <c r="J1641" s="1">
        <v>61.31</v>
      </c>
      <c r="K1641" s="1">
        <v>5</v>
      </c>
      <c r="L1641" s="1">
        <v>640.69000000000005</v>
      </c>
      <c r="M1641" s="1">
        <v>33.82</v>
      </c>
      <c r="N1641" s="1">
        <v>235.94</v>
      </c>
      <c r="O1641" s="6" t="s">
        <v>39</v>
      </c>
      <c r="P1641" s="8">
        <f>Table1[Quantity]*Table1[Unit_Price]</f>
        <v>674.41000000000008</v>
      </c>
      <c r="Q1641" s="1">
        <f>Table1[Profit]/Table1[Total_Sales]</f>
        <v>0.36825922052786836</v>
      </c>
      <c r="R1641" s="14">
        <f>Table1[Total_Sales]+Table1[Shipping_Cost]</f>
        <v>674.5100000000001</v>
      </c>
    </row>
    <row r="1642" spans="1:18" x14ac:dyDescent="0.35">
      <c r="A1642" s="3" t="s">
        <v>3050</v>
      </c>
      <c r="B1642" s="2">
        <v>45833</v>
      </c>
      <c r="C1642" s="1" t="s">
        <v>2609</v>
      </c>
      <c r="D1642" s="1" t="s">
        <v>30</v>
      </c>
      <c r="E1642" s="1" t="s">
        <v>31</v>
      </c>
      <c r="F1642" s="1" t="s">
        <v>19</v>
      </c>
      <c r="G1642" s="1" t="s">
        <v>20</v>
      </c>
      <c r="H1642" s="1" t="s">
        <v>175</v>
      </c>
      <c r="I1642" s="1">
        <v>3</v>
      </c>
      <c r="J1642" s="1">
        <v>22.6</v>
      </c>
      <c r="K1642" s="1">
        <v>10</v>
      </c>
      <c r="L1642" s="1">
        <v>61.02</v>
      </c>
      <c r="M1642" s="1">
        <v>6.51</v>
      </c>
      <c r="N1642" s="1">
        <v>17.22</v>
      </c>
      <c r="O1642" s="6" t="s">
        <v>34</v>
      </c>
      <c r="P1642" s="8">
        <f>Table1[Quantity]*Table1[Unit_Price]</f>
        <v>67.800000000000011</v>
      </c>
      <c r="Q1642" s="1">
        <f>Table1[Profit]/Table1[Total_Sales]</f>
        <v>0.28220255653883969</v>
      </c>
      <c r="R1642" s="14">
        <f>Table1[Total_Sales]+Table1[Shipping_Cost]</f>
        <v>67.53</v>
      </c>
    </row>
    <row r="1643" spans="1:18" x14ac:dyDescent="0.35">
      <c r="A1643" s="3" t="s">
        <v>3051</v>
      </c>
      <c r="B1643" s="2">
        <v>45833</v>
      </c>
      <c r="C1643" s="1" t="s">
        <v>1624</v>
      </c>
      <c r="D1643" s="1" t="s">
        <v>30</v>
      </c>
      <c r="E1643" s="1" t="s">
        <v>37</v>
      </c>
      <c r="F1643" s="1" t="s">
        <v>26</v>
      </c>
      <c r="G1643" s="1" t="s">
        <v>32</v>
      </c>
      <c r="H1643" s="1" t="s">
        <v>101</v>
      </c>
      <c r="I1643" s="1">
        <v>4</v>
      </c>
      <c r="J1643" s="1">
        <v>7.06</v>
      </c>
      <c r="K1643" s="1">
        <v>0</v>
      </c>
      <c r="L1643" s="1">
        <v>28.24</v>
      </c>
      <c r="M1643" s="1">
        <v>13.62</v>
      </c>
      <c r="N1643" s="1">
        <v>1.91</v>
      </c>
      <c r="O1643" s="6" t="s">
        <v>22</v>
      </c>
      <c r="P1643" s="8">
        <f>Table1[Quantity]*Table1[Unit_Price]</f>
        <v>28.24</v>
      </c>
      <c r="Q1643" s="1">
        <f>Table1[Profit]/Table1[Total_Sales]</f>
        <v>6.7634560906515581E-2</v>
      </c>
      <c r="R1643" s="14">
        <f>Table1[Total_Sales]+Table1[Shipping_Cost]</f>
        <v>41.86</v>
      </c>
    </row>
    <row r="1644" spans="1:18" x14ac:dyDescent="0.35">
      <c r="A1644" s="3" t="s">
        <v>3052</v>
      </c>
      <c r="B1644" s="2">
        <v>45833</v>
      </c>
      <c r="C1644" s="1" t="s">
        <v>3053</v>
      </c>
      <c r="D1644" s="1" t="s">
        <v>30</v>
      </c>
      <c r="E1644" s="1" t="s">
        <v>109</v>
      </c>
      <c r="F1644" s="1" t="s">
        <v>54</v>
      </c>
      <c r="G1644" s="1" t="s">
        <v>20</v>
      </c>
      <c r="H1644" s="1" t="s">
        <v>264</v>
      </c>
      <c r="I1644" s="1">
        <v>1</v>
      </c>
      <c r="J1644" s="1">
        <v>34.770000000000003</v>
      </c>
      <c r="K1644" s="1">
        <v>0</v>
      </c>
      <c r="L1644" s="1">
        <v>34.770000000000003</v>
      </c>
      <c r="M1644" s="1">
        <v>11.76</v>
      </c>
      <c r="N1644" s="1">
        <v>3.89</v>
      </c>
      <c r="O1644" s="6" t="s">
        <v>34</v>
      </c>
      <c r="P1644" s="8">
        <f>Table1[Quantity]*Table1[Unit_Price]</f>
        <v>34.770000000000003</v>
      </c>
      <c r="Q1644" s="1">
        <f>Table1[Profit]/Table1[Total_Sales]</f>
        <v>0.11187805579522576</v>
      </c>
      <c r="R1644" s="14">
        <f>Table1[Total_Sales]+Table1[Shipping_Cost]</f>
        <v>46.53</v>
      </c>
    </row>
    <row r="1645" spans="1:18" x14ac:dyDescent="0.35">
      <c r="A1645" s="3" t="s">
        <v>3054</v>
      </c>
      <c r="B1645" s="2">
        <v>45833</v>
      </c>
      <c r="C1645" s="1" t="s">
        <v>3055</v>
      </c>
      <c r="D1645" s="1" t="s">
        <v>30</v>
      </c>
      <c r="E1645" s="1" t="s">
        <v>85</v>
      </c>
      <c r="F1645" s="1" t="s">
        <v>60</v>
      </c>
      <c r="G1645" s="1" t="s">
        <v>69</v>
      </c>
      <c r="H1645" s="1" t="s">
        <v>243</v>
      </c>
      <c r="I1645" s="1">
        <v>6</v>
      </c>
      <c r="J1645" s="1">
        <v>17.93</v>
      </c>
      <c r="K1645" s="1">
        <v>10</v>
      </c>
      <c r="L1645" s="1">
        <v>96.82</v>
      </c>
      <c r="M1645" s="1">
        <v>15.34</v>
      </c>
      <c r="N1645" s="1">
        <v>27.69</v>
      </c>
      <c r="O1645" s="6" t="s">
        <v>34</v>
      </c>
      <c r="P1645" s="8">
        <f>Table1[Quantity]*Table1[Unit_Price]</f>
        <v>107.58</v>
      </c>
      <c r="Q1645" s="1">
        <f>Table1[Profit]/Table1[Total_Sales]</f>
        <v>0.28599462920884117</v>
      </c>
      <c r="R1645" s="14">
        <f>Table1[Total_Sales]+Table1[Shipping_Cost]</f>
        <v>112.16</v>
      </c>
    </row>
    <row r="1646" spans="1:18" x14ac:dyDescent="0.35">
      <c r="A1646" s="3" t="s">
        <v>3056</v>
      </c>
      <c r="B1646" s="2">
        <v>45835</v>
      </c>
      <c r="C1646" s="1" t="s">
        <v>2342</v>
      </c>
      <c r="D1646" s="1" t="s">
        <v>49</v>
      </c>
      <c r="E1646" s="1" t="s">
        <v>31</v>
      </c>
      <c r="F1646" s="1" t="s">
        <v>19</v>
      </c>
      <c r="G1646" s="1" t="s">
        <v>69</v>
      </c>
      <c r="H1646" s="1" t="s">
        <v>163</v>
      </c>
      <c r="I1646" s="1">
        <v>6</v>
      </c>
      <c r="J1646" s="1">
        <v>65.25</v>
      </c>
      <c r="K1646" s="1">
        <v>5</v>
      </c>
      <c r="L1646" s="1">
        <v>371.92</v>
      </c>
      <c r="M1646" s="1">
        <v>8.51</v>
      </c>
      <c r="N1646" s="1">
        <v>167.66</v>
      </c>
      <c r="O1646" s="6" t="s">
        <v>39</v>
      </c>
      <c r="P1646" s="8">
        <f>Table1[Quantity]*Table1[Unit_Price]</f>
        <v>391.5</v>
      </c>
      <c r="Q1646" s="1">
        <f>Table1[Profit]/Table1[Total_Sales]</f>
        <v>0.45079587007958699</v>
      </c>
      <c r="R1646" s="14">
        <f>Table1[Total_Sales]+Table1[Shipping_Cost]</f>
        <v>380.43</v>
      </c>
    </row>
    <row r="1647" spans="1:18" x14ac:dyDescent="0.35">
      <c r="A1647" s="3" t="s">
        <v>3057</v>
      </c>
      <c r="B1647" s="2">
        <v>45835</v>
      </c>
      <c r="C1647" s="1" t="s">
        <v>1618</v>
      </c>
      <c r="D1647" s="1" t="s">
        <v>30</v>
      </c>
      <c r="E1647" s="1" t="s">
        <v>31</v>
      </c>
      <c r="F1647" s="1" t="s">
        <v>19</v>
      </c>
      <c r="G1647" s="1" t="s">
        <v>20</v>
      </c>
      <c r="H1647" s="1" t="s">
        <v>55</v>
      </c>
      <c r="I1647" s="1">
        <v>2</v>
      </c>
      <c r="J1647" s="1">
        <v>38.03</v>
      </c>
      <c r="K1647" s="1">
        <v>5</v>
      </c>
      <c r="L1647" s="1">
        <v>72.260000000000005</v>
      </c>
      <c r="M1647" s="1">
        <v>9.2899999999999991</v>
      </c>
      <c r="N1647" s="1">
        <v>21.14</v>
      </c>
      <c r="O1647" s="6" t="s">
        <v>39</v>
      </c>
      <c r="P1647" s="8">
        <f>Table1[Quantity]*Table1[Unit_Price]</f>
        <v>76.06</v>
      </c>
      <c r="Q1647" s="1">
        <f>Table1[Profit]/Table1[Total_Sales]</f>
        <v>0.29255466371436478</v>
      </c>
      <c r="R1647" s="14">
        <f>Table1[Total_Sales]+Table1[Shipping_Cost]</f>
        <v>81.550000000000011</v>
      </c>
    </row>
    <row r="1648" spans="1:18" x14ac:dyDescent="0.35">
      <c r="A1648" s="3" t="s">
        <v>3058</v>
      </c>
      <c r="B1648" s="2">
        <v>45835</v>
      </c>
      <c r="C1648" s="1" t="s">
        <v>879</v>
      </c>
      <c r="D1648" s="1" t="s">
        <v>17</v>
      </c>
      <c r="E1648" s="1" t="s">
        <v>25</v>
      </c>
      <c r="F1648" s="1" t="s">
        <v>26</v>
      </c>
      <c r="G1648" s="1" t="s">
        <v>69</v>
      </c>
      <c r="H1648" s="1" t="s">
        <v>243</v>
      </c>
      <c r="I1648" s="1">
        <v>3</v>
      </c>
      <c r="J1648" s="1">
        <v>53.91</v>
      </c>
      <c r="K1648" s="1">
        <v>0</v>
      </c>
      <c r="L1648" s="1">
        <v>161.72999999999999</v>
      </c>
      <c r="M1648" s="1">
        <v>12.12</v>
      </c>
      <c r="N1648" s="1">
        <v>68.739999999999995</v>
      </c>
      <c r="O1648" s="6" t="s">
        <v>34</v>
      </c>
      <c r="P1648" s="8">
        <f>Table1[Quantity]*Table1[Unit_Price]</f>
        <v>161.72999999999999</v>
      </c>
      <c r="Q1648" s="1">
        <f>Table1[Profit]/Table1[Total_Sales]</f>
        <v>0.42502936993755025</v>
      </c>
      <c r="R1648" s="14">
        <f>Table1[Total_Sales]+Table1[Shipping_Cost]</f>
        <v>173.85</v>
      </c>
    </row>
    <row r="1649" spans="1:18" x14ac:dyDescent="0.35">
      <c r="A1649" s="3" t="s">
        <v>3059</v>
      </c>
      <c r="B1649" s="2">
        <v>45836</v>
      </c>
      <c r="C1649" s="1" t="s">
        <v>327</v>
      </c>
      <c r="D1649" s="1" t="s">
        <v>17</v>
      </c>
      <c r="E1649" s="1" t="s">
        <v>138</v>
      </c>
      <c r="F1649" s="1" t="s">
        <v>54</v>
      </c>
      <c r="G1649" s="1" t="s">
        <v>20</v>
      </c>
      <c r="H1649" s="1" t="s">
        <v>264</v>
      </c>
      <c r="I1649" s="1">
        <v>4</v>
      </c>
      <c r="J1649" s="1">
        <v>40.01</v>
      </c>
      <c r="K1649" s="1">
        <v>0</v>
      </c>
      <c r="L1649" s="1">
        <v>160.04</v>
      </c>
      <c r="M1649" s="1">
        <v>16.420000000000002</v>
      </c>
      <c r="N1649" s="1">
        <v>55.6</v>
      </c>
      <c r="O1649" s="6" t="s">
        <v>22</v>
      </c>
      <c r="P1649" s="8">
        <f>Table1[Quantity]*Table1[Unit_Price]</f>
        <v>160.04</v>
      </c>
      <c r="Q1649" s="1">
        <f>Table1[Profit]/Table1[Total_Sales]</f>
        <v>0.34741314671332169</v>
      </c>
      <c r="R1649" s="14">
        <f>Table1[Total_Sales]+Table1[Shipping_Cost]</f>
        <v>176.45999999999998</v>
      </c>
    </row>
    <row r="1650" spans="1:18" x14ac:dyDescent="0.35">
      <c r="A1650" s="3" t="s">
        <v>3060</v>
      </c>
      <c r="B1650" s="2">
        <v>45836</v>
      </c>
      <c r="C1650" s="1" t="s">
        <v>3061</v>
      </c>
      <c r="D1650" s="1" t="s">
        <v>30</v>
      </c>
      <c r="E1650" s="1" t="s">
        <v>59</v>
      </c>
      <c r="F1650" s="1" t="s">
        <v>60</v>
      </c>
      <c r="G1650" s="1" t="s">
        <v>20</v>
      </c>
      <c r="H1650" s="1" t="s">
        <v>55</v>
      </c>
      <c r="I1650" s="1">
        <v>9</v>
      </c>
      <c r="J1650" s="1">
        <v>58.82</v>
      </c>
      <c r="K1650" s="1">
        <v>5</v>
      </c>
      <c r="L1650" s="1">
        <v>502.91</v>
      </c>
      <c r="M1650" s="1">
        <v>25.7</v>
      </c>
      <c r="N1650" s="1">
        <v>186.05</v>
      </c>
      <c r="O1650" s="6" t="s">
        <v>39</v>
      </c>
      <c r="P1650" s="8">
        <f>Table1[Quantity]*Table1[Unit_Price]</f>
        <v>529.38</v>
      </c>
      <c r="Q1650" s="1">
        <f>Table1[Profit]/Table1[Total_Sales]</f>
        <v>0.36994690898968008</v>
      </c>
      <c r="R1650" s="14">
        <f>Table1[Total_Sales]+Table1[Shipping_Cost]</f>
        <v>528.61</v>
      </c>
    </row>
    <row r="1651" spans="1:18" x14ac:dyDescent="0.35">
      <c r="A1651" s="3" t="s">
        <v>3062</v>
      </c>
      <c r="B1651" s="2">
        <v>45838</v>
      </c>
      <c r="C1651" s="1" t="s">
        <v>3063</v>
      </c>
      <c r="D1651" s="1" t="s">
        <v>17</v>
      </c>
      <c r="E1651" s="1" t="s">
        <v>18</v>
      </c>
      <c r="F1651" s="1" t="s">
        <v>19</v>
      </c>
      <c r="G1651" s="1" t="s">
        <v>32</v>
      </c>
      <c r="H1651" s="1" t="s">
        <v>33</v>
      </c>
      <c r="I1651" s="1">
        <v>2</v>
      </c>
      <c r="J1651" s="1">
        <v>8.98</v>
      </c>
      <c r="K1651" s="1">
        <v>10</v>
      </c>
      <c r="L1651" s="1">
        <v>16.16</v>
      </c>
      <c r="M1651" s="1">
        <v>9.66</v>
      </c>
      <c r="N1651" s="1">
        <v>-1.58</v>
      </c>
      <c r="O1651" s="6" t="s">
        <v>39</v>
      </c>
      <c r="P1651" s="8">
        <f>Table1[Quantity]*Table1[Unit_Price]</f>
        <v>17.96</v>
      </c>
      <c r="Q1651" s="1">
        <f>Table1[Profit]/Table1[Total_Sales]</f>
        <v>-9.7772277227722776E-2</v>
      </c>
      <c r="R1651" s="14">
        <f>Table1[Total_Sales]+Table1[Shipping_Cost]</f>
        <v>25.82</v>
      </c>
    </row>
    <row r="1652" spans="1:18" x14ac:dyDescent="0.35">
      <c r="A1652" s="3" t="s">
        <v>3064</v>
      </c>
      <c r="B1652" s="2">
        <v>45838</v>
      </c>
      <c r="C1652" s="1" t="s">
        <v>3065</v>
      </c>
      <c r="D1652" s="1" t="s">
        <v>30</v>
      </c>
      <c r="E1652" s="1" t="s">
        <v>31</v>
      </c>
      <c r="F1652" s="1" t="s">
        <v>19</v>
      </c>
      <c r="G1652" s="1" t="s">
        <v>42</v>
      </c>
      <c r="H1652" s="1" t="s">
        <v>255</v>
      </c>
      <c r="I1652" s="1">
        <v>3</v>
      </c>
      <c r="J1652" s="1">
        <v>29.12</v>
      </c>
      <c r="K1652" s="1">
        <v>0</v>
      </c>
      <c r="L1652" s="1">
        <v>87.36</v>
      </c>
      <c r="M1652" s="1">
        <v>11.41</v>
      </c>
      <c r="N1652" s="1">
        <v>23.53</v>
      </c>
      <c r="O1652" s="6" t="s">
        <v>22</v>
      </c>
      <c r="P1652" s="8">
        <f>Table1[Quantity]*Table1[Unit_Price]</f>
        <v>87.36</v>
      </c>
      <c r="Q1652" s="1">
        <f>Table1[Profit]/Table1[Total_Sales]</f>
        <v>0.26934523809523814</v>
      </c>
      <c r="R1652" s="14">
        <f>Table1[Total_Sales]+Table1[Shipping_Cost]</f>
        <v>98.77</v>
      </c>
    </row>
    <row r="1653" spans="1:18" x14ac:dyDescent="0.35">
      <c r="A1653" s="3" t="s">
        <v>3066</v>
      </c>
      <c r="B1653" s="2">
        <v>45840</v>
      </c>
      <c r="C1653" s="1" t="s">
        <v>3067</v>
      </c>
      <c r="D1653" s="1" t="s">
        <v>30</v>
      </c>
      <c r="E1653" s="1" t="s">
        <v>59</v>
      </c>
      <c r="F1653" s="1" t="s">
        <v>60</v>
      </c>
      <c r="G1653" s="1" t="s">
        <v>42</v>
      </c>
      <c r="H1653" s="1" t="s">
        <v>255</v>
      </c>
      <c r="I1653" s="1">
        <v>4</v>
      </c>
      <c r="J1653" s="1">
        <v>17.48</v>
      </c>
      <c r="K1653" s="1">
        <v>10</v>
      </c>
      <c r="L1653" s="1">
        <v>62.93</v>
      </c>
      <c r="M1653" s="1">
        <v>12.78</v>
      </c>
      <c r="N1653" s="1">
        <v>8.1999999999999993</v>
      </c>
      <c r="O1653" s="6" t="s">
        <v>22</v>
      </c>
      <c r="P1653" s="8">
        <f>Table1[Quantity]*Table1[Unit_Price]</f>
        <v>69.92</v>
      </c>
      <c r="Q1653" s="1">
        <f>Table1[Profit]/Table1[Total_Sales]</f>
        <v>0.13030351183855077</v>
      </c>
      <c r="R1653" s="14">
        <f>Table1[Total_Sales]+Table1[Shipping_Cost]</f>
        <v>75.709999999999994</v>
      </c>
    </row>
    <row r="1654" spans="1:18" x14ac:dyDescent="0.35">
      <c r="A1654" s="3" t="s">
        <v>3068</v>
      </c>
      <c r="B1654" s="2">
        <v>45841</v>
      </c>
      <c r="C1654" s="1" t="s">
        <v>2571</v>
      </c>
      <c r="D1654" s="1" t="s">
        <v>30</v>
      </c>
      <c r="E1654" s="1" t="s">
        <v>18</v>
      </c>
      <c r="F1654" s="1" t="s">
        <v>19</v>
      </c>
      <c r="G1654" s="1" t="s">
        <v>32</v>
      </c>
      <c r="H1654" s="1" t="s">
        <v>50</v>
      </c>
      <c r="I1654" s="1">
        <v>1</v>
      </c>
      <c r="J1654" s="1">
        <v>12.16</v>
      </c>
      <c r="K1654" s="1">
        <v>5</v>
      </c>
      <c r="L1654" s="1">
        <v>11.55</v>
      </c>
      <c r="M1654" s="1">
        <v>6.58</v>
      </c>
      <c r="N1654" s="1">
        <v>-0.5</v>
      </c>
      <c r="O1654" s="6" t="s">
        <v>56</v>
      </c>
      <c r="P1654" s="8">
        <f>Table1[Quantity]*Table1[Unit_Price]</f>
        <v>12.16</v>
      </c>
      <c r="Q1654" s="1">
        <f>Table1[Profit]/Table1[Total_Sales]</f>
        <v>-4.3290043290043288E-2</v>
      </c>
      <c r="R1654" s="14">
        <f>Table1[Total_Sales]+Table1[Shipping_Cost]</f>
        <v>18.130000000000003</v>
      </c>
    </row>
    <row r="1655" spans="1:18" x14ac:dyDescent="0.35">
      <c r="A1655" s="3" t="s">
        <v>3069</v>
      </c>
      <c r="B1655" s="2">
        <v>45841</v>
      </c>
      <c r="C1655" s="1" t="s">
        <v>3070</v>
      </c>
      <c r="D1655" s="1" t="s">
        <v>17</v>
      </c>
      <c r="E1655" s="1" t="s">
        <v>76</v>
      </c>
      <c r="F1655" s="1" t="s">
        <v>26</v>
      </c>
      <c r="G1655" s="1" t="s">
        <v>32</v>
      </c>
      <c r="H1655" s="1" t="s">
        <v>149</v>
      </c>
      <c r="I1655" s="1">
        <v>8</v>
      </c>
      <c r="J1655" s="1">
        <v>17.670000000000002</v>
      </c>
      <c r="K1655" s="1">
        <v>10</v>
      </c>
      <c r="L1655" s="1">
        <v>127.22</v>
      </c>
      <c r="M1655" s="1">
        <v>25.24</v>
      </c>
      <c r="N1655" s="1">
        <v>38.369999999999997</v>
      </c>
      <c r="O1655" s="6" t="s">
        <v>39</v>
      </c>
      <c r="P1655" s="8">
        <f>Table1[Quantity]*Table1[Unit_Price]</f>
        <v>141.36000000000001</v>
      </c>
      <c r="Q1655" s="1">
        <f>Table1[Profit]/Table1[Total_Sales]</f>
        <v>0.30160352145889008</v>
      </c>
      <c r="R1655" s="14">
        <f>Table1[Total_Sales]+Table1[Shipping_Cost]</f>
        <v>152.46</v>
      </c>
    </row>
    <row r="1656" spans="1:18" x14ac:dyDescent="0.35">
      <c r="A1656" s="3" t="s">
        <v>3071</v>
      </c>
      <c r="B1656" s="2">
        <v>45841</v>
      </c>
      <c r="C1656" s="1" t="s">
        <v>1612</v>
      </c>
      <c r="D1656" s="1" t="s">
        <v>30</v>
      </c>
      <c r="E1656" s="1" t="s">
        <v>76</v>
      </c>
      <c r="F1656" s="1" t="s">
        <v>26</v>
      </c>
      <c r="G1656" s="1" t="s">
        <v>42</v>
      </c>
      <c r="H1656" s="1" t="s">
        <v>64</v>
      </c>
      <c r="I1656" s="1">
        <v>1</v>
      </c>
      <c r="J1656" s="1">
        <v>94.65</v>
      </c>
      <c r="K1656" s="1">
        <v>10</v>
      </c>
      <c r="L1656" s="1">
        <v>85.19</v>
      </c>
      <c r="M1656" s="1">
        <v>8.91</v>
      </c>
      <c r="N1656" s="1">
        <v>19.489999999999998</v>
      </c>
      <c r="O1656" s="6" t="s">
        <v>22</v>
      </c>
      <c r="P1656" s="8">
        <f>Table1[Quantity]*Table1[Unit_Price]</f>
        <v>94.65</v>
      </c>
      <c r="Q1656" s="1">
        <f>Table1[Profit]/Table1[Total_Sales]</f>
        <v>0.22878272097664043</v>
      </c>
      <c r="R1656" s="14">
        <f>Table1[Total_Sales]+Table1[Shipping_Cost]</f>
        <v>94.1</v>
      </c>
    </row>
    <row r="1657" spans="1:18" x14ac:dyDescent="0.35">
      <c r="A1657" s="3" t="s">
        <v>3072</v>
      </c>
      <c r="B1657" s="2">
        <v>45842</v>
      </c>
      <c r="C1657" s="1" t="s">
        <v>1465</v>
      </c>
      <c r="D1657" s="1" t="s">
        <v>17</v>
      </c>
      <c r="E1657" s="1" t="s">
        <v>18</v>
      </c>
      <c r="F1657" s="1" t="s">
        <v>19</v>
      </c>
      <c r="G1657" s="1" t="s">
        <v>42</v>
      </c>
      <c r="H1657" s="1" t="s">
        <v>64</v>
      </c>
      <c r="I1657" s="1">
        <v>2</v>
      </c>
      <c r="J1657" s="1">
        <v>49.81</v>
      </c>
      <c r="K1657" s="1">
        <v>0</v>
      </c>
      <c r="L1657" s="1">
        <v>99.62</v>
      </c>
      <c r="M1657" s="1">
        <v>8.52</v>
      </c>
      <c r="N1657" s="1">
        <v>31.33</v>
      </c>
      <c r="O1657" s="6" t="s">
        <v>34</v>
      </c>
      <c r="P1657" s="8">
        <f>Table1[Quantity]*Table1[Unit_Price]</f>
        <v>99.62</v>
      </c>
      <c r="Q1657" s="1">
        <f>Table1[Profit]/Table1[Total_Sales]</f>
        <v>0.31449508130897408</v>
      </c>
      <c r="R1657" s="14">
        <f>Table1[Total_Sales]+Table1[Shipping_Cost]</f>
        <v>108.14</v>
      </c>
    </row>
    <row r="1658" spans="1:18" x14ac:dyDescent="0.35">
      <c r="A1658" s="3" t="s">
        <v>3073</v>
      </c>
      <c r="B1658" s="2">
        <v>45844</v>
      </c>
      <c r="C1658" s="1" t="s">
        <v>1736</v>
      </c>
      <c r="D1658" s="1" t="s">
        <v>49</v>
      </c>
      <c r="E1658" s="1" t="s">
        <v>129</v>
      </c>
      <c r="F1658" s="1" t="s">
        <v>19</v>
      </c>
      <c r="G1658" s="1" t="s">
        <v>20</v>
      </c>
      <c r="H1658" s="1" t="s">
        <v>264</v>
      </c>
      <c r="I1658" s="1">
        <v>1</v>
      </c>
      <c r="J1658" s="1">
        <v>42.35</v>
      </c>
      <c r="K1658" s="1">
        <v>5</v>
      </c>
      <c r="L1658" s="1">
        <v>40.229999999999997</v>
      </c>
      <c r="M1658" s="1">
        <v>6.81</v>
      </c>
      <c r="N1658" s="1">
        <v>10.130000000000001</v>
      </c>
      <c r="O1658" s="6" t="s">
        <v>34</v>
      </c>
      <c r="P1658" s="8">
        <f>Table1[Quantity]*Table1[Unit_Price]</f>
        <v>42.35</v>
      </c>
      <c r="Q1658" s="1">
        <f>Table1[Profit]/Table1[Total_Sales]</f>
        <v>0.251802137708178</v>
      </c>
      <c r="R1658" s="14">
        <f>Table1[Total_Sales]+Table1[Shipping_Cost]</f>
        <v>47.04</v>
      </c>
    </row>
    <row r="1659" spans="1:18" x14ac:dyDescent="0.35">
      <c r="A1659" s="3" t="s">
        <v>3074</v>
      </c>
      <c r="B1659" s="2">
        <v>45844</v>
      </c>
      <c r="C1659" s="1" t="s">
        <v>3075</v>
      </c>
      <c r="D1659" s="1" t="s">
        <v>49</v>
      </c>
      <c r="E1659" s="1" t="s">
        <v>37</v>
      </c>
      <c r="F1659" s="1" t="s">
        <v>26</v>
      </c>
      <c r="G1659" s="1" t="s">
        <v>69</v>
      </c>
      <c r="H1659" s="1" t="s">
        <v>196</v>
      </c>
      <c r="I1659" s="1">
        <v>1</v>
      </c>
      <c r="J1659" s="1">
        <v>9.44</v>
      </c>
      <c r="K1659" s="1">
        <v>0</v>
      </c>
      <c r="L1659" s="1">
        <v>9.44</v>
      </c>
      <c r="M1659" s="1">
        <v>9.42</v>
      </c>
      <c r="N1659" s="1">
        <v>-4.7</v>
      </c>
      <c r="O1659" s="6" t="s">
        <v>39</v>
      </c>
      <c r="P1659" s="8">
        <f>Table1[Quantity]*Table1[Unit_Price]</f>
        <v>9.44</v>
      </c>
      <c r="Q1659" s="1">
        <f>Table1[Profit]/Table1[Total_Sales]</f>
        <v>-0.49788135593220345</v>
      </c>
      <c r="R1659" s="14">
        <f>Table1[Total_Sales]+Table1[Shipping_Cost]</f>
        <v>18.86</v>
      </c>
    </row>
    <row r="1660" spans="1:18" x14ac:dyDescent="0.35">
      <c r="A1660" s="3" t="s">
        <v>3076</v>
      </c>
      <c r="B1660" s="2">
        <v>45844</v>
      </c>
      <c r="C1660" s="1" t="s">
        <v>1322</v>
      </c>
      <c r="D1660" s="1" t="s">
        <v>30</v>
      </c>
      <c r="E1660" s="1" t="s">
        <v>166</v>
      </c>
      <c r="F1660" s="1" t="s">
        <v>60</v>
      </c>
      <c r="G1660" s="1" t="s">
        <v>20</v>
      </c>
      <c r="H1660" s="1" t="s">
        <v>175</v>
      </c>
      <c r="I1660" s="1">
        <v>4</v>
      </c>
      <c r="J1660" s="1">
        <v>16.22</v>
      </c>
      <c r="K1660" s="1">
        <v>25</v>
      </c>
      <c r="L1660" s="1">
        <v>48.66</v>
      </c>
      <c r="M1660" s="1">
        <v>16.63</v>
      </c>
      <c r="N1660" s="1">
        <v>-3.65</v>
      </c>
      <c r="O1660" s="6" t="s">
        <v>39</v>
      </c>
      <c r="P1660" s="8">
        <f>Table1[Quantity]*Table1[Unit_Price]</f>
        <v>64.88</v>
      </c>
      <c r="Q1660" s="1">
        <f>Table1[Profit]/Table1[Total_Sales]</f>
        <v>-7.5010275380189076E-2</v>
      </c>
      <c r="R1660" s="14">
        <f>Table1[Total_Sales]+Table1[Shipping_Cost]</f>
        <v>65.289999999999992</v>
      </c>
    </row>
    <row r="1661" spans="1:18" x14ac:dyDescent="0.35">
      <c r="A1661" s="3" t="s">
        <v>3077</v>
      </c>
      <c r="B1661" s="2">
        <v>45844</v>
      </c>
      <c r="C1661" s="1" t="s">
        <v>3078</v>
      </c>
      <c r="D1661" s="1" t="s">
        <v>30</v>
      </c>
      <c r="E1661" s="1" t="s">
        <v>138</v>
      </c>
      <c r="F1661" s="1" t="s">
        <v>54</v>
      </c>
      <c r="G1661" s="1" t="s">
        <v>42</v>
      </c>
      <c r="H1661" s="1" t="s">
        <v>118</v>
      </c>
      <c r="I1661" s="1">
        <v>6</v>
      </c>
      <c r="J1661" s="1">
        <v>75.930000000000007</v>
      </c>
      <c r="K1661" s="1">
        <v>5</v>
      </c>
      <c r="L1661" s="1">
        <v>432.8</v>
      </c>
      <c r="M1661" s="1">
        <v>17.420000000000002</v>
      </c>
      <c r="N1661" s="1">
        <v>142.03</v>
      </c>
      <c r="O1661" s="6" t="s">
        <v>39</v>
      </c>
      <c r="P1661" s="8">
        <f>Table1[Quantity]*Table1[Unit_Price]</f>
        <v>455.58000000000004</v>
      </c>
      <c r="Q1661" s="1">
        <f>Table1[Profit]/Table1[Total_Sales]</f>
        <v>0.32816543438077633</v>
      </c>
      <c r="R1661" s="14">
        <f>Table1[Total_Sales]+Table1[Shipping_Cost]</f>
        <v>450.22</v>
      </c>
    </row>
    <row r="1662" spans="1:18" x14ac:dyDescent="0.35">
      <c r="A1662" s="3" t="s">
        <v>3079</v>
      </c>
      <c r="B1662" s="2">
        <v>45845</v>
      </c>
      <c r="C1662" s="1" t="s">
        <v>3080</v>
      </c>
      <c r="D1662" s="1" t="s">
        <v>30</v>
      </c>
      <c r="E1662" s="1" t="s">
        <v>166</v>
      </c>
      <c r="F1662" s="1" t="s">
        <v>60</v>
      </c>
      <c r="G1662" s="1" t="s">
        <v>32</v>
      </c>
      <c r="H1662" s="1" t="s">
        <v>50</v>
      </c>
      <c r="I1662" s="1">
        <v>5</v>
      </c>
      <c r="J1662" s="1">
        <v>10.74</v>
      </c>
      <c r="K1662" s="1">
        <v>5</v>
      </c>
      <c r="L1662" s="1">
        <v>51.02</v>
      </c>
      <c r="M1662" s="1">
        <v>15.88</v>
      </c>
      <c r="N1662" s="1">
        <v>10.97</v>
      </c>
      <c r="O1662" s="6" t="s">
        <v>39</v>
      </c>
      <c r="P1662" s="8">
        <f>Table1[Quantity]*Table1[Unit_Price]</f>
        <v>53.7</v>
      </c>
      <c r="Q1662" s="1">
        <f>Table1[Profit]/Table1[Total_Sales]</f>
        <v>0.21501372010976089</v>
      </c>
      <c r="R1662" s="14">
        <f>Table1[Total_Sales]+Table1[Shipping_Cost]</f>
        <v>66.900000000000006</v>
      </c>
    </row>
    <row r="1663" spans="1:18" x14ac:dyDescent="0.35">
      <c r="A1663" s="3" t="s">
        <v>3081</v>
      </c>
      <c r="B1663" s="2">
        <v>45845</v>
      </c>
      <c r="C1663" s="1" t="s">
        <v>3040</v>
      </c>
      <c r="D1663" s="1" t="s">
        <v>30</v>
      </c>
      <c r="E1663" s="1" t="s">
        <v>85</v>
      </c>
      <c r="F1663" s="1" t="s">
        <v>60</v>
      </c>
      <c r="G1663" s="1" t="s">
        <v>69</v>
      </c>
      <c r="H1663" s="1" t="s">
        <v>160</v>
      </c>
      <c r="I1663" s="1">
        <v>3</v>
      </c>
      <c r="J1663" s="1">
        <v>13.01</v>
      </c>
      <c r="K1663" s="1">
        <v>0</v>
      </c>
      <c r="L1663" s="1">
        <v>39.03</v>
      </c>
      <c r="M1663" s="1">
        <v>14.95</v>
      </c>
      <c r="N1663" s="1">
        <v>4.57</v>
      </c>
      <c r="O1663" s="6" t="s">
        <v>39</v>
      </c>
      <c r="P1663" s="8">
        <f>Table1[Quantity]*Table1[Unit_Price]</f>
        <v>39.03</v>
      </c>
      <c r="Q1663" s="1">
        <f>Table1[Profit]/Table1[Total_Sales]</f>
        <v>0.11708941839610557</v>
      </c>
      <c r="R1663" s="14">
        <f>Table1[Total_Sales]+Table1[Shipping_Cost]</f>
        <v>53.980000000000004</v>
      </c>
    </row>
    <row r="1664" spans="1:18" x14ac:dyDescent="0.35">
      <c r="A1664" s="3" t="s">
        <v>3082</v>
      </c>
      <c r="B1664" s="2">
        <v>45846</v>
      </c>
      <c r="C1664" s="1" t="s">
        <v>1848</v>
      </c>
      <c r="D1664" s="1" t="s">
        <v>49</v>
      </c>
      <c r="E1664" s="1" t="s">
        <v>92</v>
      </c>
      <c r="F1664" s="1" t="s">
        <v>60</v>
      </c>
      <c r="G1664" s="1" t="s">
        <v>32</v>
      </c>
      <c r="H1664" s="1" t="s">
        <v>132</v>
      </c>
      <c r="I1664" s="1">
        <v>12</v>
      </c>
      <c r="J1664" s="1">
        <v>15.36</v>
      </c>
      <c r="K1664" s="1">
        <v>5</v>
      </c>
      <c r="L1664" s="1">
        <v>175.1</v>
      </c>
      <c r="M1664" s="1">
        <v>38.299999999999997</v>
      </c>
      <c r="N1664" s="1">
        <v>53.86</v>
      </c>
      <c r="O1664" s="6" t="s">
        <v>34</v>
      </c>
      <c r="P1664" s="8">
        <f>Table1[Quantity]*Table1[Unit_Price]</f>
        <v>184.32</v>
      </c>
      <c r="Q1664" s="1">
        <f>Table1[Profit]/Table1[Total_Sales]</f>
        <v>0.30759565962307256</v>
      </c>
      <c r="R1664" s="14">
        <f>Table1[Total_Sales]+Table1[Shipping_Cost]</f>
        <v>213.39999999999998</v>
      </c>
    </row>
    <row r="1665" spans="1:18" x14ac:dyDescent="0.35">
      <c r="A1665" s="3" t="s">
        <v>3083</v>
      </c>
      <c r="B1665" s="2">
        <v>45846</v>
      </c>
      <c r="C1665" s="1" t="s">
        <v>3084</v>
      </c>
      <c r="D1665" s="1" t="s">
        <v>30</v>
      </c>
      <c r="E1665" s="1" t="s">
        <v>85</v>
      </c>
      <c r="F1665" s="1" t="s">
        <v>60</v>
      </c>
      <c r="G1665" s="1" t="s">
        <v>20</v>
      </c>
      <c r="H1665" s="1" t="s">
        <v>27</v>
      </c>
      <c r="I1665" s="1">
        <v>1</v>
      </c>
      <c r="J1665" s="1">
        <v>59.17</v>
      </c>
      <c r="K1665" s="1">
        <v>0</v>
      </c>
      <c r="L1665" s="1">
        <v>59.17</v>
      </c>
      <c r="M1665" s="1">
        <v>11.08</v>
      </c>
      <c r="N1665" s="1">
        <v>15.55</v>
      </c>
      <c r="O1665" s="6" t="s">
        <v>34</v>
      </c>
      <c r="P1665" s="8">
        <f>Table1[Quantity]*Table1[Unit_Price]</f>
        <v>59.17</v>
      </c>
      <c r="Q1665" s="1">
        <f>Table1[Profit]/Table1[Total_Sales]</f>
        <v>0.26280209565658275</v>
      </c>
      <c r="R1665" s="14">
        <f>Table1[Total_Sales]+Table1[Shipping_Cost]</f>
        <v>70.25</v>
      </c>
    </row>
    <row r="1666" spans="1:18" x14ac:dyDescent="0.35">
      <c r="A1666" s="3" t="s">
        <v>3085</v>
      </c>
      <c r="B1666" s="2">
        <v>45848</v>
      </c>
      <c r="C1666" s="1" t="s">
        <v>3086</v>
      </c>
      <c r="D1666" s="1" t="s">
        <v>30</v>
      </c>
      <c r="E1666" s="1" t="s">
        <v>135</v>
      </c>
      <c r="F1666" s="1" t="s">
        <v>26</v>
      </c>
      <c r="G1666" s="1" t="s">
        <v>69</v>
      </c>
      <c r="H1666" s="1" t="s">
        <v>243</v>
      </c>
      <c r="I1666" s="1">
        <v>2</v>
      </c>
      <c r="J1666" s="1">
        <v>40.96</v>
      </c>
      <c r="K1666" s="1">
        <v>0</v>
      </c>
      <c r="L1666" s="1">
        <v>81.92</v>
      </c>
      <c r="M1666" s="1">
        <v>8.07</v>
      </c>
      <c r="N1666" s="1">
        <v>32.89</v>
      </c>
      <c r="O1666" s="6" t="s">
        <v>34</v>
      </c>
      <c r="P1666" s="8">
        <f>Table1[Quantity]*Table1[Unit_Price]</f>
        <v>81.92</v>
      </c>
      <c r="Q1666" s="1">
        <f>Table1[Profit]/Table1[Total_Sales]</f>
        <v>0.4014892578125</v>
      </c>
      <c r="R1666" s="14">
        <f>Table1[Total_Sales]+Table1[Shipping_Cost]</f>
        <v>89.990000000000009</v>
      </c>
    </row>
    <row r="1667" spans="1:18" x14ac:dyDescent="0.35">
      <c r="A1667" s="3" t="s">
        <v>3087</v>
      </c>
      <c r="B1667" s="2">
        <v>45850</v>
      </c>
      <c r="C1667" s="1" t="s">
        <v>3088</v>
      </c>
      <c r="D1667" s="1" t="s">
        <v>17</v>
      </c>
      <c r="E1667" s="1" t="s">
        <v>67</v>
      </c>
      <c r="F1667" s="1" t="s">
        <v>68</v>
      </c>
      <c r="G1667" s="1" t="s">
        <v>42</v>
      </c>
      <c r="H1667" s="1" t="s">
        <v>64</v>
      </c>
      <c r="I1667" s="1">
        <v>1</v>
      </c>
      <c r="J1667" s="1">
        <v>117.46</v>
      </c>
      <c r="K1667" s="1">
        <v>10</v>
      </c>
      <c r="L1667" s="1">
        <v>105.71</v>
      </c>
      <c r="M1667" s="1">
        <v>11.69</v>
      </c>
      <c r="N1667" s="1">
        <v>23.54</v>
      </c>
      <c r="O1667" s="6" t="s">
        <v>39</v>
      </c>
      <c r="P1667" s="8">
        <f>Table1[Quantity]*Table1[Unit_Price]</f>
        <v>117.46</v>
      </c>
      <c r="Q1667" s="1">
        <f>Table1[Profit]/Table1[Total_Sales]</f>
        <v>0.22268470343392299</v>
      </c>
      <c r="R1667" s="14">
        <f>Table1[Total_Sales]+Table1[Shipping_Cost]</f>
        <v>117.39999999999999</v>
      </c>
    </row>
    <row r="1668" spans="1:18" x14ac:dyDescent="0.35">
      <c r="A1668" s="3" t="s">
        <v>3089</v>
      </c>
      <c r="B1668" s="2">
        <v>45851</v>
      </c>
      <c r="C1668" s="1" t="s">
        <v>383</v>
      </c>
      <c r="D1668" s="1" t="s">
        <v>17</v>
      </c>
      <c r="E1668" s="1" t="s">
        <v>248</v>
      </c>
      <c r="F1668" s="1" t="s">
        <v>26</v>
      </c>
      <c r="G1668" s="1" t="s">
        <v>42</v>
      </c>
      <c r="H1668" s="1" t="s">
        <v>46</v>
      </c>
      <c r="I1668" s="1">
        <v>4</v>
      </c>
      <c r="J1668" s="1">
        <v>96.5</v>
      </c>
      <c r="K1668" s="1">
        <v>20</v>
      </c>
      <c r="L1668" s="1">
        <v>308.8</v>
      </c>
      <c r="M1668" s="1">
        <v>15.4</v>
      </c>
      <c r="N1668" s="1">
        <v>61.8</v>
      </c>
      <c r="O1668" s="6" t="s">
        <v>34</v>
      </c>
      <c r="P1668" s="8">
        <f>Table1[Quantity]*Table1[Unit_Price]</f>
        <v>386</v>
      </c>
      <c r="Q1668" s="1">
        <f>Table1[Profit]/Table1[Total_Sales]</f>
        <v>0.20012953367875647</v>
      </c>
      <c r="R1668" s="14">
        <f>Table1[Total_Sales]+Table1[Shipping_Cost]</f>
        <v>324.2</v>
      </c>
    </row>
    <row r="1669" spans="1:18" x14ac:dyDescent="0.35">
      <c r="A1669" s="3" t="s">
        <v>3090</v>
      </c>
      <c r="B1669" s="2">
        <v>45851</v>
      </c>
      <c r="C1669" s="1" t="s">
        <v>786</v>
      </c>
      <c r="D1669" s="1" t="s">
        <v>30</v>
      </c>
      <c r="E1669" s="1" t="s">
        <v>248</v>
      </c>
      <c r="F1669" s="1" t="s">
        <v>26</v>
      </c>
      <c r="G1669" s="1" t="s">
        <v>69</v>
      </c>
      <c r="H1669" s="1" t="s">
        <v>196</v>
      </c>
      <c r="I1669" s="1">
        <v>7</v>
      </c>
      <c r="J1669" s="1">
        <v>12.71</v>
      </c>
      <c r="K1669" s="1">
        <v>0</v>
      </c>
      <c r="L1669" s="1">
        <v>88.97</v>
      </c>
      <c r="M1669" s="1">
        <v>11.25</v>
      </c>
      <c r="N1669" s="1">
        <v>33.229999999999997</v>
      </c>
      <c r="O1669" s="6" t="s">
        <v>22</v>
      </c>
      <c r="P1669" s="8">
        <f>Table1[Quantity]*Table1[Unit_Price]</f>
        <v>88.97</v>
      </c>
      <c r="Q1669" s="1">
        <f>Table1[Profit]/Table1[Total_Sales]</f>
        <v>0.37349668427559851</v>
      </c>
      <c r="R1669" s="14">
        <f>Table1[Total_Sales]+Table1[Shipping_Cost]</f>
        <v>100.22</v>
      </c>
    </row>
    <row r="1670" spans="1:18" x14ac:dyDescent="0.35">
      <c r="A1670" s="3" t="s">
        <v>3091</v>
      </c>
      <c r="B1670" s="2">
        <v>45851</v>
      </c>
      <c r="C1670" s="1" t="s">
        <v>3092</v>
      </c>
      <c r="D1670" s="1" t="s">
        <v>30</v>
      </c>
      <c r="E1670" s="1" t="s">
        <v>18</v>
      </c>
      <c r="F1670" s="1" t="s">
        <v>19</v>
      </c>
      <c r="G1670" s="1" t="s">
        <v>69</v>
      </c>
      <c r="H1670" s="1" t="s">
        <v>98</v>
      </c>
      <c r="I1670" s="1">
        <v>5</v>
      </c>
      <c r="J1670" s="1">
        <v>38.49</v>
      </c>
      <c r="K1670" s="1">
        <v>0</v>
      </c>
      <c r="L1670" s="1">
        <v>192.45</v>
      </c>
      <c r="M1670" s="1">
        <v>17.329999999999998</v>
      </c>
      <c r="N1670" s="1">
        <v>78.89</v>
      </c>
      <c r="O1670" s="6" t="s">
        <v>22</v>
      </c>
      <c r="P1670" s="8">
        <f>Table1[Quantity]*Table1[Unit_Price]</f>
        <v>192.45000000000002</v>
      </c>
      <c r="Q1670" s="1">
        <f>Table1[Profit]/Table1[Total_Sales]</f>
        <v>0.40992465575474152</v>
      </c>
      <c r="R1670" s="14">
        <f>Table1[Total_Sales]+Table1[Shipping_Cost]</f>
        <v>209.77999999999997</v>
      </c>
    </row>
    <row r="1671" spans="1:18" x14ac:dyDescent="0.35">
      <c r="A1671" s="3" t="s">
        <v>3093</v>
      </c>
      <c r="B1671" s="2">
        <v>45851</v>
      </c>
      <c r="C1671" s="1" t="s">
        <v>3094</v>
      </c>
      <c r="D1671" s="1" t="s">
        <v>17</v>
      </c>
      <c r="E1671" s="1" t="s">
        <v>248</v>
      </c>
      <c r="F1671" s="1" t="s">
        <v>26</v>
      </c>
      <c r="G1671" s="1" t="s">
        <v>42</v>
      </c>
      <c r="H1671" s="1" t="s">
        <v>89</v>
      </c>
      <c r="I1671" s="1">
        <v>5</v>
      </c>
      <c r="J1671" s="1">
        <v>431.91</v>
      </c>
      <c r="K1671" s="1">
        <v>5</v>
      </c>
      <c r="L1671" s="1">
        <v>2051.5700000000002</v>
      </c>
      <c r="M1671" s="1">
        <v>9.75</v>
      </c>
      <c r="N1671" s="1">
        <v>746.09</v>
      </c>
      <c r="O1671" s="6" t="s">
        <v>56</v>
      </c>
      <c r="P1671" s="8">
        <f>Table1[Quantity]*Table1[Unit_Price]</f>
        <v>2159.5500000000002</v>
      </c>
      <c r="Q1671" s="1">
        <f>Table1[Profit]/Table1[Total_Sales]</f>
        <v>0.3636678251290475</v>
      </c>
      <c r="R1671" s="14">
        <f>Table1[Total_Sales]+Table1[Shipping_Cost]</f>
        <v>2061.3200000000002</v>
      </c>
    </row>
    <row r="1672" spans="1:18" x14ac:dyDescent="0.35">
      <c r="A1672" s="3" t="s">
        <v>3095</v>
      </c>
      <c r="B1672" s="2">
        <v>45852</v>
      </c>
      <c r="C1672" s="1" t="s">
        <v>3096</v>
      </c>
      <c r="D1672" s="1" t="s">
        <v>17</v>
      </c>
      <c r="E1672" s="1" t="s">
        <v>53</v>
      </c>
      <c r="F1672" s="1" t="s">
        <v>54</v>
      </c>
      <c r="G1672" s="1" t="s">
        <v>69</v>
      </c>
      <c r="H1672" s="1" t="s">
        <v>70</v>
      </c>
      <c r="I1672" s="1">
        <v>3</v>
      </c>
      <c r="J1672" s="1">
        <v>46.07</v>
      </c>
      <c r="K1672" s="1">
        <v>0</v>
      </c>
      <c r="L1672" s="1">
        <v>138.21</v>
      </c>
      <c r="M1672" s="1">
        <v>14.18</v>
      </c>
      <c r="N1672" s="1">
        <v>54.93</v>
      </c>
      <c r="O1672" s="6" t="s">
        <v>56</v>
      </c>
      <c r="P1672" s="8">
        <f>Table1[Quantity]*Table1[Unit_Price]</f>
        <v>138.21</v>
      </c>
      <c r="Q1672" s="1">
        <f>Table1[Profit]/Table1[Total_Sales]</f>
        <v>0.39743868026915563</v>
      </c>
      <c r="R1672" s="14">
        <f>Table1[Total_Sales]+Table1[Shipping_Cost]</f>
        <v>152.39000000000001</v>
      </c>
    </row>
    <row r="1673" spans="1:18" x14ac:dyDescent="0.35">
      <c r="A1673" s="3" t="s">
        <v>3097</v>
      </c>
      <c r="B1673" s="2">
        <v>45852</v>
      </c>
      <c r="C1673" s="1" t="s">
        <v>3098</v>
      </c>
      <c r="D1673" s="1" t="s">
        <v>30</v>
      </c>
      <c r="E1673" s="1" t="s">
        <v>135</v>
      </c>
      <c r="F1673" s="1" t="s">
        <v>26</v>
      </c>
      <c r="G1673" s="1" t="s">
        <v>69</v>
      </c>
      <c r="H1673" s="1" t="s">
        <v>70</v>
      </c>
      <c r="I1673" s="1">
        <v>2</v>
      </c>
      <c r="J1673" s="1">
        <v>15.72</v>
      </c>
      <c r="K1673" s="1">
        <v>10</v>
      </c>
      <c r="L1673" s="1">
        <v>28.3</v>
      </c>
      <c r="M1673" s="1">
        <v>9.1999999999999993</v>
      </c>
      <c r="N1673" s="1">
        <v>3.38</v>
      </c>
      <c r="O1673" s="6" t="s">
        <v>22</v>
      </c>
      <c r="P1673" s="8">
        <f>Table1[Quantity]*Table1[Unit_Price]</f>
        <v>31.44</v>
      </c>
      <c r="Q1673" s="1">
        <f>Table1[Profit]/Table1[Total_Sales]</f>
        <v>0.11943462897526501</v>
      </c>
      <c r="R1673" s="14">
        <f>Table1[Total_Sales]+Table1[Shipping_Cost]</f>
        <v>37.5</v>
      </c>
    </row>
    <row r="1674" spans="1:18" x14ac:dyDescent="0.35">
      <c r="A1674" s="3" t="s">
        <v>3099</v>
      </c>
      <c r="B1674" s="2">
        <v>45853</v>
      </c>
      <c r="C1674" s="1" t="s">
        <v>3100</v>
      </c>
      <c r="D1674" s="1" t="s">
        <v>30</v>
      </c>
      <c r="E1674" s="1" t="s">
        <v>37</v>
      </c>
      <c r="F1674" s="1" t="s">
        <v>26</v>
      </c>
      <c r="G1674" s="1" t="s">
        <v>42</v>
      </c>
      <c r="H1674" s="1" t="s">
        <v>234</v>
      </c>
      <c r="I1674" s="1">
        <v>4</v>
      </c>
      <c r="J1674" s="1">
        <v>27.46</v>
      </c>
      <c r="K1674" s="1">
        <v>0</v>
      </c>
      <c r="L1674" s="1">
        <v>109.84</v>
      </c>
      <c r="M1674" s="1">
        <v>11.74</v>
      </c>
      <c r="N1674" s="1">
        <v>32.200000000000003</v>
      </c>
      <c r="O1674" s="6" t="s">
        <v>34</v>
      </c>
      <c r="P1674" s="8">
        <f>Table1[Quantity]*Table1[Unit_Price]</f>
        <v>109.84</v>
      </c>
      <c r="Q1674" s="1">
        <f>Table1[Profit]/Table1[Total_Sales]</f>
        <v>0.29315367807720322</v>
      </c>
      <c r="R1674" s="14">
        <f>Table1[Total_Sales]+Table1[Shipping_Cost]</f>
        <v>121.58</v>
      </c>
    </row>
    <row r="1675" spans="1:18" x14ac:dyDescent="0.35">
      <c r="A1675" s="3" t="s">
        <v>3101</v>
      </c>
      <c r="B1675" s="2">
        <v>45853</v>
      </c>
      <c r="C1675" s="1" t="s">
        <v>2219</v>
      </c>
      <c r="D1675" s="1" t="s">
        <v>17</v>
      </c>
      <c r="E1675" s="1" t="s">
        <v>76</v>
      </c>
      <c r="F1675" s="1" t="s">
        <v>26</v>
      </c>
      <c r="G1675" s="1" t="s">
        <v>42</v>
      </c>
      <c r="H1675" s="1" t="s">
        <v>43</v>
      </c>
      <c r="I1675" s="1">
        <v>1</v>
      </c>
      <c r="J1675" s="1">
        <v>239.62</v>
      </c>
      <c r="K1675" s="1">
        <v>15</v>
      </c>
      <c r="L1675" s="1">
        <v>203.68</v>
      </c>
      <c r="M1675" s="1">
        <v>9.4</v>
      </c>
      <c r="N1675" s="1">
        <v>50.51</v>
      </c>
      <c r="O1675" s="6" t="s">
        <v>34</v>
      </c>
      <c r="P1675" s="8">
        <f>Table1[Quantity]*Table1[Unit_Price]</f>
        <v>239.62</v>
      </c>
      <c r="Q1675" s="1">
        <f>Table1[Profit]/Table1[Total_Sales]</f>
        <v>0.24798703849175174</v>
      </c>
      <c r="R1675" s="14">
        <f>Table1[Total_Sales]+Table1[Shipping_Cost]</f>
        <v>213.08</v>
      </c>
    </row>
    <row r="1676" spans="1:18" x14ac:dyDescent="0.35">
      <c r="A1676" s="3" t="s">
        <v>3102</v>
      </c>
      <c r="B1676" s="2">
        <v>45853</v>
      </c>
      <c r="C1676" s="1" t="s">
        <v>477</v>
      </c>
      <c r="D1676" s="1" t="s">
        <v>30</v>
      </c>
      <c r="E1676" s="1" t="s">
        <v>248</v>
      </c>
      <c r="F1676" s="1" t="s">
        <v>26</v>
      </c>
      <c r="G1676" s="1" t="s">
        <v>42</v>
      </c>
      <c r="H1676" s="1" t="s">
        <v>255</v>
      </c>
      <c r="I1676" s="1">
        <v>2</v>
      </c>
      <c r="J1676" s="1">
        <v>59.54</v>
      </c>
      <c r="K1676" s="1">
        <v>5</v>
      </c>
      <c r="L1676" s="1">
        <v>113.13</v>
      </c>
      <c r="M1676" s="1">
        <v>9.4600000000000009</v>
      </c>
      <c r="N1676" s="1">
        <v>32.22</v>
      </c>
      <c r="O1676" s="6" t="s">
        <v>34</v>
      </c>
      <c r="P1676" s="8">
        <f>Table1[Quantity]*Table1[Unit_Price]</f>
        <v>119.08</v>
      </c>
      <c r="Q1676" s="1">
        <f>Table1[Profit]/Table1[Total_Sales]</f>
        <v>0.28480509148766908</v>
      </c>
      <c r="R1676" s="14">
        <f>Table1[Total_Sales]+Table1[Shipping_Cost]</f>
        <v>122.59</v>
      </c>
    </row>
    <row r="1677" spans="1:18" x14ac:dyDescent="0.35">
      <c r="A1677" s="3" t="s">
        <v>3103</v>
      </c>
      <c r="B1677" s="2">
        <v>45853</v>
      </c>
      <c r="C1677" s="1" t="s">
        <v>2807</v>
      </c>
      <c r="D1677" s="1" t="s">
        <v>30</v>
      </c>
      <c r="E1677" s="1" t="s">
        <v>25</v>
      </c>
      <c r="F1677" s="1" t="s">
        <v>26</v>
      </c>
      <c r="G1677" s="1" t="s">
        <v>42</v>
      </c>
      <c r="H1677" s="1" t="s">
        <v>64</v>
      </c>
      <c r="I1677" s="1">
        <v>1</v>
      </c>
      <c r="J1677" s="1">
        <v>77.09</v>
      </c>
      <c r="K1677" s="1">
        <v>5</v>
      </c>
      <c r="L1677" s="1">
        <v>73.239999999999995</v>
      </c>
      <c r="M1677" s="1">
        <v>9.2799999999999994</v>
      </c>
      <c r="N1677" s="1">
        <v>17.71</v>
      </c>
      <c r="O1677" s="6" t="s">
        <v>39</v>
      </c>
      <c r="P1677" s="8">
        <f>Table1[Quantity]*Table1[Unit_Price]</f>
        <v>77.09</v>
      </c>
      <c r="Q1677" s="1">
        <f>Table1[Profit]/Table1[Total_Sales]</f>
        <v>0.24180775532495907</v>
      </c>
      <c r="R1677" s="14">
        <f>Table1[Total_Sales]+Table1[Shipping_Cost]</f>
        <v>82.52</v>
      </c>
    </row>
    <row r="1678" spans="1:18" x14ac:dyDescent="0.35">
      <c r="A1678" s="3" t="s">
        <v>3104</v>
      </c>
      <c r="B1678" s="2">
        <v>45854</v>
      </c>
      <c r="C1678" s="1" t="s">
        <v>1246</v>
      </c>
      <c r="D1678" s="1" t="s">
        <v>30</v>
      </c>
      <c r="E1678" s="1" t="s">
        <v>109</v>
      </c>
      <c r="F1678" s="1" t="s">
        <v>54</v>
      </c>
      <c r="G1678" s="1" t="s">
        <v>20</v>
      </c>
      <c r="H1678" s="1" t="s">
        <v>175</v>
      </c>
      <c r="I1678" s="1">
        <v>12</v>
      </c>
      <c r="J1678" s="1">
        <v>29.22</v>
      </c>
      <c r="K1678" s="1">
        <v>20</v>
      </c>
      <c r="L1678" s="1">
        <v>280.51</v>
      </c>
      <c r="M1678" s="1">
        <v>32.57</v>
      </c>
      <c r="N1678" s="1">
        <v>55.09</v>
      </c>
      <c r="O1678" s="6" t="s">
        <v>39</v>
      </c>
      <c r="P1678" s="8">
        <f>Table1[Quantity]*Table1[Unit_Price]</f>
        <v>350.64</v>
      </c>
      <c r="Q1678" s="1">
        <f>Table1[Profit]/Table1[Total_Sales]</f>
        <v>0.19639228548001855</v>
      </c>
      <c r="R1678" s="14">
        <f>Table1[Total_Sales]+Table1[Shipping_Cost]</f>
        <v>313.08</v>
      </c>
    </row>
    <row r="1679" spans="1:18" x14ac:dyDescent="0.35">
      <c r="A1679" s="3" t="s">
        <v>3105</v>
      </c>
      <c r="B1679" s="2">
        <v>45854</v>
      </c>
      <c r="C1679" s="1" t="s">
        <v>3106</v>
      </c>
      <c r="D1679" s="1" t="s">
        <v>30</v>
      </c>
      <c r="E1679" s="1" t="s">
        <v>85</v>
      </c>
      <c r="F1679" s="1" t="s">
        <v>60</v>
      </c>
      <c r="G1679" s="1" t="s">
        <v>69</v>
      </c>
      <c r="H1679" s="1" t="s">
        <v>79</v>
      </c>
      <c r="I1679" s="1">
        <v>2</v>
      </c>
      <c r="J1679" s="1">
        <v>94.59</v>
      </c>
      <c r="K1679" s="1">
        <v>10</v>
      </c>
      <c r="L1679" s="1">
        <v>170.26</v>
      </c>
      <c r="M1679" s="1">
        <v>12.29</v>
      </c>
      <c r="N1679" s="1">
        <v>63.38</v>
      </c>
      <c r="O1679" s="6" t="s">
        <v>22</v>
      </c>
      <c r="P1679" s="8">
        <f>Table1[Quantity]*Table1[Unit_Price]</f>
        <v>189.18</v>
      </c>
      <c r="Q1679" s="1">
        <f>Table1[Profit]/Table1[Total_Sales]</f>
        <v>0.37225419945964999</v>
      </c>
      <c r="R1679" s="14">
        <f>Table1[Total_Sales]+Table1[Shipping_Cost]</f>
        <v>182.54999999999998</v>
      </c>
    </row>
    <row r="1680" spans="1:18" x14ac:dyDescent="0.35">
      <c r="A1680" s="3" t="s">
        <v>3107</v>
      </c>
      <c r="B1680" s="2">
        <v>45854</v>
      </c>
      <c r="C1680" s="1" t="s">
        <v>3108</v>
      </c>
      <c r="D1680" s="1" t="s">
        <v>17</v>
      </c>
      <c r="E1680" s="1" t="s">
        <v>85</v>
      </c>
      <c r="F1680" s="1" t="s">
        <v>60</v>
      </c>
      <c r="G1680" s="1" t="s">
        <v>32</v>
      </c>
      <c r="H1680" s="1" t="s">
        <v>82</v>
      </c>
      <c r="I1680" s="1">
        <v>2</v>
      </c>
      <c r="J1680" s="1">
        <v>22.61</v>
      </c>
      <c r="K1680" s="1">
        <v>20</v>
      </c>
      <c r="L1680" s="1">
        <v>36.18</v>
      </c>
      <c r="M1680" s="1">
        <v>11.67</v>
      </c>
      <c r="N1680" s="1">
        <v>4.16</v>
      </c>
      <c r="O1680" s="6" t="s">
        <v>39</v>
      </c>
      <c r="P1680" s="8">
        <f>Table1[Quantity]*Table1[Unit_Price]</f>
        <v>45.22</v>
      </c>
      <c r="Q1680" s="1">
        <f>Table1[Profit]/Table1[Total_Sales]</f>
        <v>0.11498065229408513</v>
      </c>
      <c r="R1680" s="14">
        <f>Table1[Total_Sales]+Table1[Shipping_Cost]</f>
        <v>47.85</v>
      </c>
    </row>
    <row r="1681" spans="1:18" x14ac:dyDescent="0.35">
      <c r="A1681" s="3" t="s">
        <v>3109</v>
      </c>
      <c r="B1681" s="2">
        <v>45855</v>
      </c>
      <c r="C1681" s="1" t="s">
        <v>2629</v>
      </c>
      <c r="D1681" s="1" t="s">
        <v>30</v>
      </c>
      <c r="E1681" s="1" t="s">
        <v>129</v>
      </c>
      <c r="F1681" s="1" t="s">
        <v>19</v>
      </c>
      <c r="G1681" s="1" t="s">
        <v>42</v>
      </c>
      <c r="H1681" s="1" t="s">
        <v>43</v>
      </c>
      <c r="I1681" s="1">
        <v>2</v>
      </c>
      <c r="J1681" s="1">
        <v>178.14</v>
      </c>
      <c r="K1681" s="1">
        <v>0</v>
      </c>
      <c r="L1681" s="1">
        <v>356.28</v>
      </c>
      <c r="M1681" s="1">
        <v>9.81</v>
      </c>
      <c r="N1681" s="1">
        <v>132.69999999999999</v>
      </c>
      <c r="O1681" s="6" t="s">
        <v>39</v>
      </c>
      <c r="P1681" s="8">
        <f>Table1[Quantity]*Table1[Unit_Price]</f>
        <v>356.28</v>
      </c>
      <c r="Q1681" s="1">
        <f>Table1[Profit]/Table1[Total_Sales]</f>
        <v>0.37245986302907824</v>
      </c>
      <c r="R1681" s="14">
        <f>Table1[Total_Sales]+Table1[Shipping_Cost]</f>
        <v>366.09</v>
      </c>
    </row>
    <row r="1682" spans="1:18" x14ac:dyDescent="0.35">
      <c r="A1682" s="3" t="s">
        <v>3110</v>
      </c>
      <c r="B1682" s="2">
        <v>45855</v>
      </c>
      <c r="C1682" s="1" t="s">
        <v>3111</v>
      </c>
      <c r="D1682" s="1" t="s">
        <v>17</v>
      </c>
      <c r="E1682" s="1" t="s">
        <v>85</v>
      </c>
      <c r="F1682" s="1" t="s">
        <v>60</v>
      </c>
      <c r="G1682" s="1" t="s">
        <v>42</v>
      </c>
      <c r="H1682" s="1" t="s">
        <v>294</v>
      </c>
      <c r="I1682" s="1">
        <v>4</v>
      </c>
      <c r="J1682" s="1">
        <v>274.79000000000002</v>
      </c>
      <c r="K1682" s="1">
        <v>5</v>
      </c>
      <c r="L1682" s="1">
        <v>1044.2</v>
      </c>
      <c r="M1682" s="1">
        <v>18.5</v>
      </c>
      <c r="N1682" s="1">
        <v>366.2</v>
      </c>
      <c r="O1682" s="6" t="s">
        <v>56</v>
      </c>
      <c r="P1682" s="8">
        <f>Table1[Quantity]*Table1[Unit_Price]</f>
        <v>1099.1600000000001</v>
      </c>
      <c r="Q1682" s="1">
        <f>Table1[Profit]/Table1[Total_Sales]</f>
        <v>0.35069909978931235</v>
      </c>
      <c r="R1682" s="14">
        <f>Table1[Total_Sales]+Table1[Shipping_Cost]</f>
        <v>1062.7</v>
      </c>
    </row>
    <row r="1683" spans="1:18" x14ac:dyDescent="0.35">
      <c r="A1683" s="3" t="s">
        <v>3112</v>
      </c>
      <c r="B1683" s="2">
        <v>45856</v>
      </c>
      <c r="C1683" s="1" t="s">
        <v>3113</v>
      </c>
      <c r="D1683" s="1" t="s">
        <v>17</v>
      </c>
      <c r="E1683" s="1" t="s">
        <v>129</v>
      </c>
      <c r="F1683" s="1" t="s">
        <v>19</v>
      </c>
      <c r="G1683" s="1" t="s">
        <v>42</v>
      </c>
      <c r="H1683" s="1" t="s">
        <v>255</v>
      </c>
      <c r="I1683" s="1">
        <v>2</v>
      </c>
      <c r="J1683" s="1">
        <v>29.02</v>
      </c>
      <c r="K1683" s="1">
        <v>25</v>
      </c>
      <c r="L1683" s="1">
        <v>43.53</v>
      </c>
      <c r="M1683" s="1">
        <v>8.3800000000000008</v>
      </c>
      <c r="N1683" s="1">
        <v>0.33</v>
      </c>
      <c r="O1683" s="6" t="s">
        <v>22</v>
      </c>
      <c r="P1683" s="8">
        <f>Table1[Quantity]*Table1[Unit_Price]</f>
        <v>58.04</v>
      </c>
      <c r="Q1683" s="1">
        <f>Table1[Profit]/Table1[Total_Sales]</f>
        <v>7.5809786354238459E-3</v>
      </c>
      <c r="R1683" s="14">
        <f>Table1[Total_Sales]+Table1[Shipping_Cost]</f>
        <v>51.910000000000004</v>
      </c>
    </row>
    <row r="1684" spans="1:18" x14ac:dyDescent="0.35">
      <c r="A1684" s="3" t="s">
        <v>3114</v>
      </c>
      <c r="B1684" s="2">
        <v>45856</v>
      </c>
      <c r="C1684" s="1" t="s">
        <v>3115</v>
      </c>
      <c r="D1684" s="1" t="s">
        <v>17</v>
      </c>
      <c r="E1684" s="1" t="s">
        <v>31</v>
      </c>
      <c r="F1684" s="1" t="s">
        <v>19</v>
      </c>
      <c r="G1684" s="1" t="s">
        <v>20</v>
      </c>
      <c r="H1684" s="1" t="s">
        <v>27</v>
      </c>
      <c r="I1684" s="1">
        <v>7</v>
      </c>
      <c r="J1684" s="1">
        <v>143.11000000000001</v>
      </c>
      <c r="K1684" s="1">
        <v>25</v>
      </c>
      <c r="L1684" s="1">
        <v>751.33</v>
      </c>
      <c r="M1684" s="1">
        <v>19.7</v>
      </c>
      <c r="N1684" s="1">
        <v>180.66</v>
      </c>
      <c r="O1684" s="6" t="s">
        <v>39</v>
      </c>
      <c r="P1684" s="8">
        <f>Table1[Quantity]*Table1[Unit_Price]</f>
        <v>1001.7700000000001</v>
      </c>
      <c r="Q1684" s="1">
        <f>Table1[Profit]/Table1[Total_Sales]</f>
        <v>0.24045359562376051</v>
      </c>
      <c r="R1684" s="14">
        <f>Table1[Total_Sales]+Table1[Shipping_Cost]</f>
        <v>771.03000000000009</v>
      </c>
    </row>
    <row r="1685" spans="1:18" x14ac:dyDescent="0.35">
      <c r="A1685" s="3" t="s">
        <v>3116</v>
      </c>
      <c r="B1685" s="2">
        <v>45857</v>
      </c>
      <c r="C1685" s="1" t="s">
        <v>797</v>
      </c>
      <c r="D1685" s="1" t="s">
        <v>30</v>
      </c>
      <c r="E1685" s="1" t="s">
        <v>76</v>
      </c>
      <c r="F1685" s="1" t="s">
        <v>26</v>
      </c>
      <c r="G1685" s="1" t="s">
        <v>69</v>
      </c>
      <c r="H1685" s="1" t="s">
        <v>86</v>
      </c>
      <c r="I1685" s="1">
        <v>8</v>
      </c>
      <c r="J1685" s="1">
        <v>94.55</v>
      </c>
      <c r="K1685" s="1">
        <v>10</v>
      </c>
      <c r="L1685" s="1">
        <v>680.76</v>
      </c>
      <c r="M1685" s="1">
        <v>22.09</v>
      </c>
      <c r="N1685" s="1">
        <v>280.47000000000003</v>
      </c>
      <c r="O1685" s="6" t="s">
        <v>39</v>
      </c>
      <c r="P1685" s="8">
        <f>Table1[Quantity]*Table1[Unit_Price]</f>
        <v>756.4</v>
      </c>
      <c r="Q1685" s="1">
        <f>Table1[Profit]/Table1[Total_Sales]</f>
        <v>0.41199541688700869</v>
      </c>
      <c r="R1685" s="14">
        <f>Table1[Total_Sales]+Table1[Shipping_Cost]</f>
        <v>702.85</v>
      </c>
    </row>
    <row r="1686" spans="1:18" x14ac:dyDescent="0.35">
      <c r="A1686" s="3" t="s">
        <v>3117</v>
      </c>
      <c r="B1686" s="2">
        <v>45857</v>
      </c>
      <c r="C1686" s="1" t="s">
        <v>3118</v>
      </c>
      <c r="D1686" s="1" t="s">
        <v>17</v>
      </c>
      <c r="E1686" s="1" t="s">
        <v>25</v>
      </c>
      <c r="F1686" s="1" t="s">
        <v>26</v>
      </c>
      <c r="G1686" s="1" t="s">
        <v>42</v>
      </c>
      <c r="H1686" s="1" t="s">
        <v>89</v>
      </c>
      <c r="I1686" s="1">
        <v>4</v>
      </c>
      <c r="J1686" s="1">
        <v>367.48</v>
      </c>
      <c r="K1686" s="1">
        <v>10</v>
      </c>
      <c r="L1686" s="1">
        <v>1322.93</v>
      </c>
      <c r="M1686" s="1">
        <v>9.83</v>
      </c>
      <c r="N1686" s="1">
        <v>431.15</v>
      </c>
      <c r="O1686" s="6" t="s">
        <v>34</v>
      </c>
      <c r="P1686" s="8">
        <f>Table1[Quantity]*Table1[Unit_Price]</f>
        <v>1469.92</v>
      </c>
      <c r="Q1686" s="1">
        <f>Table1[Profit]/Table1[Total_Sales]</f>
        <v>0.3259053767017151</v>
      </c>
      <c r="R1686" s="14">
        <f>Table1[Total_Sales]+Table1[Shipping_Cost]</f>
        <v>1332.76</v>
      </c>
    </row>
    <row r="1687" spans="1:18" x14ac:dyDescent="0.35">
      <c r="A1687" s="3" t="s">
        <v>3119</v>
      </c>
      <c r="B1687" s="2">
        <v>45857</v>
      </c>
      <c r="C1687" s="1" t="s">
        <v>3120</v>
      </c>
      <c r="D1687" s="1" t="s">
        <v>30</v>
      </c>
      <c r="E1687" s="1" t="s">
        <v>129</v>
      </c>
      <c r="F1687" s="1" t="s">
        <v>19</v>
      </c>
      <c r="G1687" s="1" t="s">
        <v>42</v>
      </c>
      <c r="H1687" s="1" t="s">
        <v>89</v>
      </c>
      <c r="I1687" s="1">
        <v>2</v>
      </c>
      <c r="J1687" s="1">
        <v>196.01</v>
      </c>
      <c r="K1687" s="1">
        <v>0</v>
      </c>
      <c r="L1687" s="1">
        <v>392.02</v>
      </c>
      <c r="M1687" s="1">
        <v>9.09</v>
      </c>
      <c r="N1687" s="1">
        <v>147.72</v>
      </c>
      <c r="O1687" s="6" t="s">
        <v>34</v>
      </c>
      <c r="P1687" s="8">
        <f>Table1[Quantity]*Table1[Unit_Price]</f>
        <v>392.02</v>
      </c>
      <c r="Q1687" s="1">
        <f>Table1[Profit]/Table1[Total_Sales]</f>
        <v>0.37681750931074948</v>
      </c>
      <c r="R1687" s="14">
        <f>Table1[Total_Sales]+Table1[Shipping_Cost]</f>
        <v>401.10999999999996</v>
      </c>
    </row>
    <row r="1688" spans="1:18" x14ac:dyDescent="0.35">
      <c r="A1688" s="3" t="s">
        <v>3121</v>
      </c>
      <c r="B1688" s="2">
        <v>45857</v>
      </c>
      <c r="C1688" s="1" t="s">
        <v>3122</v>
      </c>
      <c r="D1688" s="1" t="s">
        <v>30</v>
      </c>
      <c r="E1688" s="1" t="s">
        <v>37</v>
      </c>
      <c r="F1688" s="1" t="s">
        <v>26</v>
      </c>
      <c r="G1688" s="1" t="s">
        <v>20</v>
      </c>
      <c r="H1688" s="1" t="s">
        <v>170</v>
      </c>
      <c r="I1688" s="1">
        <v>1</v>
      </c>
      <c r="J1688" s="1">
        <v>44.78</v>
      </c>
      <c r="K1688" s="1">
        <v>10</v>
      </c>
      <c r="L1688" s="1">
        <v>40.299999999999997</v>
      </c>
      <c r="M1688" s="1">
        <v>8.85</v>
      </c>
      <c r="N1688" s="1">
        <v>6.82</v>
      </c>
      <c r="O1688" s="6" t="s">
        <v>22</v>
      </c>
      <c r="P1688" s="8">
        <f>Table1[Quantity]*Table1[Unit_Price]</f>
        <v>44.78</v>
      </c>
      <c r="Q1688" s="1">
        <f>Table1[Profit]/Table1[Total_Sales]</f>
        <v>0.16923076923076924</v>
      </c>
      <c r="R1688" s="14">
        <f>Table1[Total_Sales]+Table1[Shipping_Cost]</f>
        <v>49.15</v>
      </c>
    </row>
    <row r="1689" spans="1:18" x14ac:dyDescent="0.35">
      <c r="A1689" s="3" t="s">
        <v>3123</v>
      </c>
      <c r="B1689" s="2">
        <v>45858</v>
      </c>
      <c r="C1689" s="1" t="s">
        <v>3124</v>
      </c>
      <c r="D1689" s="1" t="s">
        <v>17</v>
      </c>
      <c r="E1689" s="1" t="s">
        <v>166</v>
      </c>
      <c r="F1689" s="1" t="s">
        <v>60</v>
      </c>
      <c r="G1689" s="1" t="s">
        <v>69</v>
      </c>
      <c r="H1689" s="1" t="s">
        <v>98</v>
      </c>
      <c r="I1689" s="1">
        <v>7</v>
      </c>
      <c r="J1689" s="1">
        <v>41.19</v>
      </c>
      <c r="K1689" s="1">
        <v>20</v>
      </c>
      <c r="L1689" s="1">
        <v>230.66</v>
      </c>
      <c r="M1689" s="1">
        <v>13.8</v>
      </c>
      <c r="N1689" s="1">
        <v>72.7</v>
      </c>
      <c r="O1689" s="6" t="s">
        <v>22</v>
      </c>
      <c r="P1689" s="8">
        <f>Table1[Quantity]*Table1[Unit_Price]</f>
        <v>288.33</v>
      </c>
      <c r="Q1689" s="1">
        <f>Table1[Profit]/Table1[Total_Sales]</f>
        <v>0.31518251972600364</v>
      </c>
      <c r="R1689" s="14">
        <f>Table1[Total_Sales]+Table1[Shipping_Cost]</f>
        <v>244.46</v>
      </c>
    </row>
    <row r="1690" spans="1:18" x14ac:dyDescent="0.35">
      <c r="A1690" s="3" t="s">
        <v>3125</v>
      </c>
      <c r="B1690" s="2">
        <v>45858</v>
      </c>
      <c r="C1690" s="1" t="s">
        <v>3126</v>
      </c>
      <c r="D1690" s="1" t="s">
        <v>30</v>
      </c>
      <c r="E1690" s="1" t="s">
        <v>59</v>
      </c>
      <c r="F1690" s="1" t="s">
        <v>60</v>
      </c>
      <c r="G1690" s="1" t="s">
        <v>69</v>
      </c>
      <c r="H1690" s="1" t="s">
        <v>79</v>
      </c>
      <c r="I1690" s="1">
        <v>1</v>
      </c>
      <c r="J1690" s="1">
        <v>30.37</v>
      </c>
      <c r="K1690" s="1">
        <v>5</v>
      </c>
      <c r="L1690" s="1">
        <v>28.85</v>
      </c>
      <c r="M1690" s="1">
        <v>10.62</v>
      </c>
      <c r="N1690" s="1">
        <v>3.05</v>
      </c>
      <c r="O1690" s="6" t="s">
        <v>39</v>
      </c>
      <c r="P1690" s="8">
        <f>Table1[Quantity]*Table1[Unit_Price]</f>
        <v>30.37</v>
      </c>
      <c r="Q1690" s="1">
        <f>Table1[Profit]/Table1[Total_Sales]</f>
        <v>0.10571923743500865</v>
      </c>
      <c r="R1690" s="14">
        <f>Table1[Total_Sales]+Table1[Shipping_Cost]</f>
        <v>39.47</v>
      </c>
    </row>
    <row r="1691" spans="1:18" x14ac:dyDescent="0.35">
      <c r="A1691" s="3" t="s">
        <v>3127</v>
      </c>
      <c r="B1691" s="2">
        <v>45858</v>
      </c>
      <c r="C1691" s="1" t="s">
        <v>3128</v>
      </c>
      <c r="D1691" s="1" t="s">
        <v>30</v>
      </c>
      <c r="E1691" s="1" t="s">
        <v>92</v>
      </c>
      <c r="F1691" s="1" t="s">
        <v>60</v>
      </c>
      <c r="G1691" s="1" t="s">
        <v>20</v>
      </c>
      <c r="H1691" s="1" t="s">
        <v>106</v>
      </c>
      <c r="I1691" s="1">
        <v>1</v>
      </c>
      <c r="J1691" s="1">
        <v>46.12</v>
      </c>
      <c r="K1691" s="1">
        <v>5</v>
      </c>
      <c r="L1691" s="1">
        <v>43.81</v>
      </c>
      <c r="M1691" s="1">
        <v>10.98</v>
      </c>
      <c r="N1691" s="1">
        <v>7.46</v>
      </c>
      <c r="O1691" s="6" t="s">
        <v>34</v>
      </c>
      <c r="P1691" s="8">
        <f>Table1[Quantity]*Table1[Unit_Price]</f>
        <v>46.12</v>
      </c>
      <c r="Q1691" s="1">
        <f>Table1[Profit]/Table1[Total_Sales]</f>
        <v>0.17028075781784979</v>
      </c>
      <c r="R1691" s="14">
        <f>Table1[Total_Sales]+Table1[Shipping_Cost]</f>
        <v>54.790000000000006</v>
      </c>
    </row>
    <row r="1692" spans="1:18" x14ac:dyDescent="0.35">
      <c r="A1692" s="3" t="s">
        <v>3129</v>
      </c>
      <c r="B1692" s="2">
        <v>45858</v>
      </c>
      <c r="C1692" s="1" t="s">
        <v>3130</v>
      </c>
      <c r="D1692" s="1" t="s">
        <v>30</v>
      </c>
      <c r="E1692" s="1" t="s">
        <v>67</v>
      </c>
      <c r="F1692" s="1" t="s">
        <v>68</v>
      </c>
      <c r="G1692" s="1" t="s">
        <v>42</v>
      </c>
      <c r="H1692" s="1" t="s">
        <v>46</v>
      </c>
      <c r="I1692" s="1">
        <v>7</v>
      </c>
      <c r="J1692" s="1">
        <v>123.59</v>
      </c>
      <c r="K1692" s="1">
        <v>0</v>
      </c>
      <c r="L1692" s="1">
        <v>865.13</v>
      </c>
      <c r="M1692" s="1">
        <v>17.52</v>
      </c>
      <c r="N1692" s="1">
        <v>328.53</v>
      </c>
      <c r="O1692" s="6" t="s">
        <v>56</v>
      </c>
      <c r="P1692" s="8">
        <f>Table1[Quantity]*Table1[Unit_Price]</f>
        <v>865.13</v>
      </c>
      <c r="Q1692" s="1">
        <f>Table1[Profit]/Table1[Total_Sales]</f>
        <v>0.37974639649532438</v>
      </c>
      <c r="R1692" s="14">
        <f>Table1[Total_Sales]+Table1[Shipping_Cost]</f>
        <v>882.65</v>
      </c>
    </row>
    <row r="1693" spans="1:18" x14ac:dyDescent="0.35">
      <c r="A1693" s="3" t="s">
        <v>3131</v>
      </c>
      <c r="B1693" s="2">
        <v>45859</v>
      </c>
      <c r="C1693" s="1" t="s">
        <v>2520</v>
      </c>
      <c r="D1693" s="1" t="s">
        <v>30</v>
      </c>
      <c r="E1693" s="1" t="s">
        <v>18</v>
      </c>
      <c r="F1693" s="1" t="s">
        <v>19</v>
      </c>
      <c r="G1693" s="1" t="s">
        <v>69</v>
      </c>
      <c r="H1693" s="1" t="s">
        <v>79</v>
      </c>
      <c r="I1693" s="1">
        <v>2</v>
      </c>
      <c r="J1693" s="1">
        <v>85.59</v>
      </c>
      <c r="K1693" s="1">
        <v>0</v>
      </c>
      <c r="L1693" s="1">
        <v>171.18</v>
      </c>
      <c r="M1693" s="1">
        <v>8.25</v>
      </c>
      <c r="N1693" s="1">
        <v>77.34</v>
      </c>
      <c r="O1693" s="6" t="s">
        <v>34</v>
      </c>
      <c r="P1693" s="8">
        <f>Table1[Quantity]*Table1[Unit_Price]</f>
        <v>171.18</v>
      </c>
      <c r="Q1693" s="1">
        <f>Table1[Profit]/Table1[Total_Sales]</f>
        <v>0.45180511742025936</v>
      </c>
      <c r="R1693" s="14">
        <f>Table1[Total_Sales]+Table1[Shipping_Cost]</f>
        <v>179.43</v>
      </c>
    </row>
    <row r="1694" spans="1:18" x14ac:dyDescent="0.35">
      <c r="A1694" s="3" t="s">
        <v>3132</v>
      </c>
      <c r="B1694" s="2">
        <v>45861</v>
      </c>
      <c r="C1694" s="1" t="s">
        <v>3133</v>
      </c>
      <c r="D1694" s="1" t="s">
        <v>17</v>
      </c>
      <c r="E1694" s="1" t="s">
        <v>169</v>
      </c>
      <c r="F1694" s="1" t="s">
        <v>68</v>
      </c>
      <c r="G1694" s="1" t="s">
        <v>20</v>
      </c>
      <c r="H1694" s="1" t="s">
        <v>264</v>
      </c>
      <c r="I1694" s="1">
        <v>12</v>
      </c>
      <c r="J1694" s="1">
        <v>53.38</v>
      </c>
      <c r="K1694" s="1">
        <v>10</v>
      </c>
      <c r="L1694" s="1">
        <v>576.5</v>
      </c>
      <c r="M1694" s="1">
        <v>38.799999999999997</v>
      </c>
      <c r="N1694" s="1">
        <v>185.39</v>
      </c>
      <c r="O1694" s="6" t="s">
        <v>22</v>
      </c>
      <c r="P1694" s="8">
        <f>Table1[Quantity]*Table1[Unit_Price]</f>
        <v>640.56000000000006</v>
      </c>
      <c r="Q1694" s="1">
        <f>Table1[Profit]/Table1[Total_Sales]</f>
        <v>0.32157849089332174</v>
      </c>
      <c r="R1694" s="14">
        <f>Table1[Total_Sales]+Table1[Shipping_Cost]</f>
        <v>615.29999999999995</v>
      </c>
    </row>
    <row r="1695" spans="1:18" x14ac:dyDescent="0.35">
      <c r="A1695" s="3" t="s">
        <v>3134</v>
      </c>
      <c r="B1695" s="2">
        <v>45861</v>
      </c>
      <c r="C1695" s="1" t="s">
        <v>329</v>
      </c>
      <c r="D1695" s="1" t="s">
        <v>30</v>
      </c>
      <c r="E1695" s="1" t="s">
        <v>129</v>
      </c>
      <c r="F1695" s="1" t="s">
        <v>19</v>
      </c>
      <c r="G1695" s="1" t="s">
        <v>20</v>
      </c>
      <c r="H1695" s="1" t="s">
        <v>106</v>
      </c>
      <c r="I1695" s="1">
        <v>3</v>
      </c>
      <c r="J1695" s="1">
        <v>59.5</v>
      </c>
      <c r="K1695" s="1">
        <v>5</v>
      </c>
      <c r="L1695" s="1">
        <v>169.57</v>
      </c>
      <c r="M1695" s="1">
        <v>11.82</v>
      </c>
      <c r="N1695" s="1">
        <v>59.57</v>
      </c>
      <c r="O1695" s="6" t="s">
        <v>34</v>
      </c>
      <c r="P1695" s="8">
        <f>Table1[Quantity]*Table1[Unit_Price]</f>
        <v>178.5</v>
      </c>
      <c r="Q1695" s="1">
        <f>Table1[Profit]/Table1[Total_Sales]</f>
        <v>0.3513003479389043</v>
      </c>
      <c r="R1695" s="14">
        <f>Table1[Total_Sales]+Table1[Shipping_Cost]</f>
        <v>181.39</v>
      </c>
    </row>
    <row r="1696" spans="1:18" x14ac:dyDescent="0.35">
      <c r="A1696" s="3" t="s">
        <v>3135</v>
      </c>
      <c r="B1696" s="2">
        <v>45861</v>
      </c>
      <c r="C1696" s="1" t="s">
        <v>3136</v>
      </c>
      <c r="D1696" s="1" t="s">
        <v>17</v>
      </c>
      <c r="E1696" s="1" t="s">
        <v>138</v>
      </c>
      <c r="F1696" s="1" t="s">
        <v>54</v>
      </c>
      <c r="G1696" s="1" t="s">
        <v>20</v>
      </c>
      <c r="H1696" s="1" t="s">
        <v>199</v>
      </c>
      <c r="I1696" s="1">
        <v>3</v>
      </c>
      <c r="J1696" s="1">
        <v>87.29</v>
      </c>
      <c r="K1696" s="1">
        <v>10</v>
      </c>
      <c r="L1696" s="1">
        <v>235.68</v>
      </c>
      <c r="M1696" s="1">
        <v>14.8</v>
      </c>
      <c r="N1696" s="1">
        <v>76.849999999999994</v>
      </c>
      <c r="O1696" s="6" t="s">
        <v>22</v>
      </c>
      <c r="P1696" s="8">
        <f>Table1[Quantity]*Table1[Unit_Price]</f>
        <v>261.87</v>
      </c>
      <c r="Q1696" s="1">
        <f>Table1[Profit]/Table1[Total_Sales]</f>
        <v>0.32607773251866934</v>
      </c>
      <c r="R1696" s="14">
        <f>Table1[Total_Sales]+Table1[Shipping_Cost]</f>
        <v>250.48000000000002</v>
      </c>
    </row>
    <row r="1697" spans="1:18" x14ac:dyDescent="0.35">
      <c r="A1697" s="3" t="s">
        <v>3137</v>
      </c>
      <c r="B1697" s="2">
        <v>45862</v>
      </c>
      <c r="C1697" s="1" t="s">
        <v>2318</v>
      </c>
      <c r="D1697" s="1" t="s">
        <v>49</v>
      </c>
      <c r="E1697" s="1" t="s">
        <v>169</v>
      </c>
      <c r="F1697" s="1" t="s">
        <v>68</v>
      </c>
      <c r="G1697" s="1" t="s">
        <v>32</v>
      </c>
      <c r="H1697" s="1" t="s">
        <v>33</v>
      </c>
      <c r="I1697" s="1">
        <v>3</v>
      </c>
      <c r="J1697" s="1">
        <v>7.1</v>
      </c>
      <c r="K1697" s="1">
        <v>10</v>
      </c>
      <c r="L1697" s="1">
        <v>19.170000000000002</v>
      </c>
      <c r="M1697" s="1">
        <v>12.32</v>
      </c>
      <c r="N1697" s="1">
        <v>-2.73</v>
      </c>
      <c r="O1697" s="6" t="s">
        <v>34</v>
      </c>
      <c r="P1697" s="8">
        <f>Table1[Quantity]*Table1[Unit_Price]</f>
        <v>21.299999999999997</v>
      </c>
      <c r="Q1697" s="1">
        <f>Table1[Profit]/Table1[Total_Sales]</f>
        <v>-0.14241001564945224</v>
      </c>
      <c r="R1697" s="14">
        <f>Table1[Total_Sales]+Table1[Shipping_Cost]</f>
        <v>31.490000000000002</v>
      </c>
    </row>
    <row r="1698" spans="1:18" x14ac:dyDescent="0.35">
      <c r="A1698" s="3" t="s">
        <v>3138</v>
      </c>
      <c r="B1698" s="2">
        <v>45862</v>
      </c>
      <c r="C1698" s="1" t="s">
        <v>3139</v>
      </c>
      <c r="D1698" s="1" t="s">
        <v>49</v>
      </c>
      <c r="E1698" s="1" t="s">
        <v>135</v>
      </c>
      <c r="F1698" s="1" t="s">
        <v>26</v>
      </c>
      <c r="G1698" s="1" t="s">
        <v>32</v>
      </c>
      <c r="H1698" s="1" t="s">
        <v>50</v>
      </c>
      <c r="I1698" s="1">
        <v>1</v>
      </c>
      <c r="J1698" s="1">
        <v>21.92</v>
      </c>
      <c r="K1698" s="1">
        <v>10</v>
      </c>
      <c r="L1698" s="1">
        <v>19.73</v>
      </c>
      <c r="M1698" s="1">
        <v>8.01</v>
      </c>
      <c r="N1698" s="1">
        <v>1.86</v>
      </c>
      <c r="O1698" s="6" t="s">
        <v>56</v>
      </c>
      <c r="P1698" s="8">
        <f>Table1[Quantity]*Table1[Unit_Price]</f>
        <v>21.92</v>
      </c>
      <c r="Q1698" s="1">
        <f>Table1[Profit]/Table1[Total_Sales]</f>
        <v>9.4272681196147998E-2</v>
      </c>
      <c r="R1698" s="14">
        <f>Table1[Total_Sales]+Table1[Shipping_Cost]</f>
        <v>27.740000000000002</v>
      </c>
    </row>
    <row r="1699" spans="1:18" x14ac:dyDescent="0.35">
      <c r="A1699" s="3" t="s">
        <v>3140</v>
      </c>
      <c r="B1699" s="2">
        <v>45862</v>
      </c>
      <c r="C1699" s="1" t="s">
        <v>3141</v>
      </c>
      <c r="D1699" s="1" t="s">
        <v>17</v>
      </c>
      <c r="E1699" s="1" t="s">
        <v>92</v>
      </c>
      <c r="F1699" s="1" t="s">
        <v>60</v>
      </c>
      <c r="G1699" s="1" t="s">
        <v>42</v>
      </c>
      <c r="H1699" s="1" t="s">
        <v>294</v>
      </c>
      <c r="I1699" s="1">
        <v>1</v>
      </c>
      <c r="J1699" s="1">
        <v>279.64999999999998</v>
      </c>
      <c r="K1699" s="1">
        <v>10</v>
      </c>
      <c r="L1699" s="1">
        <v>251.68</v>
      </c>
      <c r="M1699" s="1">
        <v>9.76</v>
      </c>
      <c r="N1699" s="1">
        <v>74.13</v>
      </c>
      <c r="O1699" s="6" t="s">
        <v>34</v>
      </c>
      <c r="P1699" s="8">
        <f>Table1[Quantity]*Table1[Unit_Price]</f>
        <v>279.64999999999998</v>
      </c>
      <c r="Q1699" s="1">
        <f>Table1[Profit]/Table1[Total_Sales]</f>
        <v>0.29454068658614113</v>
      </c>
      <c r="R1699" s="14">
        <f>Table1[Total_Sales]+Table1[Shipping_Cost]</f>
        <v>261.44</v>
      </c>
    </row>
    <row r="1700" spans="1:18" x14ac:dyDescent="0.35">
      <c r="A1700" s="3" t="s">
        <v>3142</v>
      </c>
      <c r="B1700" s="2">
        <v>45863</v>
      </c>
      <c r="C1700" s="1" t="s">
        <v>728</v>
      </c>
      <c r="D1700" s="1" t="s">
        <v>30</v>
      </c>
      <c r="E1700" s="1" t="s">
        <v>129</v>
      </c>
      <c r="F1700" s="1" t="s">
        <v>19</v>
      </c>
      <c r="G1700" s="1" t="s">
        <v>20</v>
      </c>
      <c r="H1700" s="1" t="s">
        <v>264</v>
      </c>
      <c r="I1700" s="1">
        <v>1</v>
      </c>
      <c r="J1700" s="1">
        <v>49.84</v>
      </c>
      <c r="K1700" s="1">
        <v>5</v>
      </c>
      <c r="L1700" s="1">
        <v>47.35</v>
      </c>
      <c r="M1700" s="1">
        <v>5.98</v>
      </c>
      <c r="N1700" s="1">
        <v>13.96</v>
      </c>
      <c r="O1700" s="6" t="s">
        <v>34</v>
      </c>
      <c r="P1700" s="8">
        <f>Table1[Quantity]*Table1[Unit_Price]</f>
        <v>49.84</v>
      </c>
      <c r="Q1700" s="1">
        <f>Table1[Profit]/Table1[Total_Sales]</f>
        <v>0.29482576557550161</v>
      </c>
      <c r="R1700" s="14">
        <f>Table1[Total_Sales]+Table1[Shipping_Cost]</f>
        <v>53.33</v>
      </c>
    </row>
    <row r="1701" spans="1:18" x14ac:dyDescent="0.35">
      <c r="A1701" s="3" t="s">
        <v>3143</v>
      </c>
      <c r="B1701" s="2">
        <v>45863</v>
      </c>
      <c r="C1701" s="1" t="s">
        <v>3144</v>
      </c>
      <c r="D1701" s="1" t="s">
        <v>30</v>
      </c>
      <c r="E1701" s="1" t="s">
        <v>85</v>
      </c>
      <c r="F1701" s="1" t="s">
        <v>60</v>
      </c>
      <c r="G1701" s="1" t="s">
        <v>42</v>
      </c>
      <c r="H1701" s="1" t="s">
        <v>43</v>
      </c>
      <c r="I1701" s="1">
        <v>1</v>
      </c>
      <c r="J1701" s="1">
        <v>271.05</v>
      </c>
      <c r="K1701" s="1">
        <v>10</v>
      </c>
      <c r="L1701" s="1">
        <v>243.95</v>
      </c>
      <c r="M1701" s="1">
        <v>10.25</v>
      </c>
      <c r="N1701" s="1">
        <v>71.069999999999993</v>
      </c>
      <c r="O1701" s="6" t="s">
        <v>34</v>
      </c>
      <c r="P1701" s="8">
        <f>Table1[Quantity]*Table1[Unit_Price]</f>
        <v>271.05</v>
      </c>
      <c r="Q1701" s="1">
        <f>Table1[Profit]/Table1[Total_Sales]</f>
        <v>0.2913301906128305</v>
      </c>
      <c r="R1701" s="14">
        <f>Table1[Total_Sales]+Table1[Shipping_Cost]</f>
        <v>254.2</v>
      </c>
    </row>
    <row r="1702" spans="1:18" x14ac:dyDescent="0.35">
      <c r="A1702" s="3" t="s">
        <v>3145</v>
      </c>
      <c r="B1702" s="2">
        <v>45864</v>
      </c>
      <c r="C1702" s="1" t="s">
        <v>3146</v>
      </c>
      <c r="D1702" s="1" t="s">
        <v>17</v>
      </c>
      <c r="E1702" s="1" t="s">
        <v>92</v>
      </c>
      <c r="F1702" s="1" t="s">
        <v>60</v>
      </c>
      <c r="G1702" s="1" t="s">
        <v>20</v>
      </c>
      <c r="H1702" s="1" t="s">
        <v>38</v>
      </c>
      <c r="I1702" s="1">
        <v>3</v>
      </c>
      <c r="J1702" s="1">
        <v>77.91</v>
      </c>
      <c r="K1702" s="1">
        <v>5</v>
      </c>
      <c r="L1702" s="1">
        <v>222.04</v>
      </c>
      <c r="M1702" s="1">
        <v>13.07</v>
      </c>
      <c r="N1702" s="1">
        <v>80.42</v>
      </c>
      <c r="O1702" s="6" t="s">
        <v>22</v>
      </c>
      <c r="P1702" s="8">
        <f>Table1[Quantity]*Table1[Unit_Price]</f>
        <v>233.73</v>
      </c>
      <c r="Q1702" s="1">
        <f>Table1[Profit]/Table1[Total_Sales]</f>
        <v>0.36218699333453436</v>
      </c>
      <c r="R1702" s="14">
        <f>Table1[Total_Sales]+Table1[Shipping_Cost]</f>
        <v>235.10999999999999</v>
      </c>
    </row>
    <row r="1703" spans="1:18" x14ac:dyDescent="0.35">
      <c r="A1703" s="3" t="s">
        <v>3147</v>
      </c>
      <c r="B1703" s="2">
        <v>45864</v>
      </c>
      <c r="C1703" s="1" t="s">
        <v>3148</v>
      </c>
      <c r="D1703" s="1" t="s">
        <v>17</v>
      </c>
      <c r="E1703" s="1" t="s">
        <v>18</v>
      </c>
      <c r="F1703" s="1" t="s">
        <v>19</v>
      </c>
      <c r="G1703" s="1" t="s">
        <v>42</v>
      </c>
      <c r="H1703" s="1" t="s">
        <v>371</v>
      </c>
      <c r="I1703" s="1">
        <v>9</v>
      </c>
      <c r="J1703" s="1">
        <v>109.79</v>
      </c>
      <c r="K1703" s="1">
        <v>25</v>
      </c>
      <c r="L1703" s="1">
        <v>741.08</v>
      </c>
      <c r="M1703" s="1">
        <v>15.31</v>
      </c>
      <c r="N1703" s="1">
        <v>132.9</v>
      </c>
      <c r="O1703" s="6" t="s">
        <v>34</v>
      </c>
      <c r="P1703" s="8">
        <f>Table1[Quantity]*Table1[Unit_Price]</f>
        <v>988.11</v>
      </c>
      <c r="Q1703" s="1">
        <f>Table1[Profit]/Table1[Total_Sales]</f>
        <v>0.17933286554757921</v>
      </c>
      <c r="R1703" s="14">
        <f>Table1[Total_Sales]+Table1[Shipping_Cost]</f>
        <v>756.39</v>
      </c>
    </row>
    <row r="1704" spans="1:18" x14ac:dyDescent="0.35">
      <c r="A1704" s="3" t="s">
        <v>3149</v>
      </c>
      <c r="B1704" s="2">
        <v>45864</v>
      </c>
      <c r="C1704" s="1" t="s">
        <v>2113</v>
      </c>
      <c r="D1704" s="1" t="s">
        <v>30</v>
      </c>
      <c r="E1704" s="1" t="s">
        <v>148</v>
      </c>
      <c r="F1704" s="1" t="s">
        <v>60</v>
      </c>
      <c r="G1704" s="1" t="s">
        <v>69</v>
      </c>
      <c r="H1704" s="1" t="s">
        <v>86</v>
      </c>
      <c r="I1704" s="1">
        <v>2</v>
      </c>
      <c r="J1704" s="1">
        <v>116.48</v>
      </c>
      <c r="K1704" s="1">
        <v>5</v>
      </c>
      <c r="L1704" s="1">
        <v>221.31</v>
      </c>
      <c r="M1704" s="1">
        <v>10.72</v>
      </c>
      <c r="N1704" s="1">
        <v>94.11</v>
      </c>
      <c r="O1704" s="6" t="s">
        <v>22</v>
      </c>
      <c r="P1704" s="8">
        <f>Table1[Quantity]*Table1[Unit_Price]</f>
        <v>232.96</v>
      </c>
      <c r="Q1704" s="1">
        <f>Table1[Profit]/Table1[Total_Sales]</f>
        <v>0.42524061271519586</v>
      </c>
      <c r="R1704" s="14">
        <f>Table1[Total_Sales]+Table1[Shipping_Cost]</f>
        <v>232.03</v>
      </c>
    </row>
    <row r="1705" spans="1:18" x14ac:dyDescent="0.35">
      <c r="A1705" s="3" t="s">
        <v>3150</v>
      </c>
      <c r="B1705" s="2">
        <v>45864</v>
      </c>
      <c r="C1705" s="1" t="s">
        <v>952</v>
      </c>
      <c r="D1705" s="1" t="s">
        <v>17</v>
      </c>
      <c r="E1705" s="1" t="s">
        <v>67</v>
      </c>
      <c r="F1705" s="1" t="s">
        <v>68</v>
      </c>
      <c r="G1705" s="1" t="s">
        <v>32</v>
      </c>
      <c r="H1705" s="1" t="s">
        <v>348</v>
      </c>
      <c r="I1705" s="1">
        <v>8</v>
      </c>
      <c r="J1705" s="1">
        <v>5.71</v>
      </c>
      <c r="K1705" s="1">
        <v>10</v>
      </c>
      <c r="L1705" s="1">
        <v>41.11</v>
      </c>
      <c r="M1705" s="1">
        <v>26.4</v>
      </c>
      <c r="N1705" s="1">
        <v>-5.85</v>
      </c>
      <c r="O1705" s="6" t="s">
        <v>39</v>
      </c>
      <c r="P1705" s="8">
        <f>Table1[Quantity]*Table1[Unit_Price]</f>
        <v>45.68</v>
      </c>
      <c r="Q1705" s="1">
        <f>Table1[Profit]/Table1[Total_Sales]</f>
        <v>-0.14230114327414253</v>
      </c>
      <c r="R1705" s="14">
        <f>Table1[Total_Sales]+Table1[Shipping_Cost]</f>
        <v>67.509999999999991</v>
      </c>
    </row>
    <row r="1706" spans="1:18" x14ac:dyDescent="0.35">
      <c r="A1706" s="3" t="s">
        <v>3151</v>
      </c>
      <c r="B1706" s="2">
        <v>45864</v>
      </c>
      <c r="C1706" s="1" t="s">
        <v>896</v>
      </c>
      <c r="D1706" s="1" t="s">
        <v>30</v>
      </c>
      <c r="E1706" s="1" t="s">
        <v>166</v>
      </c>
      <c r="F1706" s="1" t="s">
        <v>60</v>
      </c>
      <c r="G1706" s="1" t="s">
        <v>69</v>
      </c>
      <c r="H1706" s="1" t="s">
        <v>98</v>
      </c>
      <c r="I1706" s="1">
        <v>1</v>
      </c>
      <c r="J1706" s="1">
        <v>56.01</v>
      </c>
      <c r="K1706" s="1">
        <v>25</v>
      </c>
      <c r="L1706" s="1">
        <v>42.01</v>
      </c>
      <c r="M1706" s="1">
        <v>11.23</v>
      </c>
      <c r="N1706" s="1">
        <v>2.77</v>
      </c>
      <c r="O1706" s="6" t="s">
        <v>34</v>
      </c>
      <c r="P1706" s="8">
        <f>Table1[Quantity]*Table1[Unit_Price]</f>
        <v>56.01</v>
      </c>
      <c r="Q1706" s="1">
        <f>Table1[Profit]/Table1[Total_Sales]</f>
        <v>6.5936681742442285E-2</v>
      </c>
      <c r="R1706" s="14">
        <f>Table1[Total_Sales]+Table1[Shipping_Cost]</f>
        <v>53.239999999999995</v>
      </c>
    </row>
    <row r="1707" spans="1:18" x14ac:dyDescent="0.35">
      <c r="A1707" s="3" t="s">
        <v>3152</v>
      </c>
      <c r="B1707" s="2">
        <v>45865</v>
      </c>
      <c r="C1707" s="1" t="s">
        <v>3153</v>
      </c>
      <c r="D1707" s="1" t="s">
        <v>49</v>
      </c>
      <c r="E1707" s="1" t="s">
        <v>248</v>
      </c>
      <c r="F1707" s="1" t="s">
        <v>26</v>
      </c>
      <c r="G1707" s="1" t="s">
        <v>69</v>
      </c>
      <c r="H1707" s="1" t="s">
        <v>163</v>
      </c>
      <c r="I1707" s="1">
        <v>3</v>
      </c>
      <c r="J1707" s="1">
        <v>49.04</v>
      </c>
      <c r="K1707" s="1">
        <v>10</v>
      </c>
      <c r="L1707" s="1">
        <v>132.41</v>
      </c>
      <c r="M1707" s="1">
        <v>10.87</v>
      </c>
      <c r="N1707" s="1">
        <v>47.98</v>
      </c>
      <c r="O1707" s="6" t="s">
        <v>39</v>
      </c>
      <c r="P1707" s="8">
        <f>Table1[Quantity]*Table1[Unit_Price]</f>
        <v>147.12</v>
      </c>
      <c r="Q1707" s="1">
        <f>Table1[Profit]/Table1[Total_Sales]</f>
        <v>0.36235933841854845</v>
      </c>
      <c r="R1707" s="14">
        <f>Table1[Total_Sales]+Table1[Shipping_Cost]</f>
        <v>143.28</v>
      </c>
    </row>
    <row r="1708" spans="1:18" x14ac:dyDescent="0.35">
      <c r="A1708" s="3" t="s">
        <v>3154</v>
      </c>
      <c r="B1708" s="2">
        <v>45865</v>
      </c>
      <c r="C1708" s="1" t="s">
        <v>3155</v>
      </c>
      <c r="D1708" s="1" t="s">
        <v>30</v>
      </c>
      <c r="E1708" s="1" t="s">
        <v>135</v>
      </c>
      <c r="F1708" s="1" t="s">
        <v>26</v>
      </c>
      <c r="G1708" s="1" t="s">
        <v>69</v>
      </c>
      <c r="H1708" s="1" t="s">
        <v>243</v>
      </c>
      <c r="I1708" s="1">
        <v>5</v>
      </c>
      <c r="J1708" s="1">
        <v>15.17</v>
      </c>
      <c r="K1708" s="1">
        <v>25</v>
      </c>
      <c r="L1708" s="1">
        <v>56.89</v>
      </c>
      <c r="M1708" s="1">
        <v>12.81</v>
      </c>
      <c r="N1708" s="1">
        <v>6.16</v>
      </c>
      <c r="O1708" s="6" t="s">
        <v>56</v>
      </c>
      <c r="P1708" s="8">
        <f>Table1[Quantity]*Table1[Unit_Price]</f>
        <v>75.849999999999994</v>
      </c>
      <c r="Q1708" s="1">
        <f>Table1[Profit]/Table1[Total_Sales]</f>
        <v>0.10827913517314115</v>
      </c>
      <c r="R1708" s="14">
        <f>Table1[Total_Sales]+Table1[Shipping_Cost]</f>
        <v>69.7</v>
      </c>
    </row>
    <row r="1709" spans="1:18" x14ac:dyDescent="0.35">
      <c r="A1709" s="3" t="s">
        <v>3156</v>
      </c>
      <c r="B1709" s="2">
        <v>45866</v>
      </c>
      <c r="C1709" s="1" t="s">
        <v>3157</v>
      </c>
      <c r="D1709" s="1" t="s">
        <v>49</v>
      </c>
      <c r="E1709" s="1" t="s">
        <v>135</v>
      </c>
      <c r="F1709" s="1" t="s">
        <v>26</v>
      </c>
      <c r="G1709" s="1" t="s">
        <v>42</v>
      </c>
      <c r="H1709" s="1" t="s">
        <v>46</v>
      </c>
      <c r="I1709" s="1">
        <v>1</v>
      </c>
      <c r="J1709" s="1">
        <v>137.38999999999999</v>
      </c>
      <c r="K1709" s="1">
        <v>5</v>
      </c>
      <c r="L1709" s="1">
        <v>130.52000000000001</v>
      </c>
      <c r="M1709" s="1">
        <v>8.07</v>
      </c>
      <c r="N1709" s="1">
        <v>40.020000000000003</v>
      </c>
      <c r="O1709" s="6" t="s">
        <v>39</v>
      </c>
      <c r="P1709" s="8">
        <f>Table1[Quantity]*Table1[Unit_Price]</f>
        <v>137.38999999999999</v>
      </c>
      <c r="Q1709" s="1">
        <f>Table1[Profit]/Table1[Total_Sales]</f>
        <v>0.30661967514557154</v>
      </c>
      <c r="R1709" s="14">
        <f>Table1[Total_Sales]+Table1[Shipping_Cost]</f>
        <v>138.59</v>
      </c>
    </row>
    <row r="1710" spans="1:18" x14ac:dyDescent="0.35">
      <c r="A1710" s="3" t="s">
        <v>3158</v>
      </c>
      <c r="B1710" s="2">
        <v>45867</v>
      </c>
      <c r="C1710" s="1" t="s">
        <v>277</v>
      </c>
      <c r="D1710" s="1" t="s">
        <v>30</v>
      </c>
      <c r="E1710" s="1" t="s">
        <v>148</v>
      </c>
      <c r="F1710" s="1" t="s">
        <v>60</v>
      </c>
      <c r="G1710" s="1" t="s">
        <v>42</v>
      </c>
      <c r="H1710" s="1" t="s">
        <v>46</v>
      </c>
      <c r="I1710" s="1">
        <v>1</v>
      </c>
      <c r="J1710" s="1">
        <v>95.66</v>
      </c>
      <c r="K1710" s="1">
        <v>0</v>
      </c>
      <c r="L1710" s="1">
        <v>95.66</v>
      </c>
      <c r="M1710" s="1">
        <v>10.25</v>
      </c>
      <c r="N1710" s="1">
        <v>28.01</v>
      </c>
      <c r="O1710" s="6" t="s">
        <v>39</v>
      </c>
      <c r="P1710" s="8">
        <f>Table1[Quantity]*Table1[Unit_Price]</f>
        <v>95.66</v>
      </c>
      <c r="Q1710" s="1">
        <f>Table1[Profit]/Table1[Total_Sales]</f>
        <v>0.2928078611749948</v>
      </c>
      <c r="R1710" s="14">
        <f>Table1[Total_Sales]+Table1[Shipping_Cost]</f>
        <v>105.91</v>
      </c>
    </row>
    <row r="1711" spans="1:18" x14ac:dyDescent="0.35">
      <c r="A1711" s="3" t="s">
        <v>3159</v>
      </c>
      <c r="B1711" s="2">
        <v>45867</v>
      </c>
      <c r="C1711" s="1" t="s">
        <v>3160</v>
      </c>
      <c r="D1711" s="1" t="s">
        <v>30</v>
      </c>
      <c r="E1711" s="1" t="s">
        <v>31</v>
      </c>
      <c r="F1711" s="1" t="s">
        <v>19</v>
      </c>
      <c r="G1711" s="1" t="s">
        <v>69</v>
      </c>
      <c r="H1711" s="1" t="s">
        <v>139</v>
      </c>
      <c r="I1711" s="1">
        <v>8</v>
      </c>
      <c r="J1711" s="1">
        <v>45.61</v>
      </c>
      <c r="K1711" s="1">
        <v>20</v>
      </c>
      <c r="L1711" s="1">
        <v>291.89999999999998</v>
      </c>
      <c r="M1711" s="1">
        <v>10.199999999999999</v>
      </c>
      <c r="N1711" s="1">
        <v>99.26</v>
      </c>
      <c r="O1711" s="6" t="s">
        <v>22</v>
      </c>
      <c r="P1711" s="8">
        <f>Table1[Quantity]*Table1[Unit_Price]</f>
        <v>364.88</v>
      </c>
      <c r="Q1711" s="1">
        <f>Table1[Profit]/Table1[Total_Sales]</f>
        <v>0.34004796163069551</v>
      </c>
      <c r="R1711" s="14">
        <f>Table1[Total_Sales]+Table1[Shipping_Cost]</f>
        <v>302.09999999999997</v>
      </c>
    </row>
    <row r="1712" spans="1:18" x14ac:dyDescent="0.35">
      <c r="A1712" s="3" t="s">
        <v>3161</v>
      </c>
      <c r="B1712" s="2">
        <v>45869</v>
      </c>
      <c r="C1712" s="1" t="s">
        <v>3162</v>
      </c>
      <c r="D1712" s="1" t="s">
        <v>30</v>
      </c>
      <c r="E1712" s="1" t="s">
        <v>25</v>
      </c>
      <c r="F1712" s="1" t="s">
        <v>26</v>
      </c>
      <c r="G1712" s="1" t="s">
        <v>42</v>
      </c>
      <c r="H1712" s="1" t="s">
        <v>255</v>
      </c>
      <c r="I1712" s="1">
        <v>1</v>
      </c>
      <c r="J1712" s="1">
        <v>27.82</v>
      </c>
      <c r="K1712" s="1">
        <v>5</v>
      </c>
      <c r="L1712" s="1">
        <v>26.43</v>
      </c>
      <c r="M1712" s="1">
        <v>7.75</v>
      </c>
      <c r="N1712" s="1">
        <v>1.99</v>
      </c>
      <c r="O1712" s="6" t="s">
        <v>39</v>
      </c>
      <c r="P1712" s="8">
        <f>Table1[Quantity]*Table1[Unit_Price]</f>
        <v>27.82</v>
      </c>
      <c r="Q1712" s="1">
        <f>Table1[Profit]/Table1[Total_Sales]</f>
        <v>7.5293227393113893E-2</v>
      </c>
      <c r="R1712" s="14">
        <f>Table1[Total_Sales]+Table1[Shipping_Cost]</f>
        <v>34.18</v>
      </c>
    </row>
    <row r="1713" spans="1:18" x14ac:dyDescent="0.35">
      <c r="A1713" s="3" t="s">
        <v>3163</v>
      </c>
      <c r="B1713" s="2">
        <v>45869</v>
      </c>
      <c r="C1713" s="1" t="s">
        <v>948</v>
      </c>
      <c r="D1713" s="1" t="s">
        <v>30</v>
      </c>
      <c r="E1713" s="1" t="s">
        <v>76</v>
      </c>
      <c r="F1713" s="1" t="s">
        <v>26</v>
      </c>
      <c r="G1713" s="1" t="s">
        <v>69</v>
      </c>
      <c r="H1713" s="1" t="s">
        <v>79</v>
      </c>
      <c r="I1713" s="1">
        <v>3</v>
      </c>
      <c r="J1713" s="1">
        <v>107.11</v>
      </c>
      <c r="K1713" s="1">
        <v>5</v>
      </c>
      <c r="L1713" s="1">
        <v>305.26</v>
      </c>
      <c r="M1713" s="1">
        <v>11.77</v>
      </c>
      <c r="N1713" s="1">
        <v>132.82</v>
      </c>
      <c r="O1713" s="6" t="s">
        <v>34</v>
      </c>
      <c r="P1713" s="8">
        <f>Table1[Quantity]*Table1[Unit_Price]</f>
        <v>321.33</v>
      </c>
      <c r="Q1713" s="1">
        <f>Table1[Profit]/Table1[Total_Sales]</f>
        <v>0.43510450108104565</v>
      </c>
      <c r="R1713" s="14">
        <f>Table1[Total_Sales]+Table1[Shipping_Cost]</f>
        <v>317.02999999999997</v>
      </c>
    </row>
    <row r="1714" spans="1:18" x14ac:dyDescent="0.35">
      <c r="A1714" s="3" t="s">
        <v>3164</v>
      </c>
      <c r="B1714" s="2">
        <v>45870</v>
      </c>
      <c r="C1714" s="1" t="s">
        <v>635</v>
      </c>
      <c r="D1714" s="1" t="s">
        <v>17</v>
      </c>
      <c r="E1714" s="1" t="s">
        <v>67</v>
      </c>
      <c r="F1714" s="1" t="s">
        <v>68</v>
      </c>
      <c r="G1714" s="1" t="s">
        <v>20</v>
      </c>
      <c r="H1714" s="1" t="s">
        <v>38</v>
      </c>
      <c r="I1714" s="1">
        <v>5</v>
      </c>
      <c r="J1714" s="1">
        <v>81.709999999999994</v>
      </c>
      <c r="K1714" s="1">
        <v>20</v>
      </c>
      <c r="L1714" s="1">
        <v>326.83999999999997</v>
      </c>
      <c r="M1714" s="1">
        <v>22.16</v>
      </c>
      <c r="N1714" s="1">
        <v>79.98</v>
      </c>
      <c r="O1714" s="6" t="s">
        <v>39</v>
      </c>
      <c r="P1714" s="8">
        <f>Table1[Quantity]*Table1[Unit_Price]</f>
        <v>408.54999999999995</v>
      </c>
      <c r="Q1714" s="1">
        <f>Table1[Profit]/Table1[Total_Sales]</f>
        <v>0.24470689022151515</v>
      </c>
      <c r="R1714" s="14">
        <f>Table1[Total_Sales]+Table1[Shipping_Cost]</f>
        <v>349</v>
      </c>
    </row>
    <row r="1715" spans="1:18" x14ac:dyDescent="0.35">
      <c r="A1715" s="3" t="s">
        <v>3165</v>
      </c>
      <c r="B1715" s="2">
        <v>45870</v>
      </c>
      <c r="C1715" s="1" t="s">
        <v>3166</v>
      </c>
      <c r="D1715" s="1" t="s">
        <v>49</v>
      </c>
      <c r="E1715" s="1" t="s">
        <v>129</v>
      </c>
      <c r="F1715" s="1" t="s">
        <v>19</v>
      </c>
      <c r="G1715" s="1" t="s">
        <v>20</v>
      </c>
      <c r="H1715" s="1" t="s">
        <v>264</v>
      </c>
      <c r="I1715" s="1">
        <v>1</v>
      </c>
      <c r="J1715" s="1">
        <v>31.28</v>
      </c>
      <c r="K1715" s="1">
        <v>0</v>
      </c>
      <c r="L1715" s="1">
        <v>31.28</v>
      </c>
      <c r="M1715" s="1">
        <v>7.32</v>
      </c>
      <c r="N1715" s="1">
        <v>6.76</v>
      </c>
      <c r="O1715" s="6" t="s">
        <v>34</v>
      </c>
      <c r="P1715" s="8">
        <f>Table1[Quantity]*Table1[Unit_Price]</f>
        <v>31.28</v>
      </c>
      <c r="Q1715" s="1">
        <f>Table1[Profit]/Table1[Total_Sales]</f>
        <v>0.21611253196930943</v>
      </c>
      <c r="R1715" s="14">
        <f>Table1[Total_Sales]+Table1[Shipping_Cost]</f>
        <v>38.6</v>
      </c>
    </row>
    <row r="1716" spans="1:18" x14ac:dyDescent="0.35">
      <c r="A1716" s="3" t="s">
        <v>3167</v>
      </c>
      <c r="B1716" s="2">
        <v>45871</v>
      </c>
      <c r="C1716" s="1" t="s">
        <v>3168</v>
      </c>
      <c r="D1716" s="1" t="s">
        <v>17</v>
      </c>
      <c r="E1716" s="1" t="s">
        <v>67</v>
      </c>
      <c r="F1716" s="1" t="s">
        <v>68</v>
      </c>
      <c r="G1716" s="1" t="s">
        <v>32</v>
      </c>
      <c r="H1716" s="1" t="s">
        <v>149</v>
      </c>
      <c r="I1716" s="1">
        <v>1</v>
      </c>
      <c r="J1716" s="1">
        <v>8.7799999999999994</v>
      </c>
      <c r="K1716" s="1">
        <v>0</v>
      </c>
      <c r="L1716" s="1">
        <v>8.7799999999999994</v>
      </c>
      <c r="M1716" s="1">
        <v>11.95</v>
      </c>
      <c r="N1716" s="1">
        <v>-7.12</v>
      </c>
      <c r="O1716" s="6" t="s">
        <v>39</v>
      </c>
      <c r="P1716" s="8">
        <f>Table1[Quantity]*Table1[Unit_Price]</f>
        <v>8.7799999999999994</v>
      </c>
      <c r="Q1716" s="1">
        <f>Table1[Profit]/Table1[Total_Sales]</f>
        <v>-0.81093394077448755</v>
      </c>
      <c r="R1716" s="14">
        <f>Table1[Total_Sales]+Table1[Shipping_Cost]</f>
        <v>20.729999999999997</v>
      </c>
    </row>
    <row r="1717" spans="1:18" x14ac:dyDescent="0.35">
      <c r="A1717" s="3" t="s">
        <v>3169</v>
      </c>
      <c r="B1717" s="2">
        <v>45871</v>
      </c>
      <c r="C1717" s="1" t="s">
        <v>3170</v>
      </c>
      <c r="D1717" s="1" t="s">
        <v>30</v>
      </c>
      <c r="E1717" s="1" t="s">
        <v>138</v>
      </c>
      <c r="F1717" s="1" t="s">
        <v>54</v>
      </c>
      <c r="G1717" s="1" t="s">
        <v>20</v>
      </c>
      <c r="H1717" s="1" t="s">
        <v>122</v>
      </c>
      <c r="I1717" s="1">
        <v>1</v>
      </c>
      <c r="J1717" s="1">
        <v>115.18</v>
      </c>
      <c r="K1717" s="1">
        <v>5</v>
      </c>
      <c r="L1717" s="1">
        <v>109.42</v>
      </c>
      <c r="M1717" s="1">
        <v>11.78</v>
      </c>
      <c r="N1717" s="1">
        <v>34.29</v>
      </c>
      <c r="O1717" s="6" t="s">
        <v>56</v>
      </c>
      <c r="P1717" s="8">
        <f>Table1[Quantity]*Table1[Unit_Price]</f>
        <v>115.18</v>
      </c>
      <c r="Q1717" s="1">
        <f>Table1[Profit]/Table1[Total_Sales]</f>
        <v>0.31337963809175651</v>
      </c>
      <c r="R1717" s="14">
        <f>Table1[Total_Sales]+Table1[Shipping_Cost]</f>
        <v>121.2</v>
      </c>
    </row>
    <row r="1718" spans="1:18" x14ac:dyDescent="0.35">
      <c r="A1718" s="3" t="s">
        <v>3171</v>
      </c>
      <c r="B1718" s="2">
        <v>45872</v>
      </c>
      <c r="C1718" s="1" t="s">
        <v>1780</v>
      </c>
      <c r="D1718" s="1" t="s">
        <v>30</v>
      </c>
      <c r="E1718" s="1" t="s">
        <v>129</v>
      </c>
      <c r="F1718" s="1" t="s">
        <v>19</v>
      </c>
      <c r="G1718" s="1" t="s">
        <v>42</v>
      </c>
      <c r="H1718" s="1" t="s">
        <v>43</v>
      </c>
      <c r="I1718" s="1">
        <v>1</v>
      </c>
      <c r="J1718" s="1">
        <v>111.03</v>
      </c>
      <c r="K1718" s="1">
        <v>0</v>
      </c>
      <c r="L1718" s="1">
        <v>111.03</v>
      </c>
      <c r="M1718" s="1">
        <v>7.07</v>
      </c>
      <c r="N1718" s="1">
        <v>37.340000000000003</v>
      </c>
      <c r="O1718" s="6" t="s">
        <v>34</v>
      </c>
      <c r="P1718" s="8">
        <f>Table1[Quantity]*Table1[Unit_Price]</f>
        <v>111.03</v>
      </c>
      <c r="Q1718" s="1">
        <f>Table1[Profit]/Table1[Total_Sales]</f>
        <v>0.33630550301720258</v>
      </c>
      <c r="R1718" s="14">
        <f>Table1[Total_Sales]+Table1[Shipping_Cost]</f>
        <v>118.1</v>
      </c>
    </row>
    <row r="1719" spans="1:18" x14ac:dyDescent="0.35">
      <c r="A1719" s="3" t="s">
        <v>3172</v>
      </c>
      <c r="B1719" s="2">
        <v>45873</v>
      </c>
      <c r="C1719" s="1" t="s">
        <v>3173</v>
      </c>
      <c r="D1719" s="1" t="s">
        <v>30</v>
      </c>
      <c r="E1719" s="1" t="s">
        <v>18</v>
      </c>
      <c r="F1719" s="1" t="s">
        <v>19</v>
      </c>
      <c r="G1719" s="1" t="s">
        <v>20</v>
      </c>
      <c r="H1719" s="1" t="s">
        <v>264</v>
      </c>
      <c r="I1719" s="1">
        <v>5</v>
      </c>
      <c r="J1719" s="1">
        <v>39.06</v>
      </c>
      <c r="K1719" s="1">
        <v>15</v>
      </c>
      <c r="L1719" s="1">
        <v>166</v>
      </c>
      <c r="M1719" s="1">
        <v>11.47</v>
      </c>
      <c r="N1719" s="1">
        <v>47.11</v>
      </c>
      <c r="O1719" s="6" t="s">
        <v>34</v>
      </c>
      <c r="P1719" s="8">
        <f>Table1[Quantity]*Table1[Unit_Price]</f>
        <v>195.3</v>
      </c>
      <c r="Q1719" s="1">
        <f>Table1[Profit]/Table1[Total_Sales]</f>
        <v>0.28379518072289156</v>
      </c>
      <c r="R1719" s="14">
        <f>Table1[Total_Sales]+Table1[Shipping_Cost]</f>
        <v>177.47</v>
      </c>
    </row>
    <row r="1720" spans="1:18" x14ac:dyDescent="0.35">
      <c r="A1720" s="3" t="s">
        <v>3174</v>
      </c>
      <c r="B1720" s="2">
        <v>45874</v>
      </c>
      <c r="C1720" s="1" t="s">
        <v>3175</v>
      </c>
      <c r="D1720" s="1" t="s">
        <v>30</v>
      </c>
      <c r="E1720" s="1" t="s">
        <v>138</v>
      </c>
      <c r="F1720" s="1" t="s">
        <v>54</v>
      </c>
      <c r="G1720" s="1" t="s">
        <v>32</v>
      </c>
      <c r="H1720" s="1" t="s">
        <v>33</v>
      </c>
      <c r="I1720" s="1">
        <v>1</v>
      </c>
      <c r="J1720" s="1">
        <v>15.21</v>
      </c>
      <c r="K1720" s="1">
        <v>5</v>
      </c>
      <c r="L1720" s="1">
        <v>14.45</v>
      </c>
      <c r="M1720" s="1">
        <v>12.63</v>
      </c>
      <c r="N1720" s="1">
        <v>-5.0199999999999996</v>
      </c>
      <c r="O1720" s="6" t="s">
        <v>39</v>
      </c>
      <c r="P1720" s="8">
        <f>Table1[Quantity]*Table1[Unit_Price]</f>
        <v>15.21</v>
      </c>
      <c r="Q1720" s="1">
        <f>Table1[Profit]/Table1[Total_Sales]</f>
        <v>-0.34740484429065743</v>
      </c>
      <c r="R1720" s="14">
        <f>Table1[Total_Sales]+Table1[Shipping_Cost]</f>
        <v>27.08</v>
      </c>
    </row>
    <row r="1721" spans="1:18" x14ac:dyDescent="0.35">
      <c r="A1721" s="3" t="s">
        <v>3176</v>
      </c>
      <c r="B1721" s="2">
        <v>45874</v>
      </c>
      <c r="C1721" s="1" t="s">
        <v>3177</v>
      </c>
      <c r="D1721" s="1" t="s">
        <v>49</v>
      </c>
      <c r="E1721" s="1" t="s">
        <v>248</v>
      </c>
      <c r="F1721" s="1" t="s">
        <v>26</v>
      </c>
      <c r="G1721" s="1" t="s">
        <v>32</v>
      </c>
      <c r="H1721" s="1" t="s">
        <v>149</v>
      </c>
      <c r="I1721" s="1">
        <v>3</v>
      </c>
      <c r="J1721" s="1">
        <v>15.81</v>
      </c>
      <c r="K1721" s="1">
        <v>10</v>
      </c>
      <c r="L1721" s="1">
        <v>42.69</v>
      </c>
      <c r="M1721" s="1">
        <v>11.47</v>
      </c>
      <c r="N1721" s="1">
        <v>9.8800000000000008</v>
      </c>
      <c r="O1721" s="6" t="s">
        <v>56</v>
      </c>
      <c r="P1721" s="8">
        <f>Table1[Quantity]*Table1[Unit_Price]</f>
        <v>47.43</v>
      </c>
      <c r="Q1721" s="1">
        <f>Table1[Profit]/Table1[Total_Sales]</f>
        <v>0.2314359334738815</v>
      </c>
      <c r="R1721" s="14">
        <f>Table1[Total_Sales]+Table1[Shipping_Cost]</f>
        <v>54.16</v>
      </c>
    </row>
    <row r="1722" spans="1:18" x14ac:dyDescent="0.35">
      <c r="A1722" s="3" t="s">
        <v>3178</v>
      </c>
      <c r="B1722" s="2">
        <v>45875</v>
      </c>
      <c r="C1722" s="1" t="s">
        <v>3179</v>
      </c>
      <c r="D1722" s="1" t="s">
        <v>30</v>
      </c>
      <c r="E1722" s="1" t="s">
        <v>31</v>
      </c>
      <c r="F1722" s="1" t="s">
        <v>19</v>
      </c>
      <c r="G1722" s="1" t="s">
        <v>42</v>
      </c>
      <c r="H1722" s="1" t="s">
        <v>118</v>
      </c>
      <c r="I1722" s="1">
        <v>3</v>
      </c>
      <c r="J1722" s="1">
        <v>41.55</v>
      </c>
      <c r="K1722" s="1">
        <v>5</v>
      </c>
      <c r="L1722" s="1">
        <v>118.42</v>
      </c>
      <c r="M1722" s="1">
        <v>7.02</v>
      </c>
      <c r="N1722" s="1">
        <v>36.61</v>
      </c>
      <c r="O1722" s="6" t="s">
        <v>39</v>
      </c>
      <c r="P1722" s="8">
        <f>Table1[Quantity]*Table1[Unit_Price]</f>
        <v>124.64999999999999</v>
      </c>
      <c r="Q1722" s="1">
        <f>Table1[Profit]/Table1[Total_Sales]</f>
        <v>0.3091538591454146</v>
      </c>
      <c r="R1722" s="14">
        <f>Table1[Total_Sales]+Table1[Shipping_Cost]</f>
        <v>125.44</v>
      </c>
    </row>
    <row r="1723" spans="1:18" x14ac:dyDescent="0.35">
      <c r="A1723" s="3" t="s">
        <v>3180</v>
      </c>
      <c r="B1723" s="2">
        <v>45875</v>
      </c>
      <c r="C1723" s="1" t="s">
        <v>3181</v>
      </c>
      <c r="D1723" s="1" t="s">
        <v>30</v>
      </c>
      <c r="E1723" s="1" t="s">
        <v>148</v>
      </c>
      <c r="F1723" s="1" t="s">
        <v>60</v>
      </c>
      <c r="G1723" s="1" t="s">
        <v>42</v>
      </c>
      <c r="H1723" s="1" t="s">
        <v>255</v>
      </c>
      <c r="I1723" s="1">
        <v>1</v>
      </c>
      <c r="J1723" s="1">
        <v>30.49</v>
      </c>
      <c r="K1723" s="1">
        <v>15</v>
      </c>
      <c r="L1723" s="1">
        <v>25.92</v>
      </c>
      <c r="M1723" s="1">
        <v>10.67</v>
      </c>
      <c r="N1723" s="1">
        <v>-3.04</v>
      </c>
      <c r="O1723" s="6" t="s">
        <v>22</v>
      </c>
      <c r="P1723" s="8">
        <f>Table1[Quantity]*Table1[Unit_Price]</f>
        <v>30.49</v>
      </c>
      <c r="Q1723" s="1">
        <f>Table1[Profit]/Table1[Total_Sales]</f>
        <v>-0.11728395061728394</v>
      </c>
      <c r="R1723" s="14">
        <f>Table1[Total_Sales]+Table1[Shipping_Cost]</f>
        <v>36.590000000000003</v>
      </c>
    </row>
    <row r="1724" spans="1:18" x14ac:dyDescent="0.35">
      <c r="A1724" s="3" t="s">
        <v>3182</v>
      </c>
      <c r="B1724" s="2">
        <v>45876</v>
      </c>
      <c r="C1724" s="1" t="s">
        <v>2406</v>
      </c>
      <c r="D1724" s="1" t="s">
        <v>17</v>
      </c>
      <c r="E1724" s="1" t="s">
        <v>85</v>
      </c>
      <c r="F1724" s="1" t="s">
        <v>60</v>
      </c>
      <c r="G1724" s="1" t="s">
        <v>69</v>
      </c>
      <c r="H1724" s="1" t="s">
        <v>305</v>
      </c>
      <c r="I1724" s="1">
        <v>4</v>
      </c>
      <c r="J1724" s="1">
        <v>35.06</v>
      </c>
      <c r="K1724" s="1">
        <v>10</v>
      </c>
      <c r="L1724" s="1">
        <v>126.22</v>
      </c>
      <c r="M1724" s="1">
        <v>11.96</v>
      </c>
      <c r="N1724" s="1">
        <v>44.14</v>
      </c>
      <c r="O1724" s="6" t="s">
        <v>34</v>
      </c>
      <c r="P1724" s="8">
        <f>Table1[Quantity]*Table1[Unit_Price]</f>
        <v>140.24</v>
      </c>
      <c r="Q1724" s="1">
        <f>Table1[Profit]/Table1[Total_Sales]</f>
        <v>0.34970686103628584</v>
      </c>
      <c r="R1724" s="14">
        <f>Table1[Total_Sales]+Table1[Shipping_Cost]</f>
        <v>138.18</v>
      </c>
    </row>
    <row r="1725" spans="1:18" x14ac:dyDescent="0.35">
      <c r="A1725" s="3" t="s">
        <v>3183</v>
      </c>
      <c r="B1725" s="2">
        <v>45878</v>
      </c>
      <c r="C1725" s="1" t="s">
        <v>3184</v>
      </c>
      <c r="D1725" s="1" t="s">
        <v>30</v>
      </c>
      <c r="E1725" s="1" t="s">
        <v>135</v>
      </c>
      <c r="F1725" s="1" t="s">
        <v>26</v>
      </c>
      <c r="G1725" s="1" t="s">
        <v>69</v>
      </c>
      <c r="H1725" s="1" t="s">
        <v>70</v>
      </c>
      <c r="I1725" s="1">
        <v>6</v>
      </c>
      <c r="J1725" s="1">
        <v>46.59</v>
      </c>
      <c r="K1725" s="1">
        <v>0</v>
      </c>
      <c r="L1725" s="1">
        <v>279.54000000000002</v>
      </c>
      <c r="M1725" s="1">
        <v>19.309999999999999</v>
      </c>
      <c r="N1725" s="1">
        <v>120.46</v>
      </c>
      <c r="O1725" s="6" t="s">
        <v>39</v>
      </c>
      <c r="P1725" s="8">
        <f>Table1[Quantity]*Table1[Unit_Price]</f>
        <v>279.54000000000002</v>
      </c>
      <c r="Q1725" s="1">
        <f>Table1[Profit]/Table1[Total_Sales]</f>
        <v>0.43092222937683333</v>
      </c>
      <c r="R1725" s="14">
        <f>Table1[Total_Sales]+Table1[Shipping_Cost]</f>
        <v>298.85000000000002</v>
      </c>
    </row>
    <row r="1726" spans="1:18" x14ac:dyDescent="0.35">
      <c r="A1726" s="3" t="s">
        <v>3185</v>
      </c>
      <c r="B1726" s="2">
        <v>45878</v>
      </c>
      <c r="C1726" s="1" t="s">
        <v>2406</v>
      </c>
      <c r="D1726" s="1" t="s">
        <v>30</v>
      </c>
      <c r="E1726" s="1" t="s">
        <v>18</v>
      </c>
      <c r="F1726" s="1" t="s">
        <v>19</v>
      </c>
      <c r="G1726" s="1" t="s">
        <v>69</v>
      </c>
      <c r="H1726" s="1" t="s">
        <v>70</v>
      </c>
      <c r="I1726" s="1">
        <v>1</v>
      </c>
      <c r="J1726" s="1">
        <v>36.299999999999997</v>
      </c>
      <c r="K1726" s="1">
        <v>5</v>
      </c>
      <c r="L1726" s="1">
        <v>34.479999999999997</v>
      </c>
      <c r="M1726" s="1">
        <v>6.35</v>
      </c>
      <c r="N1726" s="1">
        <v>9.98</v>
      </c>
      <c r="O1726" s="6" t="s">
        <v>34</v>
      </c>
      <c r="P1726" s="8">
        <f>Table1[Quantity]*Table1[Unit_Price]</f>
        <v>36.299999999999997</v>
      </c>
      <c r="Q1726" s="1">
        <f>Table1[Profit]/Table1[Total_Sales]</f>
        <v>0.28944315545243621</v>
      </c>
      <c r="R1726" s="14">
        <f>Table1[Total_Sales]+Table1[Shipping_Cost]</f>
        <v>40.83</v>
      </c>
    </row>
    <row r="1727" spans="1:18" x14ac:dyDescent="0.35">
      <c r="A1727" s="3" t="s">
        <v>3186</v>
      </c>
      <c r="B1727" s="2">
        <v>45879</v>
      </c>
      <c r="C1727" s="1" t="s">
        <v>1171</v>
      </c>
      <c r="D1727" s="1" t="s">
        <v>17</v>
      </c>
      <c r="E1727" s="1" t="s">
        <v>169</v>
      </c>
      <c r="F1727" s="1" t="s">
        <v>68</v>
      </c>
      <c r="G1727" s="1" t="s">
        <v>20</v>
      </c>
      <c r="H1727" s="1" t="s">
        <v>21</v>
      </c>
      <c r="I1727" s="1">
        <v>2</v>
      </c>
      <c r="J1727" s="1">
        <v>139.35</v>
      </c>
      <c r="K1727" s="1">
        <v>10</v>
      </c>
      <c r="L1727" s="1">
        <v>250.83</v>
      </c>
      <c r="M1727" s="1">
        <v>11.26</v>
      </c>
      <c r="N1727" s="1">
        <v>86.29</v>
      </c>
      <c r="O1727" s="6" t="s">
        <v>22</v>
      </c>
      <c r="P1727" s="8">
        <f>Table1[Quantity]*Table1[Unit_Price]</f>
        <v>278.7</v>
      </c>
      <c r="Q1727" s="1">
        <f>Table1[Profit]/Table1[Total_Sales]</f>
        <v>0.34401786070246781</v>
      </c>
      <c r="R1727" s="14">
        <f>Table1[Total_Sales]+Table1[Shipping_Cost]</f>
        <v>262.09000000000003</v>
      </c>
    </row>
    <row r="1728" spans="1:18" x14ac:dyDescent="0.35">
      <c r="A1728" s="3" t="s">
        <v>3187</v>
      </c>
      <c r="B1728" s="2">
        <v>45879</v>
      </c>
      <c r="C1728" s="1" t="s">
        <v>3188</v>
      </c>
      <c r="D1728" s="1" t="s">
        <v>30</v>
      </c>
      <c r="E1728" s="1" t="s">
        <v>25</v>
      </c>
      <c r="F1728" s="1" t="s">
        <v>26</v>
      </c>
      <c r="G1728" s="1" t="s">
        <v>69</v>
      </c>
      <c r="H1728" s="1" t="s">
        <v>79</v>
      </c>
      <c r="I1728" s="1">
        <v>4</v>
      </c>
      <c r="J1728" s="1">
        <v>39.229999999999997</v>
      </c>
      <c r="K1728" s="1">
        <v>20</v>
      </c>
      <c r="L1728" s="1">
        <v>125.54</v>
      </c>
      <c r="M1728" s="1">
        <v>10.84</v>
      </c>
      <c r="N1728" s="1">
        <v>36.24</v>
      </c>
      <c r="O1728" s="6" t="s">
        <v>56</v>
      </c>
      <c r="P1728" s="8">
        <f>Table1[Quantity]*Table1[Unit_Price]</f>
        <v>156.91999999999999</v>
      </c>
      <c r="Q1728" s="1">
        <f>Table1[Profit]/Table1[Total_Sales]</f>
        <v>0.2886729329297435</v>
      </c>
      <c r="R1728" s="14">
        <f>Table1[Total_Sales]+Table1[Shipping_Cost]</f>
        <v>136.38</v>
      </c>
    </row>
    <row r="1729" spans="1:18" x14ac:dyDescent="0.35">
      <c r="A1729" s="3" t="s">
        <v>3189</v>
      </c>
      <c r="B1729" s="2">
        <v>45880</v>
      </c>
      <c r="C1729" s="1" t="s">
        <v>75</v>
      </c>
      <c r="D1729" s="1" t="s">
        <v>17</v>
      </c>
      <c r="E1729" s="1" t="s">
        <v>59</v>
      </c>
      <c r="F1729" s="1" t="s">
        <v>60</v>
      </c>
      <c r="G1729" s="1" t="s">
        <v>32</v>
      </c>
      <c r="H1729" s="1" t="s">
        <v>101</v>
      </c>
      <c r="I1729" s="1">
        <v>3</v>
      </c>
      <c r="J1729" s="1">
        <v>20.38</v>
      </c>
      <c r="K1729" s="1">
        <v>10</v>
      </c>
      <c r="L1729" s="1">
        <v>55.03</v>
      </c>
      <c r="M1729" s="1">
        <v>14.11</v>
      </c>
      <c r="N1729" s="1">
        <v>13.41</v>
      </c>
      <c r="O1729" s="6" t="s">
        <v>39</v>
      </c>
      <c r="P1729" s="8">
        <f>Table1[Quantity]*Table1[Unit_Price]</f>
        <v>61.14</v>
      </c>
      <c r="Q1729" s="1">
        <f>Table1[Profit]/Table1[Total_Sales]</f>
        <v>0.24368526258404508</v>
      </c>
      <c r="R1729" s="14">
        <f>Table1[Total_Sales]+Table1[Shipping_Cost]</f>
        <v>69.14</v>
      </c>
    </row>
    <row r="1730" spans="1:18" x14ac:dyDescent="0.35">
      <c r="A1730" s="3" t="s">
        <v>3190</v>
      </c>
      <c r="B1730" s="2">
        <v>45882</v>
      </c>
      <c r="C1730" s="1" t="s">
        <v>3191</v>
      </c>
      <c r="D1730" s="1" t="s">
        <v>17</v>
      </c>
      <c r="E1730" s="1" t="s">
        <v>25</v>
      </c>
      <c r="F1730" s="1" t="s">
        <v>26</v>
      </c>
      <c r="G1730" s="1" t="s">
        <v>69</v>
      </c>
      <c r="H1730" s="1" t="s">
        <v>196</v>
      </c>
      <c r="I1730" s="1">
        <v>4</v>
      </c>
      <c r="J1730" s="1">
        <v>15.79</v>
      </c>
      <c r="K1730" s="1">
        <v>15</v>
      </c>
      <c r="L1730" s="1">
        <v>53.69</v>
      </c>
      <c r="M1730" s="1">
        <v>14.99</v>
      </c>
      <c r="N1730" s="1">
        <v>7.12</v>
      </c>
      <c r="O1730" s="6" t="s">
        <v>56</v>
      </c>
      <c r="P1730" s="8">
        <f>Table1[Quantity]*Table1[Unit_Price]</f>
        <v>63.16</v>
      </c>
      <c r="Q1730" s="1">
        <f>Table1[Profit]/Table1[Total_Sales]</f>
        <v>0.13261314956230211</v>
      </c>
      <c r="R1730" s="14">
        <f>Table1[Total_Sales]+Table1[Shipping_Cost]</f>
        <v>68.679999999999993</v>
      </c>
    </row>
    <row r="1731" spans="1:18" x14ac:dyDescent="0.35">
      <c r="A1731" s="3" t="s">
        <v>3192</v>
      </c>
      <c r="B1731" s="2">
        <v>45885</v>
      </c>
      <c r="C1731" s="1" t="s">
        <v>3193</v>
      </c>
      <c r="D1731" s="1" t="s">
        <v>30</v>
      </c>
      <c r="E1731" s="1" t="s">
        <v>109</v>
      </c>
      <c r="F1731" s="1" t="s">
        <v>54</v>
      </c>
      <c r="G1731" s="1" t="s">
        <v>69</v>
      </c>
      <c r="H1731" s="1" t="s">
        <v>86</v>
      </c>
      <c r="I1731" s="1">
        <v>5</v>
      </c>
      <c r="J1731" s="1">
        <v>79.7</v>
      </c>
      <c r="K1731" s="1">
        <v>15</v>
      </c>
      <c r="L1731" s="1">
        <v>338.72</v>
      </c>
      <c r="M1731" s="1">
        <v>21.72</v>
      </c>
      <c r="N1731" s="1">
        <v>117.75</v>
      </c>
      <c r="O1731" s="6" t="s">
        <v>56</v>
      </c>
      <c r="P1731" s="8">
        <f>Table1[Quantity]*Table1[Unit_Price]</f>
        <v>398.5</v>
      </c>
      <c r="Q1731" s="1">
        <f>Table1[Profit]/Table1[Total_Sales]</f>
        <v>0.34763226263580538</v>
      </c>
      <c r="R1731" s="14">
        <f>Table1[Total_Sales]+Table1[Shipping_Cost]</f>
        <v>360.44000000000005</v>
      </c>
    </row>
    <row r="1732" spans="1:18" x14ac:dyDescent="0.35">
      <c r="A1732" s="3" t="s">
        <v>3194</v>
      </c>
      <c r="B1732" s="2">
        <v>45885</v>
      </c>
      <c r="C1732" s="1" t="s">
        <v>3195</v>
      </c>
      <c r="D1732" s="1" t="s">
        <v>49</v>
      </c>
      <c r="E1732" s="1" t="s">
        <v>135</v>
      </c>
      <c r="F1732" s="1" t="s">
        <v>26</v>
      </c>
      <c r="G1732" s="1" t="s">
        <v>69</v>
      </c>
      <c r="H1732" s="1" t="s">
        <v>70</v>
      </c>
      <c r="I1732" s="1">
        <v>11</v>
      </c>
      <c r="J1732" s="1">
        <v>28.85</v>
      </c>
      <c r="K1732" s="1">
        <v>5</v>
      </c>
      <c r="L1732" s="1">
        <v>301.48</v>
      </c>
      <c r="M1732" s="1">
        <v>31.33</v>
      </c>
      <c r="N1732" s="1">
        <v>111.48</v>
      </c>
      <c r="O1732" s="6" t="s">
        <v>39</v>
      </c>
      <c r="P1732" s="8">
        <f>Table1[Quantity]*Table1[Unit_Price]</f>
        <v>317.35000000000002</v>
      </c>
      <c r="Q1732" s="1">
        <f>Table1[Profit]/Table1[Total_Sales]</f>
        <v>0.36977577285392066</v>
      </c>
      <c r="R1732" s="14">
        <f>Table1[Total_Sales]+Table1[Shipping_Cost]</f>
        <v>332.81</v>
      </c>
    </row>
    <row r="1733" spans="1:18" x14ac:dyDescent="0.35">
      <c r="A1733" s="3" t="s">
        <v>3196</v>
      </c>
      <c r="B1733" s="2">
        <v>45885</v>
      </c>
      <c r="C1733" s="1" t="s">
        <v>3053</v>
      </c>
      <c r="D1733" s="1" t="s">
        <v>17</v>
      </c>
      <c r="E1733" s="1" t="s">
        <v>135</v>
      </c>
      <c r="F1733" s="1" t="s">
        <v>26</v>
      </c>
      <c r="G1733" s="1" t="s">
        <v>20</v>
      </c>
      <c r="H1733" s="1" t="s">
        <v>122</v>
      </c>
      <c r="I1733" s="1">
        <v>4</v>
      </c>
      <c r="J1733" s="1">
        <v>141.99</v>
      </c>
      <c r="K1733" s="1">
        <v>0</v>
      </c>
      <c r="L1733" s="1">
        <v>567.96</v>
      </c>
      <c r="M1733" s="1">
        <v>15.11</v>
      </c>
      <c r="N1733" s="1">
        <v>240.47</v>
      </c>
      <c r="O1733" s="6" t="s">
        <v>56</v>
      </c>
      <c r="P1733" s="8">
        <f>Table1[Quantity]*Table1[Unit_Price]</f>
        <v>567.96</v>
      </c>
      <c r="Q1733" s="1">
        <f>Table1[Profit]/Table1[Total_Sales]</f>
        <v>0.42339249242904425</v>
      </c>
      <c r="R1733" s="14">
        <f>Table1[Total_Sales]+Table1[Shipping_Cost]</f>
        <v>583.07000000000005</v>
      </c>
    </row>
    <row r="1734" spans="1:18" x14ac:dyDescent="0.35">
      <c r="A1734" s="3" t="s">
        <v>3197</v>
      </c>
      <c r="B1734" s="2">
        <v>45886</v>
      </c>
      <c r="C1734" s="1" t="s">
        <v>3198</v>
      </c>
      <c r="D1734" s="1" t="s">
        <v>17</v>
      </c>
      <c r="E1734" s="1" t="s">
        <v>148</v>
      </c>
      <c r="F1734" s="1" t="s">
        <v>60</v>
      </c>
      <c r="G1734" s="1" t="s">
        <v>42</v>
      </c>
      <c r="H1734" s="1" t="s">
        <v>118</v>
      </c>
      <c r="I1734" s="1">
        <v>6</v>
      </c>
      <c r="J1734" s="1">
        <v>70.12</v>
      </c>
      <c r="K1734" s="1">
        <v>10</v>
      </c>
      <c r="L1734" s="1">
        <v>378.65</v>
      </c>
      <c r="M1734" s="1">
        <v>13.58</v>
      </c>
      <c r="N1734" s="1">
        <v>112.64</v>
      </c>
      <c r="O1734" s="6" t="s">
        <v>34</v>
      </c>
      <c r="P1734" s="8">
        <f>Table1[Quantity]*Table1[Unit_Price]</f>
        <v>420.72</v>
      </c>
      <c r="Q1734" s="1">
        <f>Table1[Profit]/Table1[Total_Sales]</f>
        <v>0.29747788194902947</v>
      </c>
      <c r="R1734" s="14">
        <f>Table1[Total_Sales]+Table1[Shipping_Cost]</f>
        <v>392.22999999999996</v>
      </c>
    </row>
    <row r="1735" spans="1:18" x14ac:dyDescent="0.35">
      <c r="A1735" s="3" t="s">
        <v>3199</v>
      </c>
      <c r="B1735" s="2">
        <v>45887</v>
      </c>
      <c r="C1735" s="1" t="s">
        <v>1313</v>
      </c>
      <c r="D1735" s="1" t="s">
        <v>17</v>
      </c>
      <c r="E1735" s="1" t="s">
        <v>31</v>
      </c>
      <c r="F1735" s="1" t="s">
        <v>19</v>
      </c>
      <c r="G1735" s="1" t="s">
        <v>32</v>
      </c>
      <c r="H1735" s="1" t="s">
        <v>101</v>
      </c>
      <c r="I1735" s="1">
        <v>2</v>
      </c>
      <c r="J1735" s="1">
        <v>8.94</v>
      </c>
      <c r="K1735" s="1">
        <v>10</v>
      </c>
      <c r="L1735" s="1">
        <v>16.09</v>
      </c>
      <c r="M1735" s="1">
        <v>6.66</v>
      </c>
      <c r="N1735" s="1">
        <v>1.38</v>
      </c>
      <c r="O1735" s="6" t="s">
        <v>34</v>
      </c>
      <c r="P1735" s="8">
        <f>Table1[Quantity]*Table1[Unit_Price]</f>
        <v>17.88</v>
      </c>
      <c r="Q1735" s="1">
        <f>Table1[Profit]/Table1[Total_Sales]</f>
        <v>8.576755748912368E-2</v>
      </c>
      <c r="R1735" s="14">
        <f>Table1[Total_Sales]+Table1[Shipping_Cost]</f>
        <v>22.75</v>
      </c>
    </row>
    <row r="1736" spans="1:18" x14ac:dyDescent="0.35">
      <c r="A1736" s="3" t="s">
        <v>3200</v>
      </c>
      <c r="B1736" s="2">
        <v>45889</v>
      </c>
      <c r="C1736" s="1" t="s">
        <v>3201</v>
      </c>
      <c r="D1736" s="1" t="s">
        <v>17</v>
      </c>
      <c r="E1736" s="1" t="s">
        <v>76</v>
      </c>
      <c r="F1736" s="1" t="s">
        <v>26</v>
      </c>
      <c r="G1736" s="1" t="s">
        <v>69</v>
      </c>
      <c r="H1736" s="1" t="s">
        <v>305</v>
      </c>
      <c r="I1736" s="1">
        <v>3</v>
      </c>
      <c r="J1736" s="1">
        <v>45.19</v>
      </c>
      <c r="K1736" s="1">
        <v>15</v>
      </c>
      <c r="L1736" s="1">
        <v>115.23</v>
      </c>
      <c r="M1736" s="1">
        <v>9.7100000000000009</v>
      </c>
      <c r="N1736" s="1">
        <v>37.74</v>
      </c>
      <c r="O1736" s="6" t="s">
        <v>34</v>
      </c>
      <c r="P1736" s="8">
        <f>Table1[Quantity]*Table1[Unit_Price]</f>
        <v>135.57</v>
      </c>
      <c r="Q1736" s="1">
        <f>Table1[Profit]/Table1[Total_Sales]</f>
        <v>0.32751887529289248</v>
      </c>
      <c r="R1736" s="14">
        <f>Table1[Total_Sales]+Table1[Shipping_Cost]</f>
        <v>124.94</v>
      </c>
    </row>
    <row r="1737" spans="1:18" x14ac:dyDescent="0.35">
      <c r="A1737" s="3" t="s">
        <v>3202</v>
      </c>
      <c r="B1737" s="2">
        <v>45890</v>
      </c>
      <c r="C1737" s="1" t="s">
        <v>1657</v>
      </c>
      <c r="D1737" s="1" t="s">
        <v>17</v>
      </c>
      <c r="E1737" s="1" t="s">
        <v>76</v>
      </c>
      <c r="F1737" s="1" t="s">
        <v>26</v>
      </c>
      <c r="G1737" s="1" t="s">
        <v>20</v>
      </c>
      <c r="H1737" s="1" t="s">
        <v>264</v>
      </c>
      <c r="I1737" s="1">
        <v>6</v>
      </c>
      <c r="J1737" s="1">
        <v>37.479999999999997</v>
      </c>
      <c r="K1737" s="1">
        <v>20</v>
      </c>
      <c r="L1737" s="1">
        <v>179.9</v>
      </c>
      <c r="M1737" s="1">
        <v>12.68</v>
      </c>
      <c r="N1737" s="1">
        <v>43.54</v>
      </c>
      <c r="O1737" s="6" t="s">
        <v>39</v>
      </c>
      <c r="P1737" s="8">
        <f>Table1[Quantity]*Table1[Unit_Price]</f>
        <v>224.88</v>
      </c>
      <c r="Q1737" s="1">
        <f>Table1[Profit]/Table1[Total_Sales]</f>
        <v>0.24202334630350195</v>
      </c>
      <c r="R1737" s="14">
        <f>Table1[Total_Sales]+Table1[Shipping_Cost]</f>
        <v>192.58</v>
      </c>
    </row>
    <row r="1738" spans="1:18" x14ac:dyDescent="0.35">
      <c r="A1738" s="3" t="s">
        <v>3203</v>
      </c>
      <c r="B1738" s="2">
        <v>45891</v>
      </c>
      <c r="C1738" s="1" t="s">
        <v>3204</v>
      </c>
      <c r="D1738" s="1" t="s">
        <v>30</v>
      </c>
      <c r="E1738" s="1" t="s">
        <v>129</v>
      </c>
      <c r="F1738" s="1" t="s">
        <v>19</v>
      </c>
      <c r="G1738" s="1" t="s">
        <v>32</v>
      </c>
      <c r="H1738" s="1" t="s">
        <v>149</v>
      </c>
      <c r="I1738" s="1">
        <v>1</v>
      </c>
      <c r="J1738" s="1">
        <v>12.12</v>
      </c>
      <c r="K1738" s="1">
        <v>10</v>
      </c>
      <c r="L1738" s="1">
        <v>10.91</v>
      </c>
      <c r="M1738" s="1">
        <v>6.34</v>
      </c>
      <c r="N1738" s="1">
        <v>-0.88</v>
      </c>
      <c r="O1738" s="6" t="s">
        <v>22</v>
      </c>
      <c r="P1738" s="8">
        <f>Table1[Quantity]*Table1[Unit_Price]</f>
        <v>12.12</v>
      </c>
      <c r="Q1738" s="1">
        <f>Table1[Profit]/Table1[Total_Sales]</f>
        <v>-8.0659945004582956E-2</v>
      </c>
      <c r="R1738" s="14">
        <f>Table1[Total_Sales]+Table1[Shipping_Cost]</f>
        <v>17.25</v>
      </c>
    </row>
    <row r="1739" spans="1:18" x14ac:dyDescent="0.35">
      <c r="A1739" s="3" t="s">
        <v>3205</v>
      </c>
      <c r="B1739" s="2">
        <v>45892</v>
      </c>
      <c r="C1739" s="1" t="s">
        <v>722</v>
      </c>
      <c r="D1739" s="1" t="s">
        <v>17</v>
      </c>
      <c r="E1739" s="1" t="s">
        <v>76</v>
      </c>
      <c r="F1739" s="1" t="s">
        <v>26</v>
      </c>
      <c r="G1739" s="1" t="s">
        <v>69</v>
      </c>
      <c r="H1739" s="1" t="s">
        <v>79</v>
      </c>
      <c r="I1739" s="1">
        <v>4</v>
      </c>
      <c r="J1739" s="1">
        <v>33.659999999999997</v>
      </c>
      <c r="K1739" s="1">
        <v>0</v>
      </c>
      <c r="L1739" s="1">
        <v>134.63999999999999</v>
      </c>
      <c r="M1739" s="1">
        <v>10.38</v>
      </c>
      <c r="N1739" s="1">
        <v>56.94</v>
      </c>
      <c r="O1739" s="6" t="s">
        <v>34</v>
      </c>
      <c r="P1739" s="8">
        <f>Table1[Quantity]*Table1[Unit_Price]</f>
        <v>134.63999999999999</v>
      </c>
      <c r="Q1739" s="1">
        <f>Table1[Profit]/Table1[Total_Sales]</f>
        <v>0.42290552584670232</v>
      </c>
      <c r="R1739" s="14">
        <f>Table1[Total_Sales]+Table1[Shipping_Cost]</f>
        <v>145.01999999999998</v>
      </c>
    </row>
    <row r="1740" spans="1:18" x14ac:dyDescent="0.35">
      <c r="A1740" s="3" t="s">
        <v>3206</v>
      </c>
      <c r="B1740" s="2">
        <v>45893</v>
      </c>
      <c r="C1740" s="1" t="s">
        <v>3207</v>
      </c>
      <c r="D1740" s="1" t="s">
        <v>49</v>
      </c>
      <c r="E1740" s="1" t="s">
        <v>18</v>
      </c>
      <c r="F1740" s="1" t="s">
        <v>19</v>
      </c>
      <c r="G1740" s="1" t="s">
        <v>42</v>
      </c>
      <c r="H1740" s="1" t="s">
        <v>46</v>
      </c>
      <c r="I1740" s="1">
        <v>10</v>
      </c>
      <c r="J1740" s="1">
        <v>85.05</v>
      </c>
      <c r="K1740" s="1">
        <v>0</v>
      </c>
      <c r="L1740" s="1">
        <v>850.5</v>
      </c>
      <c r="M1740" s="1">
        <v>26.06</v>
      </c>
      <c r="N1740" s="1">
        <v>314.14</v>
      </c>
      <c r="O1740" s="6" t="s">
        <v>56</v>
      </c>
      <c r="P1740" s="8">
        <f>Table1[Quantity]*Table1[Unit_Price]</f>
        <v>850.5</v>
      </c>
      <c r="Q1740" s="1">
        <f>Table1[Profit]/Table1[Total_Sales]</f>
        <v>0.36935920047031157</v>
      </c>
      <c r="R1740" s="14">
        <f>Table1[Total_Sales]+Table1[Shipping_Cost]</f>
        <v>876.56</v>
      </c>
    </row>
    <row r="1741" spans="1:18" x14ac:dyDescent="0.35">
      <c r="A1741" s="3" t="s">
        <v>3208</v>
      </c>
      <c r="B1741" s="2">
        <v>45893</v>
      </c>
      <c r="C1741" s="1" t="s">
        <v>3209</v>
      </c>
      <c r="D1741" s="1" t="s">
        <v>30</v>
      </c>
      <c r="E1741" s="1" t="s">
        <v>67</v>
      </c>
      <c r="F1741" s="1" t="s">
        <v>68</v>
      </c>
      <c r="G1741" s="1" t="s">
        <v>20</v>
      </c>
      <c r="H1741" s="1" t="s">
        <v>21</v>
      </c>
      <c r="I1741" s="1">
        <v>5</v>
      </c>
      <c r="J1741" s="1">
        <v>175.98</v>
      </c>
      <c r="K1741" s="1">
        <v>0</v>
      </c>
      <c r="L1741" s="1">
        <v>879.9</v>
      </c>
      <c r="M1741" s="1">
        <v>21.15</v>
      </c>
      <c r="N1741" s="1">
        <v>374.8</v>
      </c>
      <c r="O1741" s="6" t="s">
        <v>56</v>
      </c>
      <c r="P1741" s="8">
        <f>Table1[Quantity]*Table1[Unit_Price]</f>
        <v>879.9</v>
      </c>
      <c r="Q1741" s="1">
        <f>Table1[Profit]/Table1[Total_Sales]</f>
        <v>0.42595749516990572</v>
      </c>
      <c r="R1741" s="14">
        <f>Table1[Total_Sales]+Table1[Shipping_Cost]</f>
        <v>901.05</v>
      </c>
    </row>
    <row r="1742" spans="1:18" x14ac:dyDescent="0.35">
      <c r="A1742" s="3" t="s">
        <v>3210</v>
      </c>
      <c r="B1742" s="2">
        <v>45894</v>
      </c>
      <c r="C1742" s="1" t="s">
        <v>485</v>
      </c>
      <c r="D1742" s="1" t="s">
        <v>17</v>
      </c>
      <c r="E1742" s="1" t="s">
        <v>135</v>
      </c>
      <c r="F1742" s="1" t="s">
        <v>26</v>
      </c>
      <c r="G1742" s="1" t="s">
        <v>20</v>
      </c>
      <c r="H1742" s="1" t="s">
        <v>21</v>
      </c>
      <c r="I1742" s="1">
        <v>13</v>
      </c>
      <c r="J1742" s="1">
        <v>161.29</v>
      </c>
      <c r="K1742" s="1">
        <v>20</v>
      </c>
      <c r="L1742" s="1">
        <v>1677.42</v>
      </c>
      <c r="M1742" s="1">
        <v>27.16</v>
      </c>
      <c r="N1742" s="1">
        <v>497.04</v>
      </c>
      <c r="O1742" s="6" t="s">
        <v>34</v>
      </c>
      <c r="P1742" s="8">
        <f>Table1[Quantity]*Table1[Unit_Price]</f>
        <v>2096.77</v>
      </c>
      <c r="Q1742" s="1">
        <f>Table1[Profit]/Table1[Total_Sales]</f>
        <v>0.29631219372607931</v>
      </c>
      <c r="R1742" s="14">
        <f>Table1[Total_Sales]+Table1[Shipping_Cost]</f>
        <v>1704.5800000000002</v>
      </c>
    </row>
    <row r="1743" spans="1:18" x14ac:dyDescent="0.35">
      <c r="A1743" s="3" t="s">
        <v>3211</v>
      </c>
      <c r="B1743" s="2">
        <v>45894</v>
      </c>
      <c r="C1743" s="1" t="s">
        <v>423</v>
      </c>
      <c r="D1743" s="1" t="s">
        <v>17</v>
      </c>
      <c r="E1743" s="1" t="s">
        <v>109</v>
      </c>
      <c r="F1743" s="1" t="s">
        <v>54</v>
      </c>
      <c r="G1743" s="1" t="s">
        <v>42</v>
      </c>
      <c r="H1743" s="1" t="s">
        <v>89</v>
      </c>
      <c r="I1743" s="1">
        <v>1</v>
      </c>
      <c r="J1743" s="1">
        <v>377.92</v>
      </c>
      <c r="K1743" s="1">
        <v>0</v>
      </c>
      <c r="L1743" s="1">
        <v>377.92</v>
      </c>
      <c r="M1743" s="1">
        <v>13.11</v>
      </c>
      <c r="N1743" s="1">
        <v>138.06</v>
      </c>
      <c r="O1743" s="6" t="s">
        <v>39</v>
      </c>
      <c r="P1743" s="8">
        <f>Table1[Quantity]*Table1[Unit_Price]</f>
        <v>377.92</v>
      </c>
      <c r="Q1743" s="1">
        <f>Table1[Profit]/Table1[Total_Sales]</f>
        <v>0.36531541066892464</v>
      </c>
      <c r="R1743" s="14">
        <f>Table1[Total_Sales]+Table1[Shipping_Cost]</f>
        <v>391.03000000000003</v>
      </c>
    </row>
    <row r="1744" spans="1:18" x14ac:dyDescent="0.35">
      <c r="A1744" s="3" t="s">
        <v>3212</v>
      </c>
      <c r="B1744" s="2">
        <v>45895</v>
      </c>
      <c r="C1744" s="1" t="s">
        <v>3213</v>
      </c>
      <c r="D1744" s="1" t="s">
        <v>30</v>
      </c>
      <c r="E1744" s="1" t="s">
        <v>148</v>
      </c>
      <c r="F1744" s="1" t="s">
        <v>60</v>
      </c>
      <c r="G1744" s="1" t="s">
        <v>32</v>
      </c>
      <c r="H1744" s="1" t="s">
        <v>101</v>
      </c>
      <c r="I1744" s="1">
        <v>1</v>
      </c>
      <c r="J1744" s="1">
        <v>17.45</v>
      </c>
      <c r="K1744" s="1">
        <v>15</v>
      </c>
      <c r="L1744" s="1">
        <v>14.83</v>
      </c>
      <c r="M1744" s="1">
        <v>9.94</v>
      </c>
      <c r="N1744" s="1">
        <v>-2.96</v>
      </c>
      <c r="O1744" s="6" t="s">
        <v>34</v>
      </c>
      <c r="P1744" s="8">
        <f>Table1[Quantity]*Table1[Unit_Price]</f>
        <v>17.45</v>
      </c>
      <c r="Q1744" s="1">
        <f>Table1[Profit]/Table1[Total_Sales]</f>
        <v>-0.19959541469993256</v>
      </c>
      <c r="R1744" s="14">
        <f>Table1[Total_Sales]+Table1[Shipping_Cost]</f>
        <v>24.77</v>
      </c>
    </row>
    <row r="1745" spans="1:18" x14ac:dyDescent="0.35">
      <c r="A1745" s="3" t="s">
        <v>3214</v>
      </c>
      <c r="B1745" s="2">
        <v>45896</v>
      </c>
      <c r="C1745" s="1" t="s">
        <v>134</v>
      </c>
      <c r="D1745" s="1" t="s">
        <v>30</v>
      </c>
      <c r="E1745" s="1" t="s">
        <v>25</v>
      </c>
      <c r="F1745" s="1" t="s">
        <v>26</v>
      </c>
      <c r="G1745" s="1" t="s">
        <v>20</v>
      </c>
      <c r="H1745" s="1" t="s">
        <v>27</v>
      </c>
      <c r="I1745" s="1">
        <v>4</v>
      </c>
      <c r="J1745" s="1">
        <v>89.1</v>
      </c>
      <c r="K1745" s="1">
        <v>15</v>
      </c>
      <c r="L1745" s="1">
        <v>302.94</v>
      </c>
      <c r="M1745" s="1">
        <v>16.32</v>
      </c>
      <c r="N1745" s="1">
        <v>90.6</v>
      </c>
      <c r="O1745" s="6" t="s">
        <v>39</v>
      </c>
      <c r="P1745" s="8">
        <f>Table1[Quantity]*Table1[Unit_Price]</f>
        <v>356.4</v>
      </c>
      <c r="Q1745" s="1">
        <f>Table1[Profit]/Table1[Total_Sales]</f>
        <v>0.29906912259853435</v>
      </c>
      <c r="R1745" s="14">
        <f>Table1[Total_Sales]+Table1[Shipping_Cost]</f>
        <v>319.26</v>
      </c>
    </row>
    <row r="1746" spans="1:18" x14ac:dyDescent="0.35">
      <c r="A1746" s="3" t="s">
        <v>3215</v>
      </c>
      <c r="B1746" s="2">
        <v>45896</v>
      </c>
      <c r="C1746" s="1" t="s">
        <v>3216</v>
      </c>
      <c r="D1746" s="1" t="s">
        <v>49</v>
      </c>
      <c r="E1746" s="1" t="s">
        <v>37</v>
      </c>
      <c r="F1746" s="1" t="s">
        <v>26</v>
      </c>
      <c r="G1746" s="1" t="s">
        <v>20</v>
      </c>
      <c r="H1746" s="1" t="s">
        <v>27</v>
      </c>
      <c r="I1746" s="1">
        <v>9</v>
      </c>
      <c r="J1746" s="1">
        <v>162.84</v>
      </c>
      <c r="K1746" s="1">
        <v>10</v>
      </c>
      <c r="L1746" s="1">
        <v>1319</v>
      </c>
      <c r="M1746" s="1">
        <v>16.36</v>
      </c>
      <c r="N1746" s="1">
        <v>496.58</v>
      </c>
      <c r="O1746" s="6" t="s">
        <v>39</v>
      </c>
      <c r="P1746" s="8">
        <f>Table1[Quantity]*Table1[Unit_Price]</f>
        <v>1465.56</v>
      </c>
      <c r="Q1746" s="1">
        <f>Table1[Profit]/Table1[Total_Sales]</f>
        <v>0.37648218347232754</v>
      </c>
      <c r="R1746" s="14">
        <f>Table1[Total_Sales]+Table1[Shipping_Cost]</f>
        <v>1335.36</v>
      </c>
    </row>
    <row r="1747" spans="1:18" x14ac:dyDescent="0.35">
      <c r="A1747" s="3" t="s">
        <v>3217</v>
      </c>
      <c r="B1747" s="2">
        <v>45897</v>
      </c>
      <c r="C1747" s="1" t="s">
        <v>3218</v>
      </c>
      <c r="D1747" s="1" t="s">
        <v>49</v>
      </c>
      <c r="E1747" s="1" t="s">
        <v>76</v>
      </c>
      <c r="F1747" s="1" t="s">
        <v>26</v>
      </c>
      <c r="G1747" s="1" t="s">
        <v>20</v>
      </c>
      <c r="H1747" s="1" t="s">
        <v>27</v>
      </c>
      <c r="I1747" s="1">
        <v>2</v>
      </c>
      <c r="J1747" s="1">
        <v>67.73</v>
      </c>
      <c r="K1747" s="1">
        <v>15</v>
      </c>
      <c r="L1747" s="1">
        <v>115.14</v>
      </c>
      <c r="M1747" s="1">
        <v>10.18</v>
      </c>
      <c r="N1747" s="1">
        <v>30.46</v>
      </c>
      <c r="O1747" s="6" t="s">
        <v>22</v>
      </c>
      <c r="P1747" s="8">
        <f>Table1[Quantity]*Table1[Unit_Price]</f>
        <v>135.46</v>
      </c>
      <c r="Q1747" s="1">
        <f>Table1[Profit]/Table1[Total_Sales]</f>
        <v>0.26454750738231719</v>
      </c>
      <c r="R1747" s="14">
        <f>Table1[Total_Sales]+Table1[Shipping_Cost]</f>
        <v>125.32</v>
      </c>
    </row>
    <row r="1748" spans="1:18" x14ac:dyDescent="0.35">
      <c r="A1748" s="3" t="s">
        <v>3219</v>
      </c>
      <c r="B1748" s="2">
        <v>45897</v>
      </c>
      <c r="C1748" s="1" t="s">
        <v>2859</v>
      </c>
      <c r="D1748" s="1" t="s">
        <v>30</v>
      </c>
      <c r="E1748" s="1" t="s">
        <v>92</v>
      </c>
      <c r="F1748" s="1" t="s">
        <v>60</v>
      </c>
      <c r="G1748" s="1" t="s">
        <v>20</v>
      </c>
      <c r="H1748" s="1" t="s">
        <v>106</v>
      </c>
      <c r="I1748" s="1">
        <v>5</v>
      </c>
      <c r="J1748" s="1">
        <v>56.91</v>
      </c>
      <c r="K1748" s="1">
        <v>10</v>
      </c>
      <c r="L1748" s="1">
        <v>256.08999999999997</v>
      </c>
      <c r="M1748" s="1">
        <v>13.57</v>
      </c>
      <c r="N1748" s="1">
        <v>86.02</v>
      </c>
      <c r="O1748" s="6" t="s">
        <v>22</v>
      </c>
      <c r="P1748" s="8">
        <f>Table1[Quantity]*Table1[Unit_Price]</f>
        <v>284.54999999999995</v>
      </c>
      <c r="Q1748" s="1">
        <f>Table1[Profit]/Table1[Total_Sales]</f>
        <v>0.33589753602249212</v>
      </c>
      <c r="R1748" s="14">
        <f>Table1[Total_Sales]+Table1[Shipping_Cost]</f>
        <v>269.65999999999997</v>
      </c>
    </row>
    <row r="1749" spans="1:18" x14ac:dyDescent="0.35">
      <c r="A1749" s="3" t="s">
        <v>3220</v>
      </c>
      <c r="B1749" s="2">
        <v>45897</v>
      </c>
      <c r="C1749" s="1" t="s">
        <v>3221</v>
      </c>
      <c r="D1749" s="1" t="s">
        <v>17</v>
      </c>
      <c r="E1749" s="1" t="s">
        <v>18</v>
      </c>
      <c r="F1749" s="1" t="s">
        <v>19</v>
      </c>
      <c r="G1749" s="1" t="s">
        <v>69</v>
      </c>
      <c r="H1749" s="1" t="s">
        <v>70</v>
      </c>
      <c r="I1749" s="1">
        <v>1</v>
      </c>
      <c r="J1749" s="1">
        <v>20.71</v>
      </c>
      <c r="K1749" s="1">
        <v>10</v>
      </c>
      <c r="L1749" s="1">
        <v>18.64</v>
      </c>
      <c r="M1749" s="1">
        <v>7.24</v>
      </c>
      <c r="N1749" s="1">
        <v>1.04</v>
      </c>
      <c r="O1749" s="6" t="s">
        <v>34</v>
      </c>
      <c r="P1749" s="8">
        <f>Table1[Quantity]*Table1[Unit_Price]</f>
        <v>20.71</v>
      </c>
      <c r="Q1749" s="1">
        <f>Table1[Profit]/Table1[Total_Sales]</f>
        <v>5.5793991416309016E-2</v>
      </c>
      <c r="R1749" s="14">
        <f>Table1[Total_Sales]+Table1[Shipping_Cost]</f>
        <v>25.880000000000003</v>
      </c>
    </row>
    <row r="1750" spans="1:18" x14ac:dyDescent="0.35">
      <c r="A1750" s="3" t="s">
        <v>3222</v>
      </c>
      <c r="B1750" s="2">
        <v>45898</v>
      </c>
      <c r="C1750" s="1" t="s">
        <v>2090</v>
      </c>
      <c r="D1750" s="1" t="s">
        <v>30</v>
      </c>
      <c r="E1750" s="1" t="s">
        <v>18</v>
      </c>
      <c r="F1750" s="1" t="s">
        <v>19</v>
      </c>
      <c r="G1750" s="1" t="s">
        <v>42</v>
      </c>
      <c r="H1750" s="1" t="s">
        <v>46</v>
      </c>
      <c r="I1750" s="1">
        <v>1</v>
      </c>
      <c r="J1750" s="1">
        <v>153.82</v>
      </c>
      <c r="K1750" s="1">
        <v>10</v>
      </c>
      <c r="L1750" s="1">
        <v>138.44</v>
      </c>
      <c r="M1750" s="1">
        <v>6.07</v>
      </c>
      <c r="N1750" s="1">
        <v>40.08</v>
      </c>
      <c r="O1750" s="6" t="s">
        <v>39</v>
      </c>
      <c r="P1750" s="8">
        <f>Table1[Quantity]*Table1[Unit_Price]</f>
        <v>153.82</v>
      </c>
      <c r="Q1750" s="1">
        <f>Table1[Profit]/Table1[Total_Sales]</f>
        <v>0.28951170182028313</v>
      </c>
      <c r="R1750" s="14">
        <f>Table1[Total_Sales]+Table1[Shipping_Cost]</f>
        <v>144.51</v>
      </c>
    </row>
    <row r="1751" spans="1:18" x14ac:dyDescent="0.35">
      <c r="A1751" s="3" t="s">
        <v>3223</v>
      </c>
      <c r="B1751" s="2">
        <v>45898</v>
      </c>
      <c r="C1751" s="1" t="s">
        <v>3224</v>
      </c>
      <c r="D1751" s="1" t="s">
        <v>30</v>
      </c>
      <c r="E1751" s="1" t="s">
        <v>76</v>
      </c>
      <c r="F1751" s="1" t="s">
        <v>26</v>
      </c>
      <c r="G1751" s="1" t="s">
        <v>69</v>
      </c>
      <c r="H1751" s="1" t="s">
        <v>305</v>
      </c>
      <c r="I1751" s="1">
        <v>8</v>
      </c>
      <c r="J1751" s="1">
        <v>75.599999999999994</v>
      </c>
      <c r="K1751" s="1">
        <v>10</v>
      </c>
      <c r="L1751" s="1">
        <v>544.32000000000005</v>
      </c>
      <c r="M1751" s="1">
        <v>14.7</v>
      </c>
      <c r="N1751" s="1">
        <v>227.22</v>
      </c>
      <c r="O1751" s="6" t="s">
        <v>34</v>
      </c>
      <c r="P1751" s="8">
        <f>Table1[Quantity]*Table1[Unit_Price]</f>
        <v>604.79999999999995</v>
      </c>
      <c r="Q1751" s="1">
        <f>Table1[Profit]/Table1[Total_Sales]</f>
        <v>0.41743827160493824</v>
      </c>
      <c r="R1751" s="14">
        <f>Table1[Total_Sales]+Table1[Shipping_Cost]</f>
        <v>559.0200000000001</v>
      </c>
    </row>
    <row r="1752" spans="1:18" x14ac:dyDescent="0.35">
      <c r="A1752" s="3" t="s">
        <v>3225</v>
      </c>
      <c r="B1752" s="2">
        <v>45899</v>
      </c>
      <c r="C1752" s="1" t="s">
        <v>3226</v>
      </c>
      <c r="D1752" s="1" t="s">
        <v>49</v>
      </c>
      <c r="E1752" s="1" t="s">
        <v>135</v>
      </c>
      <c r="F1752" s="1" t="s">
        <v>26</v>
      </c>
      <c r="G1752" s="1" t="s">
        <v>42</v>
      </c>
      <c r="H1752" s="1" t="s">
        <v>371</v>
      </c>
      <c r="I1752" s="1">
        <v>2</v>
      </c>
      <c r="J1752" s="1">
        <v>222.78</v>
      </c>
      <c r="K1752" s="1">
        <v>15</v>
      </c>
      <c r="L1752" s="1">
        <v>378.73</v>
      </c>
      <c r="M1752" s="1">
        <v>9.94</v>
      </c>
      <c r="N1752" s="1">
        <v>101.45</v>
      </c>
      <c r="O1752" s="6" t="s">
        <v>34</v>
      </c>
      <c r="P1752" s="8">
        <f>Table1[Quantity]*Table1[Unit_Price]</f>
        <v>445.56</v>
      </c>
      <c r="Q1752" s="1">
        <f>Table1[Profit]/Table1[Total_Sales]</f>
        <v>0.26786893037256093</v>
      </c>
      <c r="R1752" s="14">
        <f>Table1[Total_Sales]+Table1[Shipping_Cost]</f>
        <v>388.67</v>
      </c>
    </row>
    <row r="1753" spans="1:18" x14ac:dyDescent="0.35">
      <c r="A1753" s="3" t="s">
        <v>3227</v>
      </c>
      <c r="B1753" s="2">
        <v>45900</v>
      </c>
      <c r="C1753" s="1" t="s">
        <v>3228</v>
      </c>
      <c r="D1753" s="1" t="s">
        <v>49</v>
      </c>
      <c r="E1753" s="1" t="s">
        <v>18</v>
      </c>
      <c r="F1753" s="1" t="s">
        <v>19</v>
      </c>
      <c r="G1753" s="1" t="s">
        <v>42</v>
      </c>
      <c r="H1753" s="1" t="s">
        <v>118</v>
      </c>
      <c r="I1753" s="1">
        <v>7</v>
      </c>
      <c r="J1753" s="1">
        <v>80.08</v>
      </c>
      <c r="K1753" s="1">
        <v>10</v>
      </c>
      <c r="L1753" s="1">
        <v>504.5</v>
      </c>
      <c r="M1753" s="1">
        <v>16.07</v>
      </c>
      <c r="N1753" s="1">
        <v>152.09</v>
      </c>
      <c r="O1753" s="6" t="s">
        <v>34</v>
      </c>
      <c r="P1753" s="8">
        <f>Table1[Quantity]*Table1[Unit_Price]</f>
        <v>560.55999999999995</v>
      </c>
      <c r="Q1753" s="1">
        <f>Table1[Profit]/Table1[Total_Sales]</f>
        <v>0.30146679881070365</v>
      </c>
      <c r="R1753" s="14">
        <f>Table1[Total_Sales]+Table1[Shipping_Cost]</f>
        <v>520.57000000000005</v>
      </c>
    </row>
    <row r="1754" spans="1:18" x14ac:dyDescent="0.35">
      <c r="A1754" s="3" t="s">
        <v>3229</v>
      </c>
      <c r="B1754" s="2">
        <v>45901</v>
      </c>
      <c r="C1754" s="1" t="s">
        <v>3230</v>
      </c>
      <c r="D1754" s="1" t="s">
        <v>30</v>
      </c>
      <c r="E1754" s="1" t="s">
        <v>248</v>
      </c>
      <c r="F1754" s="1" t="s">
        <v>26</v>
      </c>
      <c r="G1754" s="1" t="s">
        <v>69</v>
      </c>
      <c r="H1754" s="1" t="s">
        <v>163</v>
      </c>
      <c r="I1754" s="1">
        <v>5</v>
      </c>
      <c r="J1754" s="1">
        <v>38.659999999999997</v>
      </c>
      <c r="K1754" s="1">
        <v>0</v>
      </c>
      <c r="L1754" s="1">
        <v>193.3</v>
      </c>
      <c r="M1754" s="1">
        <v>12.1</v>
      </c>
      <c r="N1754" s="1">
        <v>84.55</v>
      </c>
      <c r="O1754" s="6" t="s">
        <v>39</v>
      </c>
      <c r="P1754" s="8">
        <f>Table1[Quantity]*Table1[Unit_Price]</f>
        <v>193.29999999999998</v>
      </c>
      <c r="Q1754" s="1">
        <f>Table1[Profit]/Table1[Total_Sales]</f>
        <v>0.43740300051733055</v>
      </c>
      <c r="R1754" s="14">
        <f>Table1[Total_Sales]+Table1[Shipping_Cost]</f>
        <v>205.4</v>
      </c>
    </row>
    <row r="1755" spans="1:18" x14ac:dyDescent="0.35">
      <c r="A1755" s="3" t="s">
        <v>3231</v>
      </c>
      <c r="B1755" s="2">
        <v>45902</v>
      </c>
      <c r="C1755" s="1" t="s">
        <v>3232</v>
      </c>
      <c r="D1755" s="1" t="s">
        <v>30</v>
      </c>
      <c r="E1755" s="1" t="s">
        <v>248</v>
      </c>
      <c r="F1755" s="1" t="s">
        <v>26</v>
      </c>
      <c r="G1755" s="1" t="s">
        <v>42</v>
      </c>
      <c r="H1755" s="1" t="s">
        <v>118</v>
      </c>
      <c r="I1755" s="1">
        <v>3</v>
      </c>
      <c r="J1755" s="1">
        <v>95.44</v>
      </c>
      <c r="K1755" s="1">
        <v>0</v>
      </c>
      <c r="L1755" s="1">
        <v>286.32</v>
      </c>
      <c r="M1755" s="1">
        <v>14.19</v>
      </c>
      <c r="N1755" s="1">
        <v>100.34</v>
      </c>
      <c r="O1755" s="6" t="s">
        <v>39</v>
      </c>
      <c r="P1755" s="8">
        <f>Table1[Quantity]*Table1[Unit_Price]</f>
        <v>286.32</v>
      </c>
      <c r="Q1755" s="1">
        <f>Table1[Profit]/Table1[Total_Sales]</f>
        <v>0.35044705224923167</v>
      </c>
      <c r="R1755" s="14">
        <f>Table1[Total_Sales]+Table1[Shipping_Cost]</f>
        <v>300.51</v>
      </c>
    </row>
    <row r="1756" spans="1:18" x14ac:dyDescent="0.35">
      <c r="A1756" s="3" t="s">
        <v>3233</v>
      </c>
      <c r="B1756" s="2">
        <v>45902</v>
      </c>
      <c r="C1756" s="1" t="s">
        <v>3234</v>
      </c>
      <c r="D1756" s="1" t="s">
        <v>17</v>
      </c>
      <c r="E1756" s="1" t="s">
        <v>59</v>
      </c>
      <c r="F1756" s="1" t="s">
        <v>60</v>
      </c>
      <c r="G1756" s="1" t="s">
        <v>42</v>
      </c>
      <c r="H1756" s="1" t="s">
        <v>234</v>
      </c>
      <c r="I1756" s="1">
        <v>10</v>
      </c>
      <c r="J1756" s="1">
        <v>61.71</v>
      </c>
      <c r="K1756" s="1">
        <v>10</v>
      </c>
      <c r="L1756" s="1">
        <v>555.39</v>
      </c>
      <c r="M1756" s="1">
        <v>27.35</v>
      </c>
      <c r="N1756" s="1">
        <v>157.78</v>
      </c>
      <c r="O1756" s="6" t="s">
        <v>34</v>
      </c>
      <c r="P1756" s="8">
        <f>Table1[Quantity]*Table1[Unit_Price]</f>
        <v>617.1</v>
      </c>
      <c r="Q1756" s="1">
        <f>Table1[Profit]/Table1[Total_Sales]</f>
        <v>0.28408865842020925</v>
      </c>
      <c r="R1756" s="14">
        <f>Table1[Total_Sales]+Table1[Shipping_Cost]</f>
        <v>582.74</v>
      </c>
    </row>
    <row r="1757" spans="1:18" x14ac:dyDescent="0.35">
      <c r="A1757" s="3" t="s">
        <v>3235</v>
      </c>
      <c r="B1757" s="2">
        <v>45902</v>
      </c>
      <c r="C1757" s="1" t="s">
        <v>921</v>
      </c>
      <c r="D1757" s="1" t="s">
        <v>30</v>
      </c>
      <c r="E1757" s="1" t="s">
        <v>37</v>
      </c>
      <c r="F1757" s="1" t="s">
        <v>26</v>
      </c>
      <c r="G1757" s="1" t="s">
        <v>42</v>
      </c>
      <c r="H1757" s="1" t="s">
        <v>46</v>
      </c>
      <c r="I1757" s="1">
        <v>2</v>
      </c>
      <c r="J1757" s="1">
        <v>161.02000000000001</v>
      </c>
      <c r="K1757" s="1">
        <v>0</v>
      </c>
      <c r="L1757" s="1">
        <v>322.04000000000002</v>
      </c>
      <c r="M1757" s="1">
        <v>10.83</v>
      </c>
      <c r="N1757" s="1">
        <v>117.99</v>
      </c>
      <c r="O1757" s="6" t="s">
        <v>39</v>
      </c>
      <c r="P1757" s="8">
        <f>Table1[Quantity]*Table1[Unit_Price]</f>
        <v>322.04000000000002</v>
      </c>
      <c r="Q1757" s="1">
        <f>Table1[Profit]/Table1[Total_Sales]</f>
        <v>0.3663830580052167</v>
      </c>
      <c r="R1757" s="14">
        <f>Table1[Total_Sales]+Table1[Shipping_Cost]</f>
        <v>332.87</v>
      </c>
    </row>
    <row r="1758" spans="1:18" x14ac:dyDescent="0.35">
      <c r="A1758" s="3" t="s">
        <v>3236</v>
      </c>
      <c r="B1758" s="2">
        <v>45902</v>
      </c>
      <c r="C1758" s="1" t="s">
        <v>3237</v>
      </c>
      <c r="D1758" s="1" t="s">
        <v>17</v>
      </c>
      <c r="E1758" s="1" t="s">
        <v>63</v>
      </c>
      <c r="F1758" s="1" t="s">
        <v>54</v>
      </c>
      <c r="G1758" s="1" t="s">
        <v>32</v>
      </c>
      <c r="H1758" s="1" t="s">
        <v>132</v>
      </c>
      <c r="I1758" s="1">
        <v>2</v>
      </c>
      <c r="J1758" s="1">
        <v>11.64</v>
      </c>
      <c r="K1758" s="1">
        <v>10</v>
      </c>
      <c r="L1758" s="1">
        <v>20.95</v>
      </c>
      <c r="M1758" s="1">
        <v>13.33</v>
      </c>
      <c r="N1758" s="1">
        <v>-2.86</v>
      </c>
      <c r="O1758" s="6" t="s">
        <v>34</v>
      </c>
      <c r="P1758" s="8">
        <f>Table1[Quantity]*Table1[Unit_Price]</f>
        <v>23.28</v>
      </c>
      <c r="Q1758" s="1">
        <f>Table1[Profit]/Table1[Total_Sales]</f>
        <v>-0.13651551312649166</v>
      </c>
      <c r="R1758" s="14">
        <f>Table1[Total_Sales]+Table1[Shipping_Cost]</f>
        <v>34.28</v>
      </c>
    </row>
    <row r="1759" spans="1:18" x14ac:dyDescent="0.35">
      <c r="A1759" s="3" t="s">
        <v>3238</v>
      </c>
      <c r="B1759" s="2">
        <v>45903</v>
      </c>
      <c r="C1759" s="1" t="s">
        <v>2198</v>
      </c>
      <c r="D1759" s="1" t="s">
        <v>30</v>
      </c>
      <c r="E1759" s="1" t="s">
        <v>166</v>
      </c>
      <c r="F1759" s="1" t="s">
        <v>60</v>
      </c>
      <c r="G1759" s="1" t="s">
        <v>69</v>
      </c>
      <c r="H1759" s="1" t="s">
        <v>243</v>
      </c>
      <c r="I1759" s="1">
        <v>2</v>
      </c>
      <c r="J1759" s="1">
        <v>17.55</v>
      </c>
      <c r="K1759" s="1">
        <v>20</v>
      </c>
      <c r="L1759" s="1">
        <v>28.08</v>
      </c>
      <c r="M1759" s="1">
        <v>11.1</v>
      </c>
      <c r="N1759" s="1">
        <v>-0.56999999999999995</v>
      </c>
      <c r="O1759" s="6" t="s">
        <v>34</v>
      </c>
      <c r="P1759" s="8">
        <f>Table1[Quantity]*Table1[Unit_Price]</f>
        <v>35.1</v>
      </c>
      <c r="Q1759" s="1">
        <f>Table1[Profit]/Table1[Total_Sales]</f>
        <v>-2.02991452991453E-2</v>
      </c>
      <c r="R1759" s="14">
        <f>Table1[Total_Sales]+Table1[Shipping_Cost]</f>
        <v>39.18</v>
      </c>
    </row>
    <row r="1760" spans="1:18" x14ac:dyDescent="0.35">
      <c r="A1760" s="3" t="s">
        <v>3239</v>
      </c>
      <c r="B1760" s="2">
        <v>45903</v>
      </c>
      <c r="C1760" s="1" t="s">
        <v>3240</v>
      </c>
      <c r="D1760" s="1" t="s">
        <v>17</v>
      </c>
      <c r="E1760" s="1" t="s">
        <v>18</v>
      </c>
      <c r="F1760" s="1" t="s">
        <v>19</v>
      </c>
      <c r="G1760" s="1" t="s">
        <v>20</v>
      </c>
      <c r="H1760" s="1" t="s">
        <v>106</v>
      </c>
      <c r="I1760" s="1">
        <v>1</v>
      </c>
      <c r="J1760" s="1">
        <v>62.48</v>
      </c>
      <c r="K1760" s="1">
        <v>15</v>
      </c>
      <c r="L1760" s="1">
        <v>53.11</v>
      </c>
      <c r="M1760" s="1">
        <v>5.86</v>
      </c>
      <c r="N1760" s="1">
        <v>12.89</v>
      </c>
      <c r="O1760" s="6" t="s">
        <v>56</v>
      </c>
      <c r="P1760" s="8">
        <f>Table1[Quantity]*Table1[Unit_Price]</f>
        <v>62.48</v>
      </c>
      <c r="Q1760" s="1">
        <f>Table1[Profit]/Table1[Total_Sales]</f>
        <v>0.24270382225569573</v>
      </c>
      <c r="R1760" s="14">
        <f>Table1[Total_Sales]+Table1[Shipping_Cost]</f>
        <v>58.97</v>
      </c>
    </row>
    <row r="1761" spans="1:18" x14ac:dyDescent="0.35">
      <c r="A1761" s="3" t="s">
        <v>3241</v>
      </c>
      <c r="B1761" s="2">
        <v>45905</v>
      </c>
      <c r="C1761" s="1" t="s">
        <v>3242</v>
      </c>
      <c r="D1761" s="1" t="s">
        <v>30</v>
      </c>
      <c r="E1761" s="1" t="s">
        <v>25</v>
      </c>
      <c r="F1761" s="1" t="s">
        <v>26</v>
      </c>
      <c r="G1761" s="1" t="s">
        <v>32</v>
      </c>
      <c r="H1761" s="1" t="s">
        <v>73</v>
      </c>
      <c r="I1761" s="1">
        <v>5</v>
      </c>
      <c r="J1761" s="1">
        <v>5.25</v>
      </c>
      <c r="K1761" s="1">
        <v>0</v>
      </c>
      <c r="L1761" s="1">
        <v>26.25</v>
      </c>
      <c r="M1761" s="1">
        <v>12.14</v>
      </c>
      <c r="N1761" s="1">
        <v>2.2999999999999998</v>
      </c>
      <c r="O1761" s="6" t="s">
        <v>34</v>
      </c>
      <c r="P1761" s="8">
        <f>Table1[Quantity]*Table1[Unit_Price]</f>
        <v>26.25</v>
      </c>
      <c r="Q1761" s="1">
        <f>Table1[Profit]/Table1[Total_Sales]</f>
        <v>8.761904761904761E-2</v>
      </c>
      <c r="R1761" s="14">
        <f>Table1[Total_Sales]+Table1[Shipping_Cost]</f>
        <v>38.39</v>
      </c>
    </row>
    <row r="1762" spans="1:18" x14ac:dyDescent="0.35">
      <c r="A1762" s="3" t="s">
        <v>3243</v>
      </c>
      <c r="B1762" s="2">
        <v>45905</v>
      </c>
      <c r="C1762" s="1" t="s">
        <v>383</v>
      </c>
      <c r="D1762" s="1" t="s">
        <v>17</v>
      </c>
      <c r="E1762" s="1" t="s">
        <v>109</v>
      </c>
      <c r="F1762" s="1" t="s">
        <v>54</v>
      </c>
      <c r="G1762" s="1" t="s">
        <v>42</v>
      </c>
      <c r="H1762" s="1" t="s">
        <v>43</v>
      </c>
      <c r="I1762" s="1">
        <v>1</v>
      </c>
      <c r="J1762" s="1">
        <v>241.54</v>
      </c>
      <c r="K1762" s="1">
        <v>15</v>
      </c>
      <c r="L1762" s="1">
        <v>205.31</v>
      </c>
      <c r="M1762" s="1">
        <v>13.18</v>
      </c>
      <c r="N1762" s="1">
        <v>47.21</v>
      </c>
      <c r="O1762" s="6" t="s">
        <v>34</v>
      </c>
      <c r="P1762" s="8">
        <f>Table1[Quantity]*Table1[Unit_Price]</f>
        <v>241.54</v>
      </c>
      <c r="Q1762" s="1">
        <f>Table1[Profit]/Table1[Total_Sales]</f>
        <v>0.22994496127806732</v>
      </c>
      <c r="R1762" s="14">
        <f>Table1[Total_Sales]+Table1[Shipping_Cost]</f>
        <v>218.49</v>
      </c>
    </row>
    <row r="1763" spans="1:18" x14ac:dyDescent="0.35">
      <c r="A1763" s="3" t="s">
        <v>3244</v>
      </c>
      <c r="B1763" s="2">
        <v>45906</v>
      </c>
      <c r="C1763" s="1" t="s">
        <v>3245</v>
      </c>
      <c r="D1763" s="1" t="s">
        <v>30</v>
      </c>
      <c r="E1763" s="1" t="s">
        <v>25</v>
      </c>
      <c r="F1763" s="1" t="s">
        <v>26</v>
      </c>
      <c r="G1763" s="1" t="s">
        <v>32</v>
      </c>
      <c r="H1763" s="1" t="s">
        <v>132</v>
      </c>
      <c r="I1763" s="1">
        <v>3</v>
      </c>
      <c r="J1763" s="1">
        <v>7.54</v>
      </c>
      <c r="K1763" s="1">
        <v>0</v>
      </c>
      <c r="L1763" s="1">
        <v>22.62</v>
      </c>
      <c r="M1763" s="1">
        <v>10.42</v>
      </c>
      <c r="N1763" s="1">
        <v>2.02</v>
      </c>
      <c r="O1763" s="6" t="s">
        <v>34</v>
      </c>
      <c r="P1763" s="8">
        <f>Table1[Quantity]*Table1[Unit_Price]</f>
        <v>22.62</v>
      </c>
      <c r="Q1763" s="1">
        <f>Table1[Profit]/Table1[Total_Sales]</f>
        <v>8.9301503094606535E-2</v>
      </c>
      <c r="R1763" s="14">
        <f>Table1[Total_Sales]+Table1[Shipping_Cost]</f>
        <v>33.04</v>
      </c>
    </row>
    <row r="1764" spans="1:18" x14ac:dyDescent="0.35">
      <c r="A1764" s="3" t="s">
        <v>3246</v>
      </c>
      <c r="B1764" s="2">
        <v>45907</v>
      </c>
      <c r="C1764" s="1" t="s">
        <v>2162</v>
      </c>
      <c r="D1764" s="1" t="s">
        <v>49</v>
      </c>
      <c r="E1764" s="1" t="s">
        <v>92</v>
      </c>
      <c r="F1764" s="1" t="s">
        <v>60</v>
      </c>
      <c r="G1764" s="1" t="s">
        <v>42</v>
      </c>
      <c r="H1764" s="1" t="s">
        <v>46</v>
      </c>
      <c r="I1764" s="1">
        <v>2</v>
      </c>
      <c r="J1764" s="1">
        <v>195.17</v>
      </c>
      <c r="K1764" s="1">
        <v>15</v>
      </c>
      <c r="L1764" s="1">
        <v>331.79</v>
      </c>
      <c r="M1764" s="1">
        <v>10.46</v>
      </c>
      <c r="N1764" s="1">
        <v>87.13</v>
      </c>
      <c r="O1764" s="6" t="s">
        <v>34</v>
      </c>
      <c r="P1764" s="8">
        <f>Table1[Quantity]*Table1[Unit_Price]</f>
        <v>390.34</v>
      </c>
      <c r="Q1764" s="1">
        <f>Table1[Profit]/Table1[Total_Sales]</f>
        <v>0.26260586515567075</v>
      </c>
      <c r="R1764" s="14">
        <f>Table1[Total_Sales]+Table1[Shipping_Cost]</f>
        <v>342.25</v>
      </c>
    </row>
    <row r="1765" spans="1:18" x14ac:dyDescent="0.35">
      <c r="A1765" s="3" t="s">
        <v>3247</v>
      </c>
      <c r="B1765" s="2">
        <v>45907</v>
      </c>
      <c r="C1765" s="1" t="s">
        <v>3248</v>
      </c>
      <c r="D1765" s="1" t="s">
        <v>30</v>
      </c>
      <c r="E1765" s="1" t="s">
        <v>92</v>
      </c>
      <c r="F1765" s="1" t="s">
        <v>60</v>
      </c>
      <c r="G1765" s="1" t="s">
        <v>20</v>
      </c>
      <c r="H1765" s="1" t="s">
        <v>170</v>
      </c>
      <c r="I1765" s="1">
        <v>4</v>
      </c>
      <c r="J1765" s="1">
        <v>37.450000000000003</v>
      </c>
      <c r="K1765" s="1">
        <v>5</v>
      </c>
      <c r="L1765" s="1">
        <v>142.31</v>
      </c>
      <c r="M1765" s="1">
        <v>17.43</v>
      </c>
      <c r="N1765" s="1">
        <v>42.49</v>
      </c>
      <c r="O1765" s="6" t="s">
        <v>34</v>
      </c>
      <c r="P1765" s="8">
        <f>Table1[Quantity]*Table1[Unit_Price]</f>
        <v>149.80000000000001</v>
      </c>
      <c r="Q1765" s="1">
        <f>Table1[Profit]/Table1[Total_Sales]</f>
        <v>0.29857353664535169</v>
      </c>
      <c r="R1765" s="14">
        <f>Table1[Total_Sales]+Table1[Shipping_Cost]</f>
        <v>159.74</v>
      </c>
    </row>
    <row r="1766" spans="1:18" x14ac:dyDescent="0.35">
      <c r="A1766" s="3" t="s">
        <v>3249</v>
      </c>
      <c r="B1766" s="2">
        <v>45908</v>
      </c>
      <c r="C1766" s="1" t="s">
        <v>3250</v>
      </c>
      <c r="D1766" s="1" t="s">
        <v>30</v>
      </c>
      <c r="E1766" s="1" t="s">
        <v>63</v>
      </c>
      <c r="F1766" s="1" t="s">
        <v>54</v>
      </c>
      <c r="G1766" s="1" t="s">
        <v>20</v>
      </c>
      <c r="H1766" s="1" t="s">
        <v>38</v>
      </c>
      <c r="I1766" s="1">
        <v>8</v>
      </c>
      <c r="J1766" s="1">
        <v>48.19</v>
      </c>
      <c r="K1766" s="1">
        <v>0</v>
      </c>
      <c r="L1766" s="1">
        <v>385.52</v>
      </c>
      <c r="M1766" s="1">
        <v>18.04</v>
      </c>
      <c r="N1766" s="1">
        <v>155.44</v>
      </c>
      <c r="O1766" s="6" t="s">
        <v>56</v>
      </c>
      <c r="P1766" s="8">
        <f>Table1[Quantity]*Table1[Unit_Price]</f>
        <v>385.52</v>
      </c>
      <c r="Q1766" s="1">
        <f>Table1[Profit]/Table1[Total_Sales]</f>
        <v>0.40319568375181575</v>
      </c>
      <c r="R1766" s="14">
        <f>Table1[Total_Sales]+Table1[Shipping_Cost]</f>
        <v>403.56</v>
      </c>
    </row>
    <row r="1767" spans="1:18" x14ac:dyDescent="0.35">
      <c r="A1767" s="3" t="s">
        <v>3251</v>
      </c>
      <c r="B1767" s="2">
        <v>45908</v>
      </c>
      <c r="C1767" s="1" t="s">
        <v>1924</v>
      </c>
      <c r="D1767" s="1" t="s">
        <v>30</v>
      </c>
      <c r="E1767" s="1" t="s">
        <v>169</v>
      </c>
      <c r="F1767" s="1" t="s">
        <v>68</v>
      </c>
      <c r="G1767" s="1" t="s">
        <v>42</v>
      </c>
      <c r="H1767" s="1" t="s">
        <v>294</v>
      </c>
      <c r="I1767" s="1">
        <v>2</v>
      </c>
      <c r="J1767" s="1">
        <v>293.43</v>
      </c>
      <c r="K1767" s="1">
        <v>10</v>
      </c>
      <c r="L1767" s="1">
        <v>528.16999999999996</v>
      </c>
      <c r="M1767" s="1">
        <v>12.96</v>
      </c>
      <c r="N1767" s="1">
        <v>163.09</v>
      </c>
      <c r="O1767" s="6" t="s">
        <v>39</v>
      </c>
      <c r="P1767" s="8">
        <f>Table1[Quantity]*Table1[Unit_Price]</f>
        <v>586.86</v>
      </c>
      <c r="Q1767" s="1">
        <f>Table1[Profit]/Table1[Total_Sales]</f>
        <v>0.3087831569381071</v>
      </c>
      <c r="R1767" s="14">
        <f>Table1[Total_Sales]+Table1[Shipping_Cost]</f>
        <v>541.13</v>
      </c>
    </row>
    <row r="1768" spans="1:18" x14ac:dyDescent="0.35">
      <c r="A1768" s="3" t="s">
        <v>3252</v>
      </c>
      <c r="B1768" s="2">
        <v>45908</v>
      </c>
      <c r="C1768" s="1" t="s">
        <v>3253</v>
      </c>
      <c r="D1768" s="1" t="s">
        <v>30</v>
      </c>
      <c r="E1768" s="1" t="s">
        <v>25</v>
      </c>
      <c r="F1768" s="1" t="s">
        <v>26</v>
      </c>
      <c r="G1768" s="1" t="s">
        <v>20</v>
      </c>
      <c r="H1768" s="1" t="s">
        <v>122</v>
      </c>
      <c r="I1768" s="1">
        <v>2</v>
      </c>
      <c r="J1768" s="1">
        <v>94.47</v>
      </c>
      <c r="K1768" s="1">
        <v>10</v>
      </c>
      <c r="L1768" s="1">
        <v>170.05</v>
      </c>
      <c r="M1768" s="1">
        <v>11.19</v>
      </c>
      <c r="N1768" s="1">
        <v>54.94</v>
      </c>
      <c r="O1768" s="6" t="s">
        <v>34</v>
      </c>
      <c r="P1768" s="8">
        <f>Table1[Quantity]*Table1[Unit_Price]</f>
        <v>188.94</v>
      </c>
      <c r="Q1768" s="1">
        <f>Table1[Profit]/Table1[Total_Sales]</f>
        <v>0.32308144663334309</v>
      </c>
      <c r="R1768" s="14">
        <f>Table1[Total_Sales]+Table1[Shipping_Cost]</f>
        <v>181.24</v>
      </c>
    </row>
    <row r="1769" spans="1:18" x14ac:dyDescent="0.35">
      <c r="A1769" s="3" t="s">
        <v>3254</v>
      </c>
      <c r="B1769" s="2">
        <v>45909</v>
      </c>
      <c r="C1769" s="1" t="s">
        <v>1690</v>
      </c>
      <c r="D1769" s="1" t="s">
        <v>30</v>
      </c>
      <c r="E1769" s="1" t="s">
        <v>166</v>
      </c>
      <c r="F1769" s="1" t="s">
        <v>60</v>
      </c>
      <c r="G1769" s="1" t="s">
        <v>42</v>
      </c>
      <c r="H1769" s="1" t="s">
        <v>234</v>
      </c>
      <c r="I1769" s="1">
        <v>3</v>
      </c>
      <c r="J1769" s="1">
        <v>40.83</v>
      </c>
      <c r="K1769" s="1">
        <v>5</v>
      </c>
      <c r="L1769" s="1">
        <v>116.37</v>
      </c>
      <c r="M1769" s="1">
        <v>15.87</v>
      </c>
      <c r="N1769" s="1">
        <v>27.01</v>
      </c>
      <c r="O1769" s="6" t="s">
        <v>34</v>
      </c>
      <c r="P1769" s="8">
        <f>Table1[Quantity]*Table1[Unit_Price]</f>
        <v>122.49</v>
      </c>
      <c r="Q1769" s="1">
        <f>Table1[Profit]/Table1[Total_Sales]</f>
        <v>0.23210449428546875</v>
      </c>
      <c r="R1769" s="14">
        <f>Table1[Total_Sales]+Table1[Shipping_Cost]</f>
        <v>132.24</v>
      </c>
    </row>
    <row r="1770" spans="1:18" x14ac:dyDescent="0.35">
      <c r="A1770" s="3" t="s">
        <v>3255</v>
      </c>
      <c r="B1770" s="2">
        <v>45909</v>
      </c>
      <c r="C1770" s="1" t="s">
        <v>3256</v>
      </c>
      <c r="D1770" s="1" t="s">
        <v>17</v>
      </c>
      <c r="E1770" s="1" t="s">
        <v>76</v>
      </c>
      <c r="F1770" s="1" t="s">
        <v>26</v>
      </c>
      <c r="G1770" s="1" t="s">
        <v>20</v>
      </c>
      <c r="H1770" s="1" t="s">
        <v>55</v>
      </c>
      <c r="I1770" s="1">
        <v>1</v>
      </c>
      <c r="J1770" s="1">
        <v>68.69</v>
      </c>
      <c r="K1770" s="1">
        <v>10</v>
      </c>
      <c r="L1770" s="1">
        <v>61.82</v>
      </c>
      <c r="M1770" s="1">
        <v>8.7899999999999991</v>
      </c>
      <c r="N1770" s="1">
        <v>15.25</v>
      </c>
      <c r="O1770" s="6" t="s">
        <v>39</v>
      </c>
      <c r="P1770" s="8">
        <f>Table1[Quantity]*Table1[Unit_Price]</f>
        <v>68.69</v>
      </c>
      <c r="Q1770" s="1">
        <f>Table1[Profit]/Table1[Total_Sales]</f>
        <v>0.24668392106114526</v>
      </c>
      <c r="R1770" s="14">
        <f>Table1[Total_Sales]+Table1[Shipping_Cost]</f>
        <v>70.61</v>
      </c>
    </row>
    <row r="1771" spans="1:18" x14ac:dyDescent="0.35">
      <c r="A1771" s="3" t="s">
        <v>3257</v>
      </c>
      <c r="B1771" s="2">
        <v>45909</v>
      </c>
      <c r="C1771" s="1" t="s">
        <v>500</v>
      </c>
      <c r="D1771" s="1" t="s">
        <v>30</v>
      </c>
      <c r="E1771" s="1" t="s">
        <v>166</v>
      </c>
      <c r="F1771" s="1" t="s">
        <v>60</v>
      </c>
      <c r="G1771" s="1" t="s">
        <v>42</v>
      </c>
      <c r="H1771" s="1" t="s">
        <v>93</v>
      </c>
      <c r="I1771" s="1">
        <v>2</v>
      </c>
      <c r="J1771" s="1">
        <v>396.83</v>
      </c>
      <c r="K1771" s="1">
        <v>10</v>
      </c>
      <c r="L1771" s="1">
        <v>714.29</v>
      </c>
      <c r="M1771" s="1">
        <v>12.78</v>
      </c>
      <c r="N1771" s="1">
        <v>225.31</v>
      </c>
      <c r="O1771" s="6" t="s">
        <v>56</v>
      </c>
      <c r="P1771" s="8">
        <f>Table1[Quantity]*Table1[Unit_Price]</f>
        <v>793.66</v>
      </c>
      <c r="Q1771" s="1">
        <f>Table1[Profit]/Table1[Total_Sales]</f>
        <v>0.31543210740735556</v>
      </c>
      <c r="R1771" s="14">
        <f>Table1[Total_Sales]+Table1[Shipping_Cost]</f>
        <v>727.06999999999994</v>
      </c>
    </row>
    <row r="1772" spans="1:18" x14ac:dyDescent="0.35">
      <c r="A1772" s="3" t="s">
        <v>3258</v>
      </c>
      <c r="B1772" s="2">
        <v>45911</v>
      </c>
      <c r="C1772" s="1" t="s">
        <v>3259</v>
      </c>
      <c r="D1772" s="1" t="s">
        <v>17</v>
      </c>
      <c r="E1772" s="1" t="s">
        <v>109</v>
      </c>
      <c r="F1772" s="1" t="s">
        <v>54</v>
      </c>
      <c r="G1772" s="1" t="s">
        <v>69</v>
      </c>
      <c r="H1772" s="1" t="s">
        <v>196</v>
      </c>
      <c r="I1772" s="1">
        <v>4</v>
      </c>
      <c r="J1772" s="1">
        <v>28.55</v>
      </c>
      <c r="K1772" s="1">
        <v>10</v>
      </c>
      <c r="L1772" s="1">
        <v>102.78</v>
      </c>
      <c r="M1772" s="1">
        <v>14</v>
      </c>
      <c r="N1772" s="1">
        <v>31.68</v>
      </c>
      <c r="O1772" s="6" t="s">
        <v>34</v>
      </c>
      <c r="P1772" s="8">
        <f>Table1[Quantity]*Table1[Unit_Price]</f>
        <v>114.2</v>
      </c>
      <c r="Q1772" s="1">
        <f>Table1[Profit]/Table1[Total_Sales]</f>
        <v>0.30823117338003503</v>
      </c>
      <c r="R1772" s="14">
        <f>Table1[Total_Sales]+Table1[Shipping_Cost]</f>
        <v>116.78</v>
      </c>
    </row>
    <row r="1773" spans="1:18" x14ac:dyDescent="0.35">
      <c r="A1773" s="3" t="s">
        <v>3260</v>
      </c>
      <c r="B1773" s="2">
        <v>45911</v>
      </c>
      <c r="C1773" s="1" t="s">
        <v>3261</v>
      </c>
      <c r="D1773" s="1" t="s">
        <v>30</v>
      </c>
      <c r="E1773" s="1" t="s">
        <v>37</v>
      </c>
      <c r="F1773" s="1" t="s">
        <v>26</v>
      </c>
      <c r="G1773" s="1" t="s">
        <v>20</v>
      </c>
      <c r="H1773" s="1" t="s">
        <v>170</v>
      </c>
      <c r="I1773" s="1">
        <v>1</v>
      </c>
      <c r="J1773" s="1">
        <v>52.17</v>
      </c>
      <c r="K1773" s="1">
        <v>20</v>
      </c>
      <c r="L1773" s="1">
        <v>41.74</v>
      </c>
      <c r="M1773" s="1">
        <v>7.51</v>
      </c>
      <c r="N1773" s="1">
        <v>5.54</v>
      </c>
      <c r="O1773" s="6" t="s">
        <v>22</v>
      </c>
      <c r="P1773" s="8">
        <f>Table1[Quantity]*Table1[Unit_Price]</f>
        <v>52.17</v>
      </c>
      <c r="Q1773" s="1">
        <f>Table1[Profit]/Table1[Total_Sales]</f>
        <v>0.1327264015333014</v>
      </c>
      <c r="R1773" s="14">
        <f>Table1[Total_Sales]+Table1[Shipping_Cost]</f>
        <v>49.25</v>
      </c>
    </row>
    <row r="1774" spans="1:18" x14ac:dyDescent="0.35">
      <c r="A1774" s="3" t="s">
        <v>3262</v>
      </c>
      <c r="B1774" s="2">
        <v>45914</v>
      </c>
      <c r="C1774" s="1" t="s">
        <v>2208</v>
      </c>
      <c r="D1774" s="1" t="s">
        <v>30</v>
      </c>
      <c r="E1774" s="1" t="s">
        <v>121</v>
      </c>
      <c r="F1774" s="1" t="s">
        <v>68</v>
      </c>
      <c r="G1774" s="1" t="s">
        <v>32</v>
      </c>
      <c r="H1774" s="1" t="s">
        <v>110</v>
      </c>
      <c r="I1774" s="1">
        <v>2</v>
      </c>
      <c r="J1774" s="1">
        <v>14.53</v>
      </c>
      <c r="K1774" s="1">
        <v>15</v>
      </c>
      <c r="L1774" s="1">
        <v>24.7</v>
      </c>
      <c r="M1774" s="1">
        <v>12.13</v>
      </c>
      <c r="N1774" s="1">
        <v>-0.51</v>
      </c>
      <c r="O1774" s="6" t="s">
        <v>56</v>
      </c>
      <c r="P1774" s="8">
        <f>Table1[Quantity]*Table1[Unit_Price]</f>
        <v>29.06</v>
      </c>
      <c r="Q1774" s="1">
        <f>Table1[Profit]/Table1[Total_Sales]</f>
        <v>-2.0647773279352227E-2</v>
      </c>
      <c r="R1774" s="14">
        <f>Table1[Total_Sales]+Table1[Shipping_Cost]</f>
        <v>36.83</v>
      </c>
    </row>
    <row r="1775" spans="1:18" x14ac:dyDescent="0.35">
      <c r="A1775" s="3" t="s">
        <v>3263</v>
      </c>
      <c r="B1775" s="2">
        <v>45915</v>
      </c>
      <c r="C1775" s="1" t="s">
        <v>3264</v>
      </c>
      <c r="D1775" s="1" t="s">
        <v>30</v>
      </c>
      <c r="E1775" s="1" t="s">
        <v>85</v>
      </c>
      <c r="F1775" s="1" t="s">
        <v>60</v>
      </c>
      <c r="G1775" s="1" t="s">
        <v>20</v>
      </c>
      <c r="H1775" s="1" t="s">
        <v>27</v>
      </c>
      <c r="I1775" s="1">
        <v>3</v>
      </c>
      <c r="J1775" s="1">
        <v>70.319999999999993</v>
      </c>
      <c r="K1775" s="1">
        <v>15</v>
      </c>
      <c r="L1775" s="1">
        <v>179.32</v>
      </c>
      <c r="M1775" s="1">
        <v>16.16</v>
      </c>
      <c r="N1775" s="1">
        <v>47.13</v>
      </c>
      <c r="O1775" s="6" t="s">
        <v>39</v>
      </c>
      <c r="P1775" s="8">
        <f>Table1[Quantity]*Table1[Unit_Price]</f>
        <v>210.95999999999998</v>
      </c>
      <c r="Q1775" s="1">
        <f>Table1[Profit]/Table1[Total_Sales]</f>
        <v>0.26282623243363823</v>
      </c>
      <c r="R1775" s="14">
        <f>Table1[Total_Sales]+Table1[Shipping_Cost]</f>
        <v>195.48</v>
      </c>
    </row>
    <row r="1776" spans="1:18" x14ac:dyDescent="0.35">
      <c r="A1776" s="3" t="s">
        <v>3265</v>
      </c>
      <c r="B1776" s="2">
        <v>45915</v>
      </c>
      <c r="C1776" s="1" t="s">
        <v>1687</v>
      </c>
      <c r="D1776" s="1" t="s">
        <v>17</v>
      </c>
      <c r="E1776" s="1" t="s">
        <v>25</v>
      </c>
      <c r="F1776" s="1" t="s">
        <v>26</v>
      </c>
      <c r="G1776" s="1" t="s">
        <v>32</v>
      </c>
      <c r="H1776" s="1" t="s">
        <v>73</v>
      </c>
      <c r="I1776" s="1">
        <v>3</v>
      </c>
      <c r="J1776" s="1">
        <v>9.6999999999999993</v>
      </c>
      <c r="K1776" s="1">
        <v>5</v>
      </c>
      <c r="L1776" s="1">
        <v>27.64</v>
      </c>
      <c r="M1776" s="1">
        <v>13.8</v>
      </c>
      <c r="N1776" s="1">
        <v>0.75</v>
      </c>
      <c r="O1776" s="6" t="s">
        <v>34</v>
      </c>
      <c r="P1776" s="8">
        <f>Table1[Quantity]*Table1[Unit_Price]</f>
        <v>29.099999999999998</v>
      </c>
      <c r="Q1776" s="1">
        <f>Table1[Profit]/Table1[Total_Sales]</f>
        <v>2.7134587554269174E-2</v>
      </c>
      <c r="R1776" s="14">
        <f>Table1[Total_Sales]+Table1[Shipping_Cost]</f>
        <v>41.44</v>
      </c>
    </row>
    <row r="1777" spans="1:18" x14ac:dyDescent="0.35">
      <c r="A1777" s="3" t="s">
        <v>3266</v>
      </c>
      <c r="B1777" s="2">
        <v>45915</v>
      </c>
      <c r="C1777" s="1" t="s">
        <v>3267</v>
      </c>
      <c r="D1777" s="1" t="s">
        <v>49</v>
      </c>
      <c r="E1777" s="1" t="s">
        <v>166</v>
      </c>
      <c r="F1777" s="1" t="s">
        <v>60</v>
      </c>
      <c r="G1777" s="1" t="s">
        <v>32</v>
      </c>
      <c r="H1777" s="1" t="s">
        <v>110</v>
      </c>
      <c r="I1777" s="1">
        <v>9</v>
      </c>
      <c r="J1777" s="1">
        <v>10.29</v>
      </c>
      <c r="K1777" s="1">
        <v>0</v>
      </c>
      <c r="L1777" s="1">
        <v>92.61</v>
      </c>
      <c r="M1777" s="1">
        <v>30.73</v>
      </c>
      <c r="N1777" s="1">
        <v>20.21</v>
      </c>
      <c r="O1777" s="6" t="s">
        <v>22</v>
      </c>
      <c r="P1777" s="8">
        <f>Table1[Quantity]*Table1[Unit_Price]</f>
        <v>92.609999999999985</v>
      </c>
      <c r="Q1777" s="1">
        <f>Table1[Profit]/Table1[Total_Sales]</f>
        <v>0.21822697332901417</v>
      </c>
      <c r="R1777" s="14">
        <f>Table1[Total_Sales]+Table1[Shipping_Cost]</f>
        <v>123.34</v>
      </c>
    </row>
    <row r="1778" spans="1:18" x14ac:dyDescent="0.35">
      <c r="A1778" s="3" t="s">
        <v>3268</v>
      </c>
      <c r="B1778" s="2">
        <v>45916</v>
      </c>
      <c r="C1778" s="1" t="s">
        <v>1729</v>
      </c>
      <c r="D1778" s="1" t="s">
        <v>49</v>
      </c>
      <c r="E1778" s="1" t="s">
        <v>248</v>
      </c>
      <c r="F1778" s="1" t="s">
        <v>26</v>
      </c>
      <c r="G1778" s="1" t="s">
        <v>20</v>
      </c>
      <c r="H1778" s="1" t="s">
        <v>106</v>
      </c>
      <c r="I1778" s="1">
        <v>1</v>
      </c>
      <c r="J1778" s="1">
        <v>39.869999999999997</v>
      </c>
      <c r="K1778" s="1">
        <v>0</v>
      </c>
      <c r="L1778" s="1">
        <v>39.869999999999997</v>
      </c>
      <c r="M1778" s="1">
        <v>8.3800000000000008</v>
      </c>
      <c r="N1778" s="1">
        <v>9.56</v>
      </c>
      <c r="O1778" s="6" t="s">
        <v>39</v>
      </c>
      <c r="P1778" s="8">
        <f>Table1[Quantity]*Table1[Unit_Price]</f>
        <v>39.869999999999997</v>
      </c>
      <c r="Q1778" s="1">
        <f>Table1[Profit]/Table1[Total_Sales]</f>
        <v>0.23977928266867321</v>
      </c>
      <c r="R1778" s="14">
        <f>Table1[Total_Sales]+Table1[Shipping_Cost]</f>
        <v>48.25</v>
      </c>
    </row>
    <row r="1779" spans="1:18" x14ac:dyDescent="0.35">
      <c r="A1779" s="3" t="s">
        <v>3269</v>
      </c>
      <c r="B1779" s="2">
        <v>45916</v>
      </c>
      <c r="C1779" s="1" t="s">
        <v>3118</v>
      </c>
      <c r="D1779" s="1" t="s">
        <v>17</v>
      </c>
      <c r="E1779" s="1" t="s">
        <v>63</v>
      </c>
      <c r="F1779" s="1" t="s">
        <v>54</v>
      </c>
      <c r="G1779" s="1" t="s">
        <v>69</v>
      </c>
      <c r="H1779" s="1" t="s">
        <v>163</v>
      </c>
      <c r="I1779" s="1">
        <v>2</v>
      </c>
      <c r="J1779" s="1">
        <v>64.38</v>
      </c>
      <c r="K1779" s="1">
        <v>0</v>
      </c>
      <c r="L1779" s="1">
        <v>128.76</v>
      </c>
      <c r="M1779" s="1">
        <v>14.62</v>
      </c>
      <c r="N1779" s="1">
        <v>49.76</v>
      </c>
      <c r="O1779" s="6" t="s">
        <v>34</v>
      </c>
      <c r="P1779" s="8">
        <f>Table1[Quantity]*Table1[Unit_Price]</f>
        <v>128.76</v>
      </c>
      <c r="Q1779" s="1">
        <f>Table1[Profit]/Table1[Total_Sales]</f>
        <v>0.38645542093817958</v>
      </c>
      <c r="R1779" s="14">
        <f>Table1[Total_Sales]+Table1[Shipping_Cost]</f>
        <v>143.38</v>
      </c>
    </row>
    <row r="1780" spans="1:18" x14ac:dyDescent="0.35">
      <c r="A1780" s="3" t="s">
        <v>3270</v>
      </c>
      <c r="B1780" s="2">
        <v>45916</v>
      </c>
      <c r="C1780" s="1" t="s">
        <v>3271</v>
      </c>
      <c r="D1780" s="1" t="s">
        <v>17</v>
      </c>
      <c r="E1780" s="1" t="s">
        <v>129</v>
      </c>
      <c r="F1780" s="1" t="s">
        <v>19</v>
      </c>
      <c r="G1780" s="1" t="s">
        <v>69</v>
      </c>
      <c r="H1780" s="1" t="s">
        <v>243</v>
      </c>
      <c r="I1780" s="1">
        <v>1</v>
      </c>
      <c r="J1780" s="1">
        <v>42.67</v>
      </c>
      <c r="K1780" s="1">
        <v>20</v>
      </c>
      <c r="L1780" s="1">
        <v>34.14</v>
      </c>
      <c r="M1780" s="1">
        <v>5.71</v>
      </c>
      <c r="N1780" s="1">
        <v>7.09</v>
      </c>
      <c r="O1780" s="6" t="s">
        <v>39</v>
      </c>
      <c r="P1780" s="8">
        <f>Table1[Quantity]*Table1[Unit_Price]</f>
        <v>42.67</v>
      </c>
      <c r="Q1780" s="1">
        <f>Table1[Profit]/Table1[Total_Sales]</f>
        <v>0.20767428236672525</v>
      </c>
      <c r="R1780" s="14">
        <f>Table1[Total_Sales]+Table1[Shipping_Cost]</f>
        <v>39.85</v>
      </c>
    </row>
    <row r="1781" spans="1:18" x14ac:dyDescent="0.35">
      <c r="A1781" s="3" t="s">
        <v>3272</v>
      </c>
      <c r="B1781" s="2">
        <v>45916</v>
      </c>
      <c r="C1781" s="1" t="s">
        <v>3273</v>
      </c>
      <c r="D1781" s="1" t="s">
        <v>49</v>
      </c>
      <c r="E1781" s="1" t="s">
        <v>129</v>
      </c>
      <c r="F1781" s="1" t="s">
        <v>19</v>
      </c>
      <c r="G1781" s="1" t="s">
        <v>42</v>
      </c>
      <c r="H1781" s="1" t="s">
        <v>43</v>
      </c>
      <c r="I1781" s="1">
        <v>2</v>
      </c>
      <c r="J1781" s="1">
        <v>330.31</v>
      </c>
      <c r="K1781" s="1">
        <v>0</v>
      </c>
      <c r="L1781" s="1">
        <v>660.62</v>
      </c>
      <c r="M1781" s="1">
        <v>6.51</v>
      </c>
      <c r="N1781" s="1">
        <v>257.74</v>
      </c>
      <c r="O1781" s="6" t="s">
        <v>34</v>
      </c>
      <c r="P1781" s="8">
        <f>Table1[Quantity]*Table1[Unit_Price]</f>
        <v>660.62</v>
      </c>
      <c r="Q1781" s="1">
        <f>Table1[Profit]/Table1[Total_Sales]</f>
        <v>0.39014864823953255</v>
      </c>
      <c r="R1781" s="14">
        <f>Table1[Total_Sales]+Table1[Shipping_Cost]</f>
        <v>667.13</v>
      </c>
    </row>
    <row r="1782" spans="1:18" x14ac:dyDescent="0.35">
      <c r="A1782" s="3" t="s">
        <v>3274</v>
      </c>
      <c r="B1782" s="2">
        <v>45916</v>
      </c>
      <c r="C1782" s="1" t="s">
        <v>3275</v>
      </c>
      <c r="D1782" s="1" t="s">
        <v>30</v>
      </c>
      <c r="E1782" s="1" t="s">
        <v>148</v>
      </c>
      <c r="F1782" s="1" t="s">
        <v>60</v>
      </c>
      <c r="G1782" s="1" t="s">
        <v>69</v>
      </c>
      <c r="H1782" s="1" t="s">
        <v>86</v>
      </c>
      <c r="I1782" s="1">
        <v>1</v>
      </c>
      <c r="J1782" s="1">
        <v>105.62</v>
      </c>
      <c r="K1782" s="1">
        <v>10</v>
      </c>
      <c r="L1782" s="1">
        <v>95.06</v>
      </c>
      <c r="M1782" s="1">
        <v>9.73</v>
      </c>
      <c r="N1782" s="1">
        <v>32.520000000000003</v>
      </c>
      <c r="O1782" s="6" t="s">
        <v>39</v>
      </c>
      <c r="P1782" s="8">
        <f>Table1[Quantity]*Table1[Unit_Price]</f>
        <v>105.62</v>
      </c>
      <c r="Q1782" s="1">
        <f>Table1[Profit]/Table1[Total_Sales]</f>
        <v>0.3420997264885336</v>
      </c>
      <c r="R1782" s="14">
        <f>Table1[Total_Sales]+Table1[Shipping_Cost]</f>
        <v>104.79</v>
      </c>
    </row>
    <row r="1783" spans="1:18" x14ac:dyDescent="0.35">
      <c r="A1783" s="3" t="s">
        <v>3276</v>
      </c>
      <c r="B1783" s="2">
        <v>45916</v>
      </c>
      <c r="C1783" s="1" t="s">
        <v>3277</v>
      </c>
      <c r="D1783" s="1" t="s">
        <v>30</v>
      </c>
      <c r="E1783" s="1" t="s">
        <v>25</v>
      </c>
      <c r="F1783" s="1" t="s">
        <v>26</v>
      </c>
      <c r="G1783" s="1" t="s">
        <v>20</v>
      </c>
      <c r="H1783" s="1" t="s">
        <v>199</v>
      </c>
      <c r="I1783" s="1">
        <v>2</v>
      </c>
      <c r="J1783" s="1">
        <v>195.6</v>
      </c>
      <c r="K1783" s="1">
        <v>5</v>
      </c>
      <c r="L1783" s="1">
        <v>371.64</v>
      </c>
      <c r="M1783" s="1">
        <v>8.1999999999999993</v>
      </c>
      <c r="N1783" s="1">
        <v>148.28</v>
      </c>
      <c r="O1783" s="6" t="s">
        <v>39</v>
      </c>
      <c r="P1783" s="8">
        <f>Table1[Quantity]*Table1[Unit_Price]</f>
        <v>391.2</v>
      </c>
      <c r="Q1783" s="1">
        <f>Table1[Profit]/Table1[Total_Sales]</f>
        <v>0.3989882682165537</v>
      </c>
      <c r="R1783" s="14">
        <f>Table1[Total_Sales]+Table1[Shipping_Cost]</f>
        <v>379.84</v>
      </c>
    </row>
    <row r="1784" spans="1:18" x14ac:dyDescent="0.35">
      <c r="A1784" s="3" t="s">
        <v>3278</v>
      </c>
      <c r="B1784" s="2">
        <v>45917</v>
      </c>
      <c r="C1784" s="1" t="s">
        <v>16</v>
      </c>
      <c r="D1784" s="1" t="s">
        <v>30</v>
      </c>
      <c r="E1784" s="1" t="s">
        <v>248</v>
      </c>
      <c r="F1784" s="1" t="s">
        <v>26</v>
      </c>
      <c r="G1784" s="1" t="s">
        <v>42</v>
      </c>
      <c r="H1784" s="1" t="s">
        <v>64</v>
      </c>
      <c r="I1784" s="1">
        <v>6</v>
      </c>
      <c r="J1784" s="1">
        <v>64.16</v>
      </c>
      <c r="K1784" s="1">
        <v>15</v>
      </c>
      <c r="L1784" s="1">
        <v>327.22000000000003</v>
      </c>
      <c r="M1784" s="1">
        <v>11.04</v>
      </c>
      <c r="N1784" s="1">
        <v>85.2</v>
      </c>
      <c r="O1784" s="6" t="s">
        <v>22</v>
      </c>
      <c r="P1784" s="8">
        <f>Table1[Quantity]*Table1[Unit_Price]</f>
        <v>384.96</v>
      </c>
      <c r="Q1784" s="1">
        <f>Table1[Profit]/Table1[Total_Sales]</f>
        <v>0.2603752826844325</v>
      </c>
      <c r="R1784" s="14">
        <f>Table1[Total_Sales]+Table1[Shipping_Cost]</f>
        <v>338.26000000000005</v>
      </c>
    </row>
    <row r="1785" spans="1:18" x14ac:dyDescent="0.35">
      <c r="A1785" s="3" t="s">
        <v>3279</v>
      </c>
      <c r="B1785" s="2">
        <v>45919</v>
      </c>
      <c r="C1785" s="1" t="s">
        <v>3280</v>
      </c>
      <c r="D1785" s="1" t="s">
        <v>17</v>
      </c>
      <c r="E1785" s="1" t="s">
        <v>25</v>
      </c>
      <c r="F1785" s="1" t="s">
        <v>26</v>
      </c>
      <c r="G1785" s="1" t="s">
        <v>42</v>
      </c>
      <c r="H1785" s="1" t="s">
        <v>64</v>
      </c>
      <c r="I1785" s="1">
        <v>2</v>
      </c>
      <c r="J1785" s="1">
        <v>85.22</v>
      </c>
      <c r="K1785" s="1">
        <v>5</v>
      </c>
      <c r="L1785" s="1">
        <v>161.91999999999999</v>
      </c>
      <c r="M1785" s="1">
        <v>9.2799999999999994</v>
      </c>
      <c r="N1785" s="1">
        <v>50.38</v>
      </c>
      <c r="O1785" s="6" t="s">
        <v>34</v>
      </c>
      <c r="P1785" s="8">
        <f>Table1[Quantity]*Table1[Unit_Price]</f>
        <v>170.44</v>
      </c>
      <c r="Q1785" s="1">
        <f>Table1[Profit]/Table1[Total_Sales]</f>
        <v>0.31114130434782611</v>
      </c>
      <c r="R1785" s="14">
        <f>Table1[Total_Sales]+Table1[Shipping_Cost]</f>
        <v>171.2</v>
      </c>
    </row>
    <row r="1786" spans="1:18" x14ac:dyDescent="0.35">
      <c r="A1786" s="3" t="s">
        <v>3281</v>
      </c>
      <c r="B1786" s="2">
        <v>45919</v>
      </c>
      <c r="C1786" s="1" t="s">
        <v>3282</v>
      </c>
      <c r="D1786" s="1" t="s">
        <v>49</v>
      </c>
      <c r="E1786" s="1" t="s">
        <v>129</v>
      </c>
      <c r="F1786" s="1" t="s">
        <v>19</v>
      </c>
      <c r="G1786" s="1" t="s">
        <v>69</v>
      </c>
      <c r="H1786" s="1" t="s">
        <v>196</v>
      </c>
      <c r="I1786" s="1">
        <v>1</v>
      </c>
      <c r="J1786" s="1">
        <v>9.94</v>
      </c>
      <c r="K1786" s="1">
        <v>20</v>
      </c>
      <c r="L1786" s="1">
        <v>7.95</v>
      </c>
      <c r="M1786" s="1">
        <v>6.62</v>
      </c>
      <c r="N1786" s="1">
        <v>-3.64</v>
      </c>
      <c r="O1786" s="6" t="s">
        <v>56</v>
      </c>
      <c r="P1786" s="8">
        <f>Table1[Quantity]*Table1[Unit_Price]</f>
        <v>9.94</v>
      </c>
      <c r="Q1786" s="1">
        <f>Table1[Profit]/Table1[Total_Sales]</f>
        <v>-0.4578616352201258</v>
      </c>
      <c r="R1786" s="14">
        <f>Table1[Total_Sales]+Table1[Shipping_Cost]</f>
        <v>14.57</v>
      </c>
    </row>
    <row r="1787" spans="1:18" x14ac:dyDescent="0.35">
      <c r="A1787" s="3" t="s">
        <v>3283</v>
      </c>
      <c r="B1787" s="2">
        <v>45919</v>
      </c>
      <c r="C1787" s="1" t="s">
        <v>3284</v>
      </c>
      <c r="D1787" s="1" t="s">
        <v>30</v>
      </c>
      <c r="E1787" s="1" t="s">
        <v>92</v>
      </c>
      <c r="F1787" s="1" t="s">
        <v>60</v>
      </c>
      <c r="G1787" s="1" t="s">
        <v>42</v>
      </c>
      <c r="H1787" s="1" t="s">
        <v>46</v>
      </c>
      <c r="I1787" s="1">
        <v>1</v>
      </c>
      <c r="J1787" s="1">
        <v>167.52</v>
      </c>
      <c r="K1787" s="1">
        <v>0</v>
      </c>
      <c r="L1787" s="1">
        <v>167.52</v>
      </c>
      <c r="M1787" s="1">
        <v>10.49</v>
      </c>
      <c r="N1787" s="1">
        <v>56.52</v>
      </c>
      <c r="O1787" s="6" t="s">
        <v>39</v>
      </c>
      <c r="P1787" s="8">
        <f>Table1[Quantity]*Table1[Unit_Price]</f>
        <v>167.52</v>
      </c>
      <c r="Q1787" s="1">
        <f>Table1[Profit]/Table1[Total_Sales]</f>
        <v>0.33739255014326647</v>
      </c>
      <c r="R1787" s="14">
        <f>Table1[Total_Sales]+Table1[Shipping_Cost]</f>
        <v>178.01000000000002</v>
      </c>
    </row>
    <row r="1788" spans="1:18" x14ac:dyDescent="0.35">
      <c r="A1788" s="3" t="s">
        <v>3285</v>
      </c>
      <c r="B1788" s="2">
        <v>45919</v>
      </c>
      <c r="C1788" s="1" t="s">
        <v>3286</v>
      </c>
      <c r="D1788" s="1" t="s">
        <v>49</v>
      </c>
      <c r="E1788" s="1" t="s">
        <v>37</v>
      </c>
      <c r="F1788" s="1" t="s">
        <v>26</v>
      </c>
      <c r="G1788" s="1" t="s">
        <v>42</v>
      </c>
      <c r="H1788" s="1" t="s">
        <v>43</v>
      </c>
      <c r="I1788" s="1">
        <v>1</v>
      </c>
      <c r="J1788" s="1">
        <v>237.11</v>
      </c>
      <c r="K1788" s="1">
        <v>20</v>
      </c>
      <c r="L1788" s="1">
        <v>189.69</v>
      </c>
      <c r="M1788" s="1">
        <v>7.78</v>
      </c>
      <c r="N1788" s="1">
        <v>39.64</v>
      </c>
      <c r="O1788" s="6" t="s">
        <v>56</v>
      </c>
      <c r="P1788" s="8">
        <f>Table1[Quantity]*Table1[Unit_Price]</f>
        <v>237.11</v>
      </c>
      <c r="Q1788" s="1">
        <f>Table1[Profit]/Table1[Total_Sales]</f>
        <v>0.20897253413464073</v>
      </c>
      <c r="R1788" s="14">
        <f>Table1[Total_Sales]+Table1[Shipping_Cost]</f>
        <v>197.47</v>
      </c>
    </row>
    <row r="1789" spans="1:18" x14ac:dyDescent="0.35">
      <c r="A1789" s="3" t="s">
        <v>3287</v>
      </c>
      <c r="B1789" s="2">
        <v>45919</v>
      </c>
      <c r="C1789" s="1" t="s">
        <v>3288</v>
      </c>
      <c r="D1789" s="1" t="s">
        <v>49</v>
      </c>
      <c r="E1789" s="1" t="s">
        <v>67</v>
      </c>
      <c r="F1789" s="1" t="s">
        <v>68</v>
      </c>
      <c r="G1789" s="1" t="s">
        <v>32</v>
      </c>
      <c r="H1789" s="1" t="s">
        <v>82</v>
      </c>
      <c r="I1789" s="1">
        <v>6</v>
      </c>
      <c r="J1789" s="1">
        <v>20.04</v>
      </c>
      <c r="K1789" s="1">
        <v>10</v>
      </c>
      <c r="L1789" s="1">
        <v>108.22</v>
      </c>
      <c r="M1789" s="1">
        <v>13.93</v>
      </c>
      <c r="N1789" s="1">
        <v>40.18</v>
      </c>
      <c r="O1789" s="6" t="s">
        <v>39</v>
      </c>
      <c r="P1789" s="8">
        <f>Table1[Quantity]*Table1[Unit_Price]</f>
        <v>120.24</v>
      </c>
      <c r="Q1789" s="1">
        <f>Table1[Profit]/Table1[Total_Sales]</f>
        <v>0.37128072445019406</v>
      </c>
      <c r="R1789" s="14">
        <f>Table1[Total_Sales]+Table1[Shipping_Cost]</f>
        <v>122.15</v>
      </c>
    </row>
    <row r="1790" spans="1:18" x14ac:dyDescent="0.35">
      <c r="A1790" s="3" t="s">
        <v>3289</v>
      </c>
      <c r="B1790" s="2">
        <v>45920</v>
      </c>
      <c r="C1790" s="1" t="s">
        <v>2666</v>
      </c>
      <c r="D1790" s="1" t="s">
        <v>30</v>
      </c>
      <c r="E1790" s="1" t="s">
        <v>25</v>
      </c>
      <c r="F1790" s="1" t="s">
        <v>26</v>
      </c>
      <c r="G1790" s="1" t="s">
        <v>42</v>
      </c>
      <c r="H1790" s="1" t="s">
        <v>43</v>
      </c>
      <c r="I1790" s="1">
        <v>7</v>
      </c>
      <c r="J1790" s="1">
        <v>311.45999999999998</v>
      </c>
      <c r="K1790" s="1">
        <v>0</v>
      </c>
      <c r="L1790" s="1">
        <v>2180.2199999999998</v>
      </c>
      <c r="M1790" s="1">
        <v>11.81</v>
      </c>
      <c r="N1790" s="1">
        <v>860.28</v>
      </c>
      <c r="O1790" s="6" t="s">
        <v>22</v>
      </c>
      <c r="P1790" s="8">
        <f>Table1[Quantity]*Table1[Unit_Price]</f>
        <v>2180.2199999999998</v>
      </c>
      <c r="Q1790" s="1">
        <f>Table1[Profit]/Table1[Total_Sales]</f>
        <v>0.39458403280402898</v>
      </c>
      <c r="R1790" s="14">
        <f>Table1[Total_Sales]+Table1[Shipping_Cost]</f>
        <v>2192.0299999999997</v>
      </c>
    </row>
    <row r="1791" spans="1:18" x14ac:dyDescent="0.35">
      <c r="A1791" s="3" t="s">
        <v>3290</v>
      </c>
      <c r="B1791" s="2">
        <v>45922</v>
      </c>
      <c r="C1791" s="1" t="s">
        <v>3291</v>
      </c>
      <c r="D1791" s="1" t="s">
        <v>17</v>
      </c>
      <c r="E1791" s="1" t="s">
        <v>121</v>
      </c>
      <c r="F1791" s="1" t="s">
        <v>68</v>
      </c>
      <c r="G1791" s="1" t="s">
        <v>42</v>
      </c>
      <c r="H1791" s="1" t="s">
        <v>255</v>
      </c>
      <c r="I1791" s="1">
        <v>2</v>
      </c>
      <c r="J1791" s="1">
        <v>42.2</v>
      </c>
      <c r="K1791" s="1">
        <v>15</v>
      </c>
      <c r="L1791" s="1">
        <v>71.739999999999995</v>
      </c>
      <c r="M1791" s="1">
        <v>12.37</v>
      </c>
      <c r="N1791" s="1">
        <v>8.73</v>
      </c>
      <c r="O1791" s="6" t="s">
        <v>34</v>
      </c>
      <c r="P1791" s="8">
        <f>Table1[Quantity]*Table1[Unit_Price]</f>
        <v>84.4</v>
      </c>
      <c r="Q1791" s="1">
        <f>Table1[Profit]/Table1[Total_Sales]</f>
        <v>0.12168943406746587</v>
      </c>
      <c r="R1791" s="14">
        <f>Table1[Total_Sales]+Table1[Shipping_Cost]</f>
        <v>84.11</v>
      </c>
    </row>
    <row r="1792" spans="1:18" x14ac:dyDescent="0.35">
      <c r="A1792" s="3" t="s">
        <v>3292</v>
      </c>
      <c r="B1792" s="2">
        <v>45922</v>
      </c>
      <c r="C1792" s="1" t="s">
        <v>3293</v>
      </c>
      <c r="D1792" s="1" t="s">
        <v>17</v>
      </c>
      <c r="E1792" s="1" t="s">
        <v>129</v>
      </c>
      <c r="F1792" s="1" t="s">
        <v>19</v>
      </c>
      <c r="G1792" s="1" t="s">
        <v>69</v>
      </c>
      <c r="H1792" s="1" t="s">
        <v>70</v>
      </c>
      <c r="I1792" s="1">
        <v>8</v>
      </c>
      <c r="J1792" s="1">
        <v>15.3</v>
      </c>
      <c r="K1792" s="1">
        <v>10</v>
      </c>
      <c r="L1792" s="1">
        <v>110.16</v>
      </c>
      <c r="M1792" s="1">
        <v>9.77</v>
      </c>
      <c r="N1792" s="1">
        <v>39.19</v>
      </c>
      <c r="O1792" s="6" t="s">
        <v>22</v>
      </c>
      <c r="P1792" s="8">
        <f>Table1[Quantity]*Table1[Unit_Price]</f>
        <v>122.4</v>
      </c>
      <c r="Q1792" s="1">
        <f>Table1[Profit]/Table1[Total_Sales]</f>
        <v>0.35575526506899052</v>
      </c>
      <c r="R1792" s="14">
        <f>Table1[Total_Sales]+Table1[Shipping_Cost]</f>
        <v>119.92999999999999</v>
      </c>
    </row>
    <row r="1793" spans="1:18" x14ac:dyDescent="0.35">
      <c r="A1793" s="3" t="s">
        <v>3294</v>
      </c>
      <c r="B1793" s="2">
        <v>45923</v>
      </c>
      <c r="C1793" s="1" t="s">
        <v>3295</v>
      </c>
      <c r="D1793" s="1" t="s">
        <v>30</v>
      </c>
      <c r="E1793" s="1" t="s">
        <v>148</v>
      </c>
      <c r="F1793" s="1" t="s">
        <v>60</v>
      </c>
      <c r="G1793" s="1" t="s">
        <v>42</v>
      </c>
      <c r="H1793" s="1" t="s">
        <v>64</v>
      </c>
      <c r="I1793" s="1">
        <v>4</v>
      </c>
      <c r="J1793" s="1">
        <v>72.47</v>
      </c>
      <c r="K1793" s="1">
        <v>10</v>
      </c>
      <c r="L1793" s="1">
        <v>260.89</v>
      </c>
      <c r="M1793" s="1">
        <v>14.16</v>
      </c>
      <c r="N1793" s="1">
        <v>72.8</v>
      </c>
      <c r="O1793" s="6" t="s">
        <v>34</v>
      </c>
      <c r="P1793" s="8">
        <f>Table1[Quantity]*Table1[Unit_Price]</f>
        <v>289.88</v>
      </c>
      <c r="Q1793" s="1">
        <f>Table1[Profit]/Table1[Total_Sales]</f>
        <v>0.27904480815669441</v>
      </c>
      <c r="R1793" s="14">
        <f>Table1[Total_Sales]+Table1[Shipping_Cost]</f>
        <v>275.05</v>
      </c>
    </row>
    <row r="1794" spans="1:18" x14ac:dyDescent="0.35">
      <c r="A1794" s="3" t="s">
        <v>3296</v>
      </c>
      <c r="B1794" s="2">
        <v>45923</v>
      </c>
      <c r="C1794" s="1" t="s">
        <v>2559</v>
      </c>
      <c r="D1794" s="1" t="s">
        <v>30</v>
      </c>
      <c r="E1794" s="1" t="s">
        <v>37</v>
      </c>
      <c r="F1794" s="1" t="s">
        <v>26</v>
      </c>
      <c r="G1794" s="1" t="s">
        <v>32</v>
      </c>
      <c r="H1794" s="1" t="s">
        <v>82</v>
      </c>
      <c r="I1794" s="1">
        <v>12</v>
      </c>
      <c r="J1794" s="1">
        <v>9.02</v>
      </c>
      <c r="K1794" s="1">
        <v>5</v>
      </c>
      <c r="L1794" s="1">
        <v>102.83</v>
      </c>
      <c r="M1794" s="1">
        <v>26.58</v>
      </c>
      <c r="N1794" s="1">
        <v>27.54</v>
      </c>
      <c r="O1794" s="6" t="s">
        <v>22</v>
      </c>
      <c r="P1794" s="8">
        <f>Table1[Quantity]*Table1[Unit_Price]</f>
        <v>108.24</v>
      </c>
      <c r="Q1794" s="1">
        <f>Table1[Profit]/Table1[Total_Sales]</f>
        <v>0.26782067490032091</v>
      </c>
      <c r="R1794" s="14">
        <f>Table1[Total_Sales]+Table1[Shipping_Cost]</f>
        <v>129.41</v>
      </c>
    </row>
    <row r="1795" spans="1:18" x14ac:dyDescent="0.35">
      <c r="A1795" s="3" t="s">
        <v>3297</v>
      </c>
      <c r="B1795" s="2">
        <v>45923</v>
      </c>
      <c r="C1795" s="1" t="s">
        <v>3298</v>
      </c>
      <c r="D1795" s="1" t="s">
        <v>49</v>
      </c>
      <c r="E1795" s="1" t="s">
        <v>18</v>
      </c>
      <c r="F1795" s="1" t="s">
        <v>19</v>
      </c>
      <c r="G1795" s="1" t="s">
        <v>42</v>
      </c>
      <c r="H1795" s="1" t="s">
        <v>294</v>
      </c>
      <c r="I1795" s="1">
        <v>6</v>
      </c>
      <c r="J1795" s="1">
        <v>118.21</v>
      </c>
      <c r="K1795" s="1">
        <v>15</v>
      </c>
      <c r="L1795" s="1">
        <v>602.87</v>
      </c>
      <c r="M1795" s="1">
        <v>11.16</v>
      </c>
      <c r="N1795" s="1">
        <v>166.15</v>
      </c>
      <c r="O1795" s="6" t="s">
        <v>34</v>
      </c>
      <c r="P1795" s="8">
        <f>Table1[Quantity]*Table1[Unit_Price]</f>
        <v>709.26</v>
      </c>
      <c r="Q1795" s="1">
        <f>Table1[Profit]/Table1[Total_Sales]</f>
        <v>0.27559838771211043</v>
      </c>
      <c r="R1795" s="14">
        <f>Table1[Total_Sales]+Table1[Shipping_Cost]</f>
        <v>614.03</v>
      </c>
    </row>
    <row r="1796" spans="1:18" x14ac:dyDescent="0.35">
      <c r="A1796" s="3" t="s">
        <v>3299</v>
      </c>
      <c r="B1796" s="2">
        <v>45924</v>
      </c>
      <c r="C1796" s="1" t="s">
        <v>3300</v>
      </c>
      <c r="D1796" s="1" t="s">
        <v>30</v>
      </c>
      <c r="E1796" s="1" t="s">
        <v>248</v>
      </c>
      <c r="F1796" s="1" t="s">
        <v>26</v>
      </c>
      <c r="G1796" s="1" t="s">
        <v>32</v>
      </c>
      <c r="H1796" s="1" t="s">
        <v>115</v>
      </c>
      <c r="I1796" s="1">
        <v>1</v>
      </c>
      <c r="J1796" s="1">
        <v>15.04</v>
      </c>
      <c r="K1796" s="1">
        <v>0</v>
      </c>
      <c r="L1796" s="1">
        <v>15.04</v>
      </c>
      <c r="M1796" s="1">
        <v>9.15</v>
      </c>
      <c r="N1796" s="1">
        <v>-0.88</v>
      </c>
      <c r="O1796" s="6" t="s">
        <v>22</v>
      </c>
      <c r="P1796" s="8">
        <f>Table1[Quantity]*Table1[Unit_Price]</f>
        <v>15.04</v>
      </c>
      <c r="Q1796" s="1">
        <f>Table1[Profit]/Table1[Total_Sales]</f>
        <v>-5.8510638297872342E-2</v>
      </c>
      <c r="R1796" s="14">
        <f>Table1[Total_Sales]+Table1[Shipping_Cost]</f>
        <v>24.189999999999998</v>
      </c>
    </row>
    <row r="1797" spans="1:18" x14ac:dyDescent="0.35">
      <c r="A1797" s="3" t="s">
        <v>3301</v>
      </c>
      <c r="B1797" s="2">
        <v>45924</v>
      </c>
      <c r="C1797" s="1" t="s">
        <v>401</v>
      </c>
      <c r="D1797" s="1" t="s">
        <v>30</v>
      </c>
      <c r="E1797" s="1" t="s">
        <v>138</v>
      </c>
      <c r="F1797" s="1" t="s">
        <v>54</v>
      </c>
      <c r="G1797" s="1" t="s">
        <v>32</v>
      </c>
      <c r="H1797" s="1" t="s">
        <v>132</v>
      </c>
      <c r="I1797" s="1">
        <v>7</v>
      </c>
      <c r="J1797" s="1">
        <v>7.09</v>
      </c>
      <c r="K1797" s="1">
        <v>5</v>
      </c>
      <c r="L1797" s="1">
        <v>47.15</v>
      </c>
      <c r="M1797" s="1">
        <v>17.72</v>
      </c>
      <c r="N1797" s="1">
        <v>7.1</v>
      </c>
      <c r="O1797" s="6" t="s">
        <v>39</v>
      </c>
      <c r="P1797" s="8">
        <f>Table1[Quantity]*Table1[Unit_Price]</f>
        <v>49.629999999999995</v>
      </c>
      <c r="Q1797" s="1">
        <f>Table1[Profit]/Table1[Total_Sales]</f>
        <v>0.15058324496288442</v>
      </c>
      <c r="R1797" s="14">
        <f>Table1[Total_Sales]+Table1[Shipping_Cost]</f>
        <v>64.87</v>
      </c>
    </row>
    <row r="1798" spans="1:18" x14ac:dyDescent="0.35">
      <c r="A1798" s="3" t="s">
        <v>3302</v>
      </c>
      <c r="B1798" s="2">
        <v>45925</v>
      </c>
      <c r="C1798" s="1" t="s">
        <v>3303</v>
      </c>
      <c r="D1798" s="1" t="s">
        <v>30</v>
      </c>
      <c r="E1798" s="1" t="s">
        <v>85</v>
      </c>
      <c r="F1798" s="1" t="s">
        <v>60</v>
      </c>
      <c r="G1798" s="1" t="s">
        <v>42</v>
      </c>
      <c r="H1798" s="1" t="s">
        <v>46</v>
      </c>
      <c r="I1798" s="1">
        <v>1</v>
      </c>
      <c r="J1798" s="1">
        <v>103.88</v>
      </c>
      <c r="K1798" s="1">
        <v>5</v>
      </c>
      <c r="L1798" s="1">
        <v>98.69</v>
      </c>
      <c r="M1798" s="1">
        <v>9.92</v>
      </c>
      <c r="N1798" s="1">
        <v>26.44</v>
      </c>
      <c r="O1798" s="6" t="s">
        <v>56</v>
      </c>
      <c r="P1798" s="8">
        <f>Table1[Quantity]*Table1[Unit_Price]</f>
        <v>103.88</v>
      </c>
      <c r="Q1798" s="1">
        <f>Table1[Profit]/Table1[Total_Sales]</f>
        <v>0.26790961596919649</v>
      </c>
      <c r="R1798" s="14">
        <f>Table1[Total_Sales]+Table1[Shipping_Cost]</f>
        <v>108.61</v>
      </c>
    </row>
    <row r="1799" spans="1:18" x14ac:dyDescent="0.35">
      <c r="A1799" s="3" t="s">
        <v>3304</v>
      </c>
      <c r="B1799" s="2">
        <v>45925</v>
      </c>
      <c r="C1799" s="1" t="s">
        <v>3305</v>
      </c>
      <c r="D1799" s="1" t="s">
        <v>30</v>
      </c>
      <c r="E1799" s="1" t="s">
        <v>37</v>
      </c>
      <c r="F1799" s="1" t="s">
        <v>26</v>
      </c>
      <c r="G1799" s="1" t="s">
        <v>32</v>
      </c>
      <c r="H1799" s="1" t="s">
        <v>132</v>
      </c>
      <c r="I1799" s="1">
        <v>4</v>
      </c>
      <c r="J1799" s="1">
        <v>15.78</v>
      </c>
      <c r="K1799" s="1">
        <v>10</v>
      </c>
      <c r="L1799" s="1">
        <v>56.81</v>
      </c>
      <c r="M1799" s="1">
        <v>13.58</v>
      </c>
      <c r="N1799" s="1">
        <v>14.83</v>
      </c>
      <c r="O1799" s="6" t="s">
        <v>39</v>
      </c>
      <c r="P1799" s="8">
        <f>Table1[Quantity]*Table1[Unit_Price]</f>
        <v>63.12</v>
      </c>
      <c r="Q1799" s="1">
        <f>Table1[Profit]/Table1[Total_Sales]</f>
        <v>0.26104559056504134</v>
      </c>
      <c r="R1799" s="14">
        <f>Table1[Total_Sales]+Table1[Shipping_Cost]</f>
        <v>70.39</v>
      </c>
    </row>
    <row r="1800" spans="1:18" x14ac:dyDescent="0.35">
      <c r="A1800" s="3" t="s">
        <v>3306</v>
      </c>
      <c r="B1800" s="2">
        <v>45925</v>
      </c>
      <c r="C1800" s="1" t="s">
        <v>3307</v>
      </c>
      <c r="D1800" s="1" t="s">
        <v>49</v>
      </c>
      <c r="E1800" s="1" t="s">
        <v>129</v>
      </c>
      <c r="F1800" s="1" t="s">
        <v>19</v>
      </c>
      <c r="G1800" s="1" t="s">
        <v>32</v>
      </c>
      <c r="H1800" s="1" t="s">
        <v>348</v>
      </c>
      <c r="I1800" s="1">
        <v>4</v>
      </c>
      <c r="J1800" s="1">
        <v>10.63</v>
      </c>
      <c r="K1800" s="1">
        <v>5</v>
      </c>
      <c r="L1800" s="1">
        <v>40.39</v>
      </c>
      <c r="M1800" s="1">
        <v>11.15</v>
      </c>
      <c r="N1800" s="1">
        <v>10.11</v>
      </c>
      <c r="O1800" s="6" t="s">
        <v>34</v>
      </c>
      <c r="P1800" s="8">
        <f>Table1[Quantity]*Table1[Unit_Price]</f>
        <v>42.52</v>
      </c>
      <c r="Q1800" s="1">
        <f>Table1[Profit]/Table1[Total_Sales]</f>
        <v>0.25030948254518443</v>
      </c>
      <c r="R1800" s="14">
        <f>Table1[Total_Sales]+Table1[Shipping_Cost]</f>
        <v>51.54</v>
      </c>
    </row>
    <row r="1801" spans="1:18" x14ac:dyDescent="0.35">
      <c r="A1801" s="3" t="s">
        <v>3308</v>
      </c>
      <c r="B1801" s="2">
        <v>45925</v>
      </c>
      <c r="C1801" s="1" t="s">
        <v>3309</v>
      </c>
      <c r="D1801" s="1" t="s">
        <v>17</v>
      </c>
      <c r="E1801" s="1" t="s">
        <v>135</v>
      </c>
      <c r="F1801" s="1" t="s">
        <v>26</v>
      </c>
      <c r="G1801" s="1" t="s">
        <v>69</v>
      </c>
      <c r="H1801" s="1" t="s">
        <v>86</v>
      </c>
      <c r="I1801" s="1">
        <v>1</v>
      </c>
      <c r="J1801" s="1">
        <v>78.87</v>
      </c>
      <c r="K1801" s="1">
        <v>25</v>
      </c>
      <c r="L1801" s="1">
        <v>59.15</v>
      </c>
      <c r="M1801" s="1">
        <v>8.91</v>
      </c>
      <c r="N1801" s="1">
        <v>10.8</v>
      </c>
      <c r="O1801" s="6" t="s">
        <v>39</v>
      </c>
      <c r="P1801" s="8">
        <f>Table1[Quantity]*Table1[Unit_Price]</f>
        <v>78.87</v>
      </c>
      <c r="Q1801" s="1">
        <f>Table1[Profit]/Table1[Total_Sales]</f>
        <v>0.18258664412510567</v>
      </c>
      <c r="R1801" s="14">
        <f>Table1[Total_Sales]+Table1[Shipping_Cost]</f>
        <v>68.06</v>
      </c>
    </row>
    <row r="1802" spans="1:18" x14ac:dyDescent="0.35">
      <c r="A1802" s="3" t="s">
        <v>3310</v>
      </c>
      <c r="B1802" s="2">
        <v>45926</v>
      </c>
      <c r="C1802" s="1" t="s">
        <v>2378</v>
      </c>
      <c r="D1802" s="1" t="s">
        <v>30</v>
      </c>
      <c r="E1802" s="1" t="s">
        <v>25</v>
      </c>
      <c r="F1802" s="1" t="s">
        <v>26</v>
      </c>
      <c r="G1802" s="1" t="s">
        <v>20</v>
      </c>
      <c r="H1802" s="1" t="s">
        <v>21</v>
      </c>
      <c r="I1802" s="1">
        <v>2</v>
      </c>
      <c r="J1802" s="1">
        <v>153.30000000000001</v>
      </c>
      <c r="K1802" s="1">
        <v>5</v>
      </c>
      <c r="L1802" s="1">
        <v>291.27</v>
      </c>
      <c r="M1802" s="1">
        <v>8.25</v>
      </c>
      <c r="N1802" s="1">
        <v>114.39</v>
      </c>
      <c r="O1802" s="6" t="s">
        <v>22</v>
      </c>
      <c r="P1802" s="8">
        <f>Table1[Quantity]*Table1[Unit_Price]</f>
        <v>306.60000000000002</v>
      </c>
      <c r="Q1802" s="1">
        <f>Table1[Profit]/Table1[Total_Sales]</f>
        <v>0.39272839633329903</v>
      </c>
      <c r="R1802" s="14">
        <f>Table1[Total_Sales]+Table1[Shipping_Cost]</f>
        <v>299.52</v>
      </c>
    </row>
    <row r="1803" spans="1:18" x14ac:dyDescent="0.35">
      <c r="A1803" s="3" t="s">
        <v>3311</v>
      </c>
      <c r="B1803" s="2">
        <v>45926</v>
      </c>
      <c r="C1803" s="1" t="s">
        <v>3312</v>
      </c>
      <c r="D1803" s="1" t="s">
        <v>17</v>
      </c>
      <c r="E1803" s="1" t="s">
        <v>53</v>
      </c>
      <c r="F1803" s="1" t="s">
        <v>54</v>
      </c>
      <c r="G1803" s="1" t="s">
        <v>20</v>
      </c>
      <c r="H1803" s="1" t="s">
        <v>21</v>
      </c>
      <c r="I1803" s="1">
        <v>2</v>
      </c>
      <c r="J1803" s="1">
        <v>171.18</v>
      </c>
      <c r="K1803" s="1">
        <v>10</v>
      </c>
      <c r="L1803" s="1">
        <v>308.12</v>
      </c>
      <c r="M1803" s="1">
        <v>12.02</v>
      </c>
      <c r="N1803" s="1">
        <v>107.8</v>
      </c>
      <c r="O1803" s="6" t="s">
        <v>22</v>
      </c>
      <c r="P1803" s="8">
        <f>Table1[Quantity]*Table1[Unit_Price]</f>
        <v>342.36</v>
      </c>
      <c r="Q1803" s="1">
        <f>Table1[Profit]/Table1[Total_Sales]</f>
        <v>0.34986368947163443</v>
      </c>
      <c r="R1803" s="14">
        <f>Table1[Total_Sales]+Table1[Shipping_Cost]</f>
        <v>320.14</v>
      </c>
    </row>
    <row r="1804" spans="1:18" x14ac:dyDescent="0.35">
      <c r="A1804" s="3" t="s">
        <v>3313</v>
      </c>
      <c r="B1804" s="2">
        <v>45926</v>
      </c>
      <c r="C1804" s="1" t="s">
        <v>217</v>
      </c>
      <c r="D1804" s="1" t="s">
        <v>17</v>
      </c>
      <c r="E1804" s="1" t="s">
        <v>85</v>
      </c>
      <c r="F1804" s="1" t="s">
        <v>60</v>
      </c>
      <c r="G1804" s="1" t="s">
        <v>32</v>
      </c>
      <c r="H1804" s="1" t="s">
        <v>132</v>
      </c>
      <c r="I1804" s="1">
        <v>3</v>
      </c>
      <c r="J1804" s="1">
        <v>11.89</v>
      </c>
      <c r="K1804" s="1">
        <v>25</v>
      </c>
      <c r="L1804" s="1">
        <v>26.75</v>
      </c>
      <c r="M1804" s="1">
        <v>12.8</v>
      </c>
      <c r="N1804" s="1">
        <v>-2.1</v>
      </c>
      <c r="O1804" s="6" t="s">
        <v>39</v>
      </c>
      <c r="P1804" s="8">
        <f>Table1[Quantity]*Table1[Unit_Price]</f>
        <v>35.67</v>
      </c>
      <c r="Q1804" s="1">
        <f>Table1[Profit]/Table1[Total_Sales]</f>
        <v>-7.8504672897196259E-2</v>
      </c>
      <c r="R1804" s="14">
        <f>Table1[Total_Sales]+Table1[Shipping_Cost]</f>
        <v>39.549999999999997</v>
      </c>
    </row>
    <row r="1805" spans="1:18" x14ac:dyDescent="0.35">
      <c r="A1805" s="3" t="s">
        <v>3314</v>
      </c>
      <c r="B1805" s="2">
        <v>45927</v>
      </c>
      <c r="C1805" s="1" t="s">
        <v>352</v>
      </c>
      <c r="D1805" s="1" t="s">
        <v>17</v>
      </c>
      <c r="E1805" s="1" t="s">
        <v>31</v>
      </c>
      <c r="F1805" s="1" t="s">
        <v>19</v>
      </c>
      <c r="G1805" s="1" t="s">
        <v>20</v>
      </c>
      <c r="H1805" s="1" t="s">
        <v>199</v>
      </c>
      <c r="I1805" s="1">
        <v>10</v>
      </c>
      <c r="J1805" s="1">
        <v>198.45</v>
      </c>
      <c r="K1805" s="1">
        <v>10</v>
      </c>
      <c r="L1805" s="1">
        <v>1786.05</v>
      </c>
      <c r="M1805" s="1">
        <v>26.78</v>
      </c>
      <c r="N1805" s="1">
        <v>667.79</v>
      </c>
      <c r="O1805" s="6" t="s">
        <v>34</v>
      </c>
      <c r="P1805" s="8">
        <f>Table1[Quantity]*Table1[Unit_Price]</f>
        <v>1984.5</v>
      </c>
      <c r="Q1805" s="1">
        <f>Table1[Profit]/Table1[Total_Sales]</f>
        <v>0.37389210828364267</v>
      </c>
      <c r="R1805" s="14">
        <f>Table1[Total_Sales]+Table1[Shipping_Cost]</f>
        <v>1812.83</v>
      </c>
    </row>
    <row r="1806" spans="1:18" x14ac:dyDescent="0.35">
      <c r="A1806" s="3" t="s">
        <v>3315</v>
      </c>
      <c r="B1806" s="2">
        <v>45927</v>
      </c>
      <c r="C1806" s="1" t="s">
        <v>3316</v>
      </c>
      <c r="D1806" s="1" t="s">
        <v>17</v>
      </c>
      <c r="E1806" s="1" t="s">
        <v>18</v>
      </c>
      <c r="F1806" s="1" t="s">
        <v>19</v>
      </c>
      <c r="G1806" s="1" t="s">
        <v>32</v>
      </c>
      <c r="H1806" s="1" t="s">
        <v>50</v>
      </c>
      <c r="I1806" s="1">
        <v>7</v>
      </c>
      <c r="J1806" s="1">
        <v>13.33</v>
      </c>
      <c r="K1806" s="1">
        <v>10</v>
      </c>
      <c r="L1806" s="1">
        <v>83.98</v>
      </c>
      <c r="M1806" s="1">
        <v>10.58</v>
      </c>
      <c r="N1806" s="1">
        <v>31.41</v>
      </c>
      <c r="O1806" s="6" t="s">
        <v>34</v>
      </c>
      <c r="P1806" s="8">
        <f>Table1[Quantity]*Table1[Unit_Price]</f>
        <v>93.31</v>
      </c>
      <c r="Q1806" s="1">
        <f>Table1[Profit]/Table1[Total_Sales]</f>
        <v>0.37401762324362942</v>
      </c>
      <c r="R1806" s="14">
        <f>Table1[Total_Sales]+Table1[Shipping_Cost]</f>
        <v>94.56</v>
      </c>
    </row>
    <row r="1807" spans="1:18" x14ac:dyDescent="0.35">
      <c r="A1807" s="3" t="s">
        <v>3317</v>
      </c>
      <c r="B1807" s="2">
        <v>45928</v>
      </c>
      <c r="C1807" s="1" t="s">
        <v>754</v>
      </c>
      <c r="D1807" s="1" t="s">
        <v>30</v>
      </c>
      <c r="E1807" s="1" t="s">
        <v>129</v>
      </c>
      <c r="F1807" s="1" t="s">
        <v>19</v>
      </c>
      <c r="G1807" s="1" t="s">
        <v>32</v>
      </c>
      <c r="H1807" s="1" t="s">
        <v>110</v>
      </c>
      <c r="I1807" s="1">
        <v>2</v>
      </c>
      <c r="J1807" s="1">
        <v>4.32</v>
      </c>
      <c r="K1807" s="1">
        <v>0</v>
      </c>
      <c r="L1807" s="1">
        <v>8.64</v>
      </c>
      <c r="M1807" s="1">
        <v>9.4</v>
      </c>
      <c r="N1807" s="1">
        <v>-4.6500000000000004</v>
      </c>
      <c r="O1807" s="6" t="s">
        <v>39</v>
      </c>
      <c r="P1807" s="8">
        <f>Table1[Quantity]*Table1[Unit_Price]</f>
        <v>8.64</v>
      </c>
      <c r="Q1807" s="1">
        <f>Table1[Profit]/Table1[Total_Sales]</f>
        <v>-0.53819444444444442</v>
      </c>
      <c r="R1807" s="14">
        <f>Table1[Total_Sales]+Table1[Shipping_Cost]</f>
        <v>18.04</v>
      </c>
    </row>
    <row r="1808" spans="1:18" x14ac:dyDescent="0.35">
      <c r="A1808" s="3" t="s">
        <v>3318</v>
      </c>
      <c r="B1808" s="2">
        <v>45928</v>
      </c>
      <c r="C1808" s="1" t="s">
        <v>2352</v>
      </c>
      <c r="D1808" s="1" t="s">
        <v>30</v>
      </c>
      <c r="E1808" s="1" t="s">
        <v>166</v>
      </c>
      <c r="F1808" s="1" t="s">
        <v>60</v>
      </c>
      <c r="G1808" s="1" t="s">
        <v>20</v>
      </c>
      <c r="H1808" s="1" t="s">
        <v>38</v>
      </c>
      <c r="I1808" s="1">
        <v>2</v>
      </c>
      <c r="J1808" s="1">
        <v>62.91</v>
      </c>
      <c r="K1808" s="1">
        <v>10</v>
      </c>
      <c r="L1808" s="1">
        <v>113.24</v>
      </c>
      <c r="M1808" s="1">
        <v>11.57</v>
      </c>
      <c r="N1808" s="1">
        <v>32.47</v>
      </c>
      <c r="O1808" s="6" t="s">
        <v>39</v>
      </c>
      <c r="P1808" s="8">
        <f>Table1[Quantity]*Table1[Unit_Price]</f>
        <v>125.82</v>
      </c>
      <c r="Q1808" s="1">
        <f>Table1[Profit]/Table1[Total_Sales]</f>
        <v>0.28673613564111622</v>
      </c>
      <c r="R1808" s="14">
        <f>Table1[Total_Sales]+Table1[Shipping_Cost]</f>
        <v>124.81</v>
      </c>
    </row>
    <row r="1809" spans="1:18" x14ac:dyDescent="0.35">
      <c r="A1809" s="3" t="s">
        <v>3319</v>
      </c>
      <c r="B1809" s="2">
        <v>45929</v>
      </c>
      <c r="C1809" s="1" t="s">
        <v>3320</v>
      </c>
      <c r="D1809" s="1" t="s">
        <v>30</v>
      </c>
      <c r="E1809" s="1" t="s">
        <v>248</v>
      </c>
      <c r="F1809" s="1" t="s">
        <v>26</v>
      </c>
      <c r="G1809" s="1" t="s">
        <v>42</v>
      </c>
      <c r="H1809" s="1" t="s">
        <v>255</v>
      </c>
      <c r="I1809" s="1">
        <v>4</v>
      </c>
      <c r="J1809" s="1">
        <v>41.86</v>
      </c>
      <c r="K1809" s="1">
        <v>10</v>
      </c>
      <c r="L1809" s="1">
        <v>150.69999999999999</v>
      </c>
      <c r="M1809" s="1">
        <v>11.78</v>
      </c>
      <c r="N1809" s="1">
        <v>38.46</v>
      </c>
      <c r="O1809" s="6" t="s">
        <v>56</v>
      </c>
      <c r="P1809" s="8">
        <f>Table1[Quantity]*Table1[Unit_Price]</f>
        <v>167.44</v>
      </c>
      <c r="Q1809" s="1">
        <f>Table1[Profit]/Table1[Total_Sales]</f>
        <v>0.25520902455209027</v>
      </c>
      <c r="R1809" s="14">
        <f>Table1[Total_Sales]+Table1[Shipping_Cost]</f>
        <v>162.47999999999999</v>
      </c>
    </row>
    <row r="1810" spans="1:18" x14ac:dyDescent="0.35">
      <c r="A1810" s="3" t="s">
        <v>3321</v>
      </c>
      <c r="B1810" s="2">
        <v>45929</v>
      </c>
      <c r="C1810" s="1" t="s">
        <v>1076</v>
      </c>
      <c r="D1810" s="1" t="s">
        <v>17</v>
      </c>
      <c r="E1810" s="1" t="s">
        <v>53</v>
      </c>
      <c r="F1810" s="1" t="s">
        <v>54</v>
      </c>
      <c r="G1810" s="1" t="s">
        <v>20</v>
      </c>
      <c r="H1810" s="1" t="s">
        <v>122</v>
      </c>
      <c r="I1810" s="1">
        <v>2</v>
      </c>
      <c r="J1810" s="1">
        <v>116.5</v>
      </c>
      <c r="K1810" s="1">
        <v>0</v>
      </c>
      <c r="L1810" s="1">
        <v>233</v>
      </c>
      <c r="M1810" s="1">
        <v>15.18</v>
      </c>
      <c r="N1810" s="1">
        <v>89.67</v>
      </c>
      <c r="O1810" s="6" t="s">
        <v>56</v>
      </c>
      <c r="P1810" s="8">
        <f>Table1[Quantity]*Table1[Unit_Price]</f>
        <v>233</v>
      </c>
      <c r="Q1810" s="1">
        <f>Table1[Profit]/Table1[Total_Sales]</f>
        <v>0.38484978540772535</v>
      </c>
      <c r="R1810" s="14">
        <f>Table1[Total_Sales]+Table1[Shipping_Cost]</f>
        <v>248.18</v>
      </c>
    </row>
    <row r="1811" spans="1:18" x14ac:dyDescent="0.35">
      <c r="A1811" s="3" t="s">
        <v>3322</v>
      </c>
      <c r="B1811" s="2">
        <v>45929</v>
      </c>
      <c r="C1811" s="1" t="s">
        <v>3323</v>
      </c>
      <c r="D1811" s="1" t="s">
        <v>17</v>
      </c>
      <c r="E1811" s="1" t="s">
        <v>63</v>
      </c>
      <c r="F1811" s="1" t="s">
        <v>54</v>
      </c>
      <c r="G1811" s="1" t="s">
        <v>42</v>
      </c>
      <c r="H1811" s="1" t="s">
        <v>294</v>
      </c>
      <c r="I1811" s="1">
        <v>3</v>
      </c>
      <c r="J1811" s="1">
        <v>190.05</v>
      </c>
      <c r="K1811" s="1">
        <v>10</v>
      </c>
      <c r="L1811" s="1">
        <v>513.14</v>
      </c>
      <c r="M1811" s="1">
        <v>17.04</v>
      </c>
      <c r="N1811" s="1">
        <v>154.01</v>
      </c>
      <c r="O1811" s="6" t="s">
        <v>56</v>
      </c>
      <c r="P1811" s="8">
        <f>Table1[Quantity]*Table1[Unit_Price]</f>
        <v>570.15000000000009</v>
      </c>
      <c r="Q1811" s="1">
        <f>Table1[Profit]/Table1[Total_Sales]</f>
        <v>0.30013251744163383</v>
      </c>
      <c r="R1811" s="14">
        <f>Table1[Total_Sales]+Table1[Shipping_Cost]</f>
        <v>530.17999999999995</v>
      </c>
    </row>
    <row r="1812" spans="1:18" x14ac:dyDescent="0.35">
      <c r="A1812" s="3" t="s">
        <v>3324</v>
      </c>
      <c r="B1812" s="2">
        <v>45930</v>
      </c>
      <c r="C1812" s="1" t="s">
        <v>3325</v>
      </c>
      <c r="D1812" s="1" t="s">
        <v>30</v>
      </c>
      <c r="E1812" s="1" t="s">
        <v>92</v>
      </c>
      <c r="F1812" s="1" t="s">
        <v>60</v>
      </c>
      <c r="G1812" s="1" t="s">
        <v>42</v>
      </c>
      <c r="H1812" s="1" t="s">
        <v>64</v>
      </c>
      <c r="I1812" s="1">
        <v>2</v>
      </c>
      <c r="J1812" s="1">
        <v>63.03</v>
      </c>
      <c r="K1812" s="1">
        <v>10</v>
      </c>
      <c r="L1812" s="1">
        <v>113.45</v>
      </c>
      <c r="M1812" s="1">
        <v>10.28</v>
      </c>
      <c r="N1812" s="1">
        <v>27.53</v>
      </c>
      <c r="O1812" s="6" t="s">
        <v>22</v>
      </c>
      <c r="P1812" s="8">
        <f>Table1[Quantity]*Table1[Unit_Price]</f>
        <v>126.06</v>
      </c>
      <c r="Q1812" s="1">
        <f>Table1[Profit]/Table1[Total_Sales]</f>
        <v>0.24266196562362274</v>
      </c>
      <c r="R1812" s="14">
        <f>Table1[Total_Sales]+Table1[Shipping_Cost]</f>
        <v>123.73</v>
      </c>
    </row>
    <row r="1813" spans="1:18" x14ac:dyDescent="0.35">
      <c r="A1813" s="3" t="s">
        <v>3326</v>
      </c>
      <c r="B1813" s="2">
        <v>45930</v>
      </c>
      <c r="C1813" s="1" t="s">
        <v>3327</v>
      </c>
      <c r="D1813" s="1" t="s">
        <v>30</v>
      </c>
      <c r="E1813" s="1" t="s">
        <v>135</v>
      </c>
      <c r="F1813" s="1" t="s">
        <v>26</v>
      </c>
      <c r="G1813" s="1" t="s">
        <v>69</v>
      </c>
      <c r="H1813" s="1" t="s">
        <v>79</v>
      </c>
      <c r="I1813" s="1">
        <v>4</v>
      </c>
      <c r="J1813" s="1">
        <v>55.18</v>
      </c>
      <c r="K1813" s="1">
        <v>20</v>
      </c>
      <c r="L1813" s="1">
        <v>176.58</v>
      </c>
      <c r="M1813" s="1">
        <v>14.34</v>
      </c>
      <c r="N1813" s="1">
        <v>51.88</v>
      </c>
      <c r="O1813" s="6" t="s">
        <v>22</v>
      </c>
      <c r="P1813" s="8">
        <f>Table1[Quantity]*Table1[Unit_Price]</f>
        <v>220.72</v>
      </c>
      <c r="Q1813" s="1">
        <f>Table1[Profit]/Table1[Total_Sales]</f>
        <v>0.29380450787178614</v>
      </c>
      <c r="R1813" s="14">
        <f>Table1[Total_Sales]+Table1[Shipping_Cost]</f>
        <v>190.92000000000002</v>
      </c>
    </row>
    <row r="1814" spans="1:18" x14ac:dyDescent="0.35">
      <c r="A1814" s="3" t="s">
        <v>3328</v>
      </c>
      <c r="B1814" s="2">
        <v>45931</v>
      </c>
      <c r="C1814" s="1" t="s">
        <v>327</v>
      </c>
      <c r="D1814" s="1" t="s">
        <v>17</v>
      </c>
      <c r="E1814" s="1" t="s">
        <v>92</v>
      </c>
      <c r="F1814" s="1" t="s">
        <v>60</v>
      </c>
      <c r="G1814" s="1" t="s">
        <v>20</v>
      </c>
      <c r="H1814" s="1" t="s">
        <v>199</v>
      </c>
      <c r="I1814" s="1">
        <v>2</v>
      </c>
      <c r="J1814" s="1">
        <v>190.58</v>
      </c>
      <c r="K1814" s="1">
        <v>15</v>
      </c>
      <c r="L1814" s="1">
        <v>323.99</v>
      </c>
      <c r="M1814" s="1">
        <v>12.64</v>
      </c>
      <c r="N1814" s="1">
        <v>101.71</v>
      </c>
      <c r="O1814" s="6" t="s">
        <v>34</v>
      </c>
      <c r="P1814" s="8">
        <f>Table1[Quantity]*Table1[Unit_Price]</f>
        <v>381.16</v>
      </c>
      <c r="Q1814" s="1">
        <f>Table1[Profit]/Table1[Total_Sales]</f>
        <v>0.31392944226673658</v>
      </c>
      <c r="R1814" s="14">
        <f>Table1[Total_Sales]+Table1[Shipping_Cost]</f>
        <v>336.63</v>
      </c>
    </row>
    <row r="1815" spans="1:18" x14ac:dyDescent="0.35">
      <c r="A1815" s="3" t="s">
        <v>3329</v>
      </c>
      <c r="B1815" s="2">
        <v>45931</v>
      </c>
      <c r="C1815" s="1" t="s">
        <v>3330</v>
      </c>
      <c r="D1815" s="1" t="s">
        <v>49</v>
      </c>
      <c r="E1815" s="1" t="s">
        <v>166</v>
      </c>
      <c r="F1815" s="1" t="s">
        <v>60</v>
      </c>
      <c r="G1815" s="1" t="s">
        <v>32</v>
      </c>
      <c r="H1815" s="1" t="s">
        <v>82</v>
      </c>
      <c r="I1815" s="1">
        <v>5</v>
      </c>
      <c r="J1815" s="1">
        <v>14.09</v>
      </c>
      <c r="K1815" s="1">
        <v>5</v>
      </c>
      <c r="L1815" s="1">
        <v>66.930000000000007</v>
      </c>
      <c r="M1815" s="1">
        <v>13.7</v>
      </c>
      <c r="N1815" s="1">
        <v>21.53</v>
      </c>
      <c r="O1815" s="6" t="s">
        <v>34</v>
      </c>
      <c r="P1815" s="8">
        <f>Table1[Quantity]*Table1[Unit_Price]</f>
        <v>70.45</v>
      </c>
      <c r="Q1815" s="1">
        <f>Table1[Profit]/Table1[Total_Sales]</f>
        <v>0.32167936650231582</v>
      </c>
      <c r="R1815" s="14">
        <f>Table1[Total_Sales]+Table1[Shipping_Cost]</f>
        <v>80.63000000000001</v>
      </c>
    </row>
    <row r="1816" spans="1:18" x14ac:dyDescent="0.35">
      <c r="A1816" s="3" t="s">
        <v>3331</v>
      </c>
      <c r="B1816" s="2">
        <v>45931</v>
      </c>
      <c r="C1816" s="1" t="s">
        <v>3332</v>
      </c>
      <c r="D1816" s="1" t="s">
        <v>49</v>
      </c>
      <c r="E1816" s="1" t="s">
        <v>92</v>
      </c>
      <c r="F1816" s="1" t="s">
        <v>60</v>
      </c>
      <c r="G1816" s="1" t="s">
        <v>20</v>
      </c>
      <c r="H1816" s="1" t="s">
        <v>175</v>
      </c>
      <c r="I1816" s="1">
        <v>6</v>
      </c>
      <c r="J1816" s="1">
        <v>26.66</v>
      </c>
      <c r="K1816" s="1">
        <v>0</v>
      </c>
      <c r="L1816" s="1">
        <v>159.96</v>
      </c>
      <c r="M1816" s="1">
        <v>19.350000000000001</v>
      </c>
      <c r="N1816" s="1">
        <v>52.63</v>
      </c>
      <c r="O1816" s="6" t="s">
        <v>34</v>
      </c>
      <c r="P1816" s="8">
        <f>Table1[Quantity]*Table1[Unit_Price]</f>
        <v>159.96</v>
      </c>
      <c r="Q1816" s="1">
        <f>Table1[Profit]/Table1[Total_Sales]</f>
        <v>0.3290197549387347</v>
      </c>
      <c r="R1816" s="14">
        <f>Table1[Total_Sales]+Table1[Shipping_Cost]</f>
        <v>179.31</v>
      </c>
    </row>
    <row r="1817" spans="1:18" x14ac:dyDescent="0.35">
      <c r="A1817" s="3" t="s">
        <v>3333</v>
      </c>
      <c r="B1817" s="2">
        <v>45931</v>
      </c>
      <c r="C1817" s="1" t="s">
        <v>3334</v>
      </c>
      <c r="D1817" s="1" t="s">
        <v>30</v>
      </c>
      <c r="E1817" s="1" t="s">
        <v>109</v>
      </c>
      <c r="F1817" s="1" t="s">
        <v>54</v>
      </c>
      <c r="G1817" s="1" t="s">
        <v>20</v>
      </c>
      <c r="H1817" s="1" t="s">
        <v>122</v>
      </c>
      <c r="I1817" s="1">
        <v>2</v>
      </c>
      <c r="J1817" s="1">
        <v>109.17</v>
      </c>
      <c r="K1817" s="1">
        <v>5</v>
      </c>
      <c r="L1817" s="1">
        <v>207.42</v>
      </c>
      <c r="M1817" s="1">
        <v>13.67</v>
      </c>
      <c r="N1817" s="1">
        <v>73.66</v>
      </c>
      <c r="O1817" s="6" t="s">
        <v>39</v>
      </c>
      <c r="P1817" s="8">
        <f>Table1[Quantity]*Table1[Unit_Price]</f>
        <v>218.34</v>
      </c>
      <c r="Q1817" s="1">
        <f>Table1[Profit]/Table1[Total_Sales]</f>
        <v>0.35512486741876387</v>
      </c>
      <c r="R1817" s="14">
        <f>Table1[Total_Sales]+Table1[Shipping_Cost]</f>
        <v>221.08999999999997</v>
      </c>
    </row>
    <row r="1818" spans="1:18" x14ac:dyDescent="0.35">
      <c r="A1818" s="3" t="s">
        <v>3335</v>
      </c>
      <c r="B1818" s="2">
        <v>45932</v>
      </c>
      <c r="C1818" s="1" t="s">
        <v>3336</v>
      </c>
      <c r="D1818" s="1" t="s">
        <v>49</v>
      </c>
      <c r="E1818" s="1" t="s">
        <v>248</v>
      </c>
      <c r="F1818" s="1" t="s">
        <v>26</v>
      </c>
      <c r="G1818" s="1" t="s">
        <v>20</v>
      </c>
      <c r="H1818" s="1" t="s">
        <v>170</v>
      </c>
      <c r="I1818" s="1">
        <v>10</v>
      </c>
      <c r="J1818" s="1">
        <v>34.31</v>
      </c>
      <c r="K1818" s="1">
        <v>10</v>
      </c>
      <c r="L1818" s="1">
        <v>308.79000000000002</v>
      </c>
      <c r="M1818" s="1">
        <v>21.64</v>
      </c>
      <c r="N1818" s="1">
        <v>98.44</v>
      </c>
      <c r="O1818" s="6" t="s">
        <v>39</v>
      </c>
      <c r="P1818" s="8">
        <f>Table1[Quantity]*Table1[Unit_Price]</f>
        <v>343.1</v>
      </c>
      <c r="Q1818" s="1">
        <f>Table1[Profit]/Table1[Total_Sales]</f>
        <v>0.31879270701771428</v>
      </c>
      <c r="R1818" s="14">
        <f>Table1[Total_Sales]+Table1[Shipping_Cost]</f>
        <v>330.43</v>
      </c>
    </row>
    <row r="1819" spans="1:18" x14ac:dyDescent="0.35">
      <c r="A1819" s="3" t="s">
        <v>3337</v>
      </c>
      <c r="B1819" s="2">
        <v>45933</v>
      </c>
      <c r="C1819" s="1" t="s">
        <v>413</v>
      </c>
      <c r="D1819" s="1" t="s">
        <v>17</v>
      </c>
      <c r="E1819" s="1" t="s">
        <v>31</v>
      </c>
      <c r="F1819" s="1" t="s">
        <v>19</v>
      </c>
      <c r="G1819" s="1" t="s">
        <v>32</v>
      </c>
      <c r="H1819" s="1" t="s">
        <v>73</v>
      </c>
      <c r="I1819" s="1">
        <v>4</v>
      </c>
      <c r="J1819" s="1">
        <v>5.4</v>
      </c>
      <c r="K1819" s="1">
        <v>5</v>
      </c>
      <c r="L1819" s="1">
        <v>20.52</v>
      </c>
      <c r="M1819" s="1">
        <v>10.6</v>
      </c>
      <c r="N1819" s="1">
        <v>0.2</v>
      </c>
      <c r="O1819" s="6" t="s">
        <v>34</v>
      </c>
      <c r="P1819" s="8">
        <f>Table1[Quantity]*Table1[Unit_Price]</f>
        <v>21.6</v>
      </c>
      <c r="Q1819" s="1">
        <f>Table1[Profit]/Table1[Total_Sales]</f>
        <v>9.7465886939571162E-3</v>
      </c>
      <c r="R1819" s="14">
        <f>Table1[Total_Sales]+Table1[Shipping_Cost]</f>
        <v>31.119999999999997</v>
      </c>
    </row>
    <row r="1820" spans="1:18" x14ac:dyDescent="0.35">
      <c r="A1820" s="3" t="s">
        <v>3338</v>
      </c>
      <c r="B1820" s="2">
        <v>45933</v>
      </c>
      <c r="C1820" s="1" t="s">
        <v>3339</v>
      </c>
      <c r="D1820" s="1" t="s">
        <v>30</v>
      </c>
      <c r="E1820" s="1" t="s">
        <v>18</v>
      </c>
      <c r="F1820" s="1" t="s">
        <v>19</v>
      </c>
      <c r="G1820" s="1" t="s">
        <v>20</v>
      </c>
      <c r="H1820" s="1" t="s">
        <v>55</v>
      </c>
      <c r="I1820" s="1">
        <v>2</v>
      </c>
      <c r="J1820" s="1">
        <v>56.99</v>
      </c>
      <c r="K1820" s="1">
        <v>15</v>
      </c>
      <c r="L1820" s="1">
        <v>96.88</v>
      </c>
      <c r="M1820" s="1">
        <v>6.66</v>
      </c>
      <c r="N1820" s="1">
        <v>27.53</v>
      </c>
      <c r="O1820" s="6" t="s">
        <v>34</v>
      </c>
      <c r="P1820" s="8">
        <f>Table1[Quantity]*Table1[Unit_Price]</f>
        <v>113.98</v>
      </c>
      <c r="Q1820" s="1">
        <f>Table1[Profit]/Table1[Total_Sales]</f>
        <v>0.28416597853014042</v>
      </c>
      <c r="R1820" s="14">
        <f>Table1[Total_Sales]+Table1[Shipping_Cost]</f>
        <v>103.53999999999999</v>
      </c>
    </row>
    <row r="1821" spans="1:18" x14ac:dyDescent="0.35">
      <c r="A1821" s="3" t="s">
        <v>3340</v>
      </c>
      <c r="B1821" s="2">
        <v>45933</v>
      </c>
      <c r="C1821" s="1" t="s">
        <v>3128</v>
      </c>
      <c r="D1821" s="1" t="s">
        <v>30</v>
      </c>
      <c r="E1821" s="1" t="s">
        <v>31</v>
      </c>
      <c r="F1821" s="1" t="s">
        <v>19</v>
      </c>
      <c r="G1821" s="1" t="s">
        <v>32</v>
      </c>
      <c r="H1821" s="1" t="s">
        <v>115</v>
      </c>
      <c r="I1821" s="1">
        <v>2</v>
      </c>
      <c r="J1821" s="1">
        <v>18.13</v>
      </c>
      <c r="K1821" s="1">
        <v>5</v>
      </c>
      <c r="L1821" s="1">
        <v>34.450000000000003</v>
      </c>
      <c r="M1821" s="1">
        <v>9.51</v>
      </c>
      <c r="N1821" s="1">
        <v>8.6199999999999992</v>
      </c>
      <c r="O1821" s="6" t="s">
        <v>56</v>
      </c>
      <c r="P1821" s="8">
        <f>Table1[Quantity]*Table1[Unit_Price]</f>
        <v>36.26</v>
      </c>
      <c r="Q1821" s="1">
        <f>Table1[Profit]/Table1[Total_Sales]</f>
        <v>0.25021770682148037</v>
      </c>
      <c r="R1821" s="14">
        <f>Table1[Total_Sales]+Table1[Shipping_Cost]</f>
        <v>43.96</v>
      </c>
    </row>
    <row r="1822" spans="1:18" x14ac:dyDescent="0.35">
      <c r="A1822" s="3" t="s">
        <v>3341</v>
      </c>
      <c r="B1822" s="2">
        <v>45934</v>
      </c>
      <c r="C1822" s="1" t="s">
        <v>3342</v>
      </c>
      <c r="D1822" s="1" t="s">
        <v>30</v>
      </c>
      <c r="E1822" s="1" t="s">
        <v>135</v>
      </c>
      <c r="F1822" s="1" t="s">
        <v>26</v>
      </c>
      <c r="G1822" s="1" t="s">
        <v>20</v>
      </c>
      <c r="H1822" s="1" t="s">
        <v>55</v>
      </c>
      <c r="I1822" s="1">
        <v>2</v>
      </c>
      <c r="J1822" s="1">
        <v>67.56</v>
      </c>
      <c r="K1822" s="1">
        <v>5</v>
      </c>
      <c r="L1822" s="1">
        <v>128.36000000000001</v>
      </c>
      <c r="M1822" s="1">
        <v>9.15</v>
      </c>
      <c r="N1822" s="1">
        <v>44.89</v>
      </c>
      <c r="O1822" s="6" t="s">
        <v>39</v>
      </c>
      <c r="P1822" s="8">
        <f>Table1[Quantity]*Table1[Unit_Price]</f>
        <v>135.12</v>
      </c>
      <c r="Q1822" s="1">
        <f>Table1[Profit]/Table1[Total_Sales]</f>
        <v>0.34971953879713302</v>
      </c>
      <c r="R1822" s="14">
        <f>Table1[Total_Sales]+Table1[Shipping_Cost]</f>
        <v>137.51000000000002</v>
      </c>
    </row>
    <row r="1823" spans="1:18" x14ac:dyDescent="0.35">
      <c r="A1823" s="3" t="s">
        <v>3343</v>
      </c>
      <c r="B1823" s="2">
        <v>45935</v>
      </c>
      <c r="C1823" s="1" t="s">
        <v>2485</v>
      </c>
      <c r="D1823" s="1" t="s">
        <v>17</v>
      </c>
      <c r="E1823" s="1" t="s">
        <v>59</v>
      </c>
      <c r="F1823" s="1" t="s">
        <v>60</v>
      </c>
      <c r="G1823" s="1" t="s">
        <v>42</v>
      </c>
      <c r="H1823" s="1" t="s">
        <v>46</v>
      </c>
      <c r="I1823" s="1">
        <v>1</v>
      </c>
      <c r="J1823" s="1">
        <v>128.66</v>
      </c>
      <c r="K1823" s="1">
        <v>5</v>
      </c>
      <c r="L1823" s="1">
        <v>122.23</v>
      </c>
      <c r="M1823" s="1">
        <v>9.94</v>
      </c>
      <c r="N1823" s="1">
        <v>35.090000000000003</v>
      </c>
      <c r="O1823" s="6" t="s">
        <v>39</v>
      </c>
      <c r="P1823" s="8">
        <f>Table1[Quantity]*Table1[Unit_Price]</f>
        <v>128.66</v>
      </c>
      <c r="Q1823" s="1">
        <f>Table1[Profit]/Table1[Total_Sales]</f>
        <v>0.28708173116256241</v>
      </c>
      <c r="R1823" s="14">
        <f>Table1[Total_Sales]+Table1[Shipping_Cost]</f>
        <v>132.17000000000002</v>
      </c>
    </row>
    <row r="1824" spans="1:18" x14ac:dyDescent="0.35">
      <c r="A1824" s="3" t="s">
        <v>3344</v>
      </c>
      <c r="B1824" s="2">
        <v>45935</v>
      </c>
      <c r="C1824" s="1" t="s">
        <v>3345</v>
      </c>
      <c r="D1824" s="1" t="s">
        <v>30</v>
      </c>
      <c r="E1824" s="1" t="s">
        <v>25</v>
      </c>
      <c r="F1824" s="1" t="s">
        <v>26</v>
      </c>
      <c r="G1824" s="1" t="s">
        <v>42</v>
      </c>
      <c r="H1824" s="1" t="s">
        <v>371</v>
      </c>
      <c r="I1824" s="1">
        <v>3</v>
      </c>
      <c r="J1824" s="1">
        <v>145.38999999999999</v>
      </c>
      <c r="K1824" s="1">
        <v>5</v>
      </c>
      <c r="L1824" s="1">
        <v>414.36</v>
      </c>
      <c r="M1824" s="1">
        <v>11.97</v>
      </c>
      <c r="N1824" s="1">
        <v>140.69</v>
      </c>
      <c r="O1824" s="6" t="s">
        <v>39</v>
      </c>
      <c r="P1824" s="8">
        <f>Table1[Quantity]*Table1[Unit_Price]</f>
        <v>436.16999999999996</v>
      </c>
      <c r="Q1824" s="1">
        <f>Table1[Profit]/Table1[Total_Sales]</f>
        <v>0.33953566946616465</v>
      </c>
      <c r="R1824" s="14">
        <f>Table1[Total_Sales]+Table1[Shipping_Cost]</f>
        <v>426.33000000000004</v>
      </c>
    </row>
    <row r="1825" spans="1:18" x14ac:dyDescent="0.35">
      <c r="A1825" s="3" t="s">
        <v>3346</v>
      </c>
      <c r="B1825" s="2">
        <v>45935</v>
      </c>
      <c r="C1825" s="1" t="s">
        <v>3347</v>
      </c>
      <c r="D1825" s="1" t="s">
        <v>17</v>
      </c>
      <c r="E1825" s="1" t="s">
        <v>31</v>
      </c>
      <c r="F1825" s="1" t="s">
        <v>19</v>
      </c>
      <c r="G1825" s="1" t="s">
        <v>42</v>
      </c>
      <c r="H1825" s="1" t="s">
        <v>89</v>
      </c>
      <c r="I1825" s="1">
        <v>2</v>
      </c>
      <c r="J1825" s="1">
        <v>301.44</v>
      </c>
      <c r="K1825" s="1">
        <v>5</v>
      </c>
      <c r="L1825" s="1">
        <v>572.74</v>
      </c>
      <c r="M1825" s="1">
        <v>7.89</v>
      </c>
      <c r="N1825" s="1">
        <v>203.12</v>
      </c>
      <c r="O1825" s="6" t="s">
        <v>34</v>
      </c>
      <c r="P1825" s="8">
        <f>Table1[Quantity]*Table1[Unit_Price]</f>
        <v>602.88</v>
      </c>
      <c r="Q1825" s="1">
        <f>Table1[Profit]/Table1[Total_Sales]</f>
        <v>0.35464608722980762</v>
      </c>
      <c r="R1825" s="14">
        <f>Table1[Total_Sales]+Table1[Shipping_Cost]</f>
        <v>580.63</v>
      </c>
    </row>
    <row r="1826" spans="1:18" x14ac:dyDescent="0.35">
      <c r="A1826" s="3" t="s">
        <v>3348</v>
      </c>
      <c r="B1826" s="2">
        <v>45935</v>
      </c>
      <c r="C1826" s="1" t="s">
        <v>3349</v>
      </c>
      <c r="D1826" s="1" t="s">
        <v>30</v>
      </c>
      <c r="E1826" s="1" t="s">
        <v>76</v>
      </c>
      <c r="F1826" s="1" t="s">
        <v>26</v>
      </c>
      <c r="G1826" s="1" t="s">
        <v>42</v>
      </c>
      <c r="H1826" s="1" t="s">
        <v>93</v>
      </c>
      <c r="I1826" s="1">
        <v>4</v>
      </c>
      <c r="J1826" s="1">
        <v>333.64</v>
      </c>
      <c r="K1826" s="1">
        <v>5</v>
      </c>
      <c r="L1826" s="1">
        <v>1267.83</v>
      </c>
      <c r="M1826" s="1">
        <v>10.24</v>
      </c>
      <c r="N1826" s="1">
        <v>456.85</v>
      </c>
      <c r="O1826" s="6" t="s">
        <v>56</v>
      </c>
      <c r="P1826" s="8">
        <f>Table1[Quantity]*Table1[Unit_Price]</f>
        <v>1334.56</v>
      </c>
      <c r="Q1826" s="1">
        <f>Table1[Profit]/Table1[Total_Sales]</f>
        <v>0.36034010868965088</v>
      </c>
      <c r="R1826" s="14">
        <f>Table1[Total_Sales]+Table1[Shipping_Cost]</f>
        <v>1278.07</v>
      </c>
    </row>
    <row r="1827" spans="1:18" x14ac:dyDescent="0.35">
      <c r="A1827" s="3" t="s">
        <v>3350</v>
      </c>
      <c r="B1827" s="2">
        <v>45935</v>
      </c>
      <c r="C1827" s="1" t="s">
        <v>2637</v>
      </c>
      <c r="D1827" s="1" t="s">
        <v>17</v>
      </c>
      <c r="E1827" s="1" t="s">
        <v>59</v>
      </c>
      <c r="F1827" s="1" t="s">
        <v>60</v>
      </c>
      <c r="G1827" s="1" t="s">
        <v>20</v>
      </c>
      <c r="H1827" s="1" t="s">
        <v>106</v>
      </c>
      <c r="I1827" s="1">
        <v>15</v>
      </c>
      <c r="J1827" s="1">
        <v>57.2</v>
      </c>
      <c r="K1827" s="1">
        <v>0</v>
      </c>
      <c r="L1827" s="1">
        <v>858</v>
      </c>
      <c r="M1827" s="1">
        <v>28.7</v>
      </c>
      <c r="N1827" s="1">
        <v>357.4</v>
      </c>
      <c r="O1827" s="6" t="s">
        <v>34</v>
      </c>
      <c r="P1827" s="8">
        <f>Table1[Quantity]*Table1[Unit_Price]</f>
        <v>858</v>
      </c>
      <c r="Q1827" s="1">
        <f>Table1[Profit]/Table1[Total_Sales]</f>
        <v>0.41655011655011653</v>
      </c>
      <c r="R1827" s="14">
        <f>Table1[Total_Sales]+Table1[Shipping_Cost]</f>
        <v>886.7</v>
      </c>
    </row>
    <row r="1828" spans="1:18" x14ac:dyDescent="0.35">
      <c r="A1828" s="3" t="s">
        <v>3351</v>
      </c>
      <c r="B1828" s="2">
        <v>45937</v>
      </c>
      <c r="C1828" s="1" t="s">
        <v>3352</v>
      </c>
      <c r="D1828" s="1" t="s">
        <v>30</v>
      </c>
      <c r="E1828" s="1" t="s">
        <v>31</v>
      </c>
      <c r="F1828" s="1" t="s">
        <v>19</v>
      </c>
      <c r="G1828" s="1" t="s">
        <v>20</v>
      </c>
      <c r="H1828" s="1" t="s">
        <v>264</v>
      </c>
      <c r="I1828" s="1">
        <v>9</v>
      </c>
      <c r="J1828" s="1">
        <v>60.42</v>
      </c>
      <c r="K1828" s="1">
        <v>0</v>
      </c>
      <c r="L1828" s="1">
        <v>543.78</v>
      </c>
      <c r="M1828" s="1">
        <v>12.46</v>
      </c>
      <c r="N1828" s="1">
        <v>232.24</v>
      </c>
      <c r="O1828" s="6" t="s">
        <v>34</v>
      </c>
      <c r="P1828" s="8">
        <f>Table1[Quantity]*Table1[Unit_Price]</f>
        <v>543.78</v>
      </c>
      <c r="Q1828" s="1">
        <f>Table1[Profit]/Table1[Total_Sales]</f>
        <v>0.42708448269520766</v>
      </c>
      <c r="R1828" s="14">
        <f>Table1[Total_Sales]+Table1[Shipping_Cost]</f>
        <v>556.24</v>
      </c>
    </row>
    <row r="1829" spans="1:18" x14ac:dyDescent="0.35">
      <c r="A1829" s="3" t="s">
        <v>3353</v>
      </c>
      <c r="B1829" s="2">
        <v>45937</v>
      </c>
      <c r="C1829" s="1" t="s">
        <v>3354</v>
      </c>
      <c r="D1829" s="1" t="s">
        <v>17</v>
      </c>
      <c r="E1829" s="1" t="s">
        <v>121</v>
      </c>
      <c r="F1829" s="1" t="s">
        <v>68</v>
      </c>
      <c r="G1829" s="1" t="s">
        <v>32</v>
      </c>
      <c r="H1829" s="1" t="s">
        <v>50</v>
      </c>
      <c r="I1829" s="1">
        <v>1</v>
      </c>
      <c r="J1829" s="1">
        <v>9.26</v>
      </c>
      <c r="K1829" s="1">
        <v>10</v>
      </c>
      <c r="L1829" s="1">
        <v>8.33</v>
      </c>
      <c r="M1829" s="1">
        <v>10.71</v>
      </c>
      <c r="N1829" s="1">
        <v>-6.55</v>
      </c>
      <c r="O1829" s="6" t="s">
        <v>34</v>
      </c>
      <c r="P1829" s="8">
        <f>Table1[Quantity]*Table1[Unit_Price]</f>
        <v>9.26</v>
      </c>
      <c r="Q1829" s="1">
        <f>Table1[Profit]/Table1[Total_Sales]</f>
        <v>-0.78631452581032413</v>
      </c>
      <c r="R1829" s="14">
        <f>Table1[Total_Sales]+Table1[Shipping_Cost]</f>
        <v>19.04</v>
      </c>
    </row>
    <row r="1830" spans="1:18" x14ac:dyDescent="0.35">
      <c r="A1830" s="3" t="s">
        <v>3355</v>
      </c>
      <c r="B1830" s="2">
        <v>45939</v>
      </c>
      <c r="C1830" s="1" t="s">
        <v>29</v>
      </c>
      <c r="D1830" s="1" t="s">
        <v>30</v>
      </c>
      <c r="E1830" s="1" t="s">
        <v>135</v>
      </c>
      <c r="F1830" s="1" t="s">
        <v>26</v>
      </c>
      <c r="G1830" s="1" t="s">
        <v>32</v>
      </c>
      <c r="H1830" s="1" t="s">
        <v>110</v>
      </c>
      <c r="I1830" s="1">
        <v>7</v>
      </c>
      <c r="J1830" s="1">
        <v>13.9</v>
      </c>
      <c r="K1830" s="1">
        <v>0</v>
      </c>
      <c r="L1830" s="1">
        <v>97.3</v>
      </c>
      <c r="M1830" s="1">
        <v>12.19</v>
      </c>
      <c r="N1830" s="1">
        <v>41.33</v>
      </c>
      <c r="O1830" s="6" t="s">
        <v>34</v>
      </c>
      <c r="P1830" s="8">
        <f>Table1[Quantity]*Table1[Unit_Price]</f>
        <v>97.3</v>
      </c>
      <c r="Q1830" s="1">
        <f>Table1[Profit]/Table1[Total_Sales]</f>
        <v>0.4247687564234327</v>
      </c>
      <c r="R1830" s="14">
        <f>Table1[Total_Sales]+Table1[Shipping_Cost]</f>
        <v>109.49</v>
      </c>
    </row>
    <row r="1831" spans="1:18" x14ac:dyDescent="0.35">
      <c r="A1831" s="3" t="s">
        <v>3356</v>
      </c>
      <c r="B1831" s="2">
        <v>45939</v>
      </c>
      <c r="C1831" s="1" t="s">
        <v>3357</v>
      </c>
      <c r="D1831" s="1" t="s">
        <v>30</v>
      </c>
      <c r="E1831" s="1" t="s">
        <v>169</v>
      </c>
      <c r="F1831" s="1" t="s">
        <v>68</v>
      </c>
      <c r="G1831" s="1" t="s">
        <v>20</v>
      </c>
      <c r="H1831" s="1" t="s">
        <v>27</v>
      </c>
      <c r="I1831" s="1">
        <v>1</v>
      </c>
      <c r="J1831" s="1">
        <v>81.900000000000006</v>
      </c>
      <c r="K1831" s="1">
        <v>10</v>
      </c>
      <c r="L1831" s="1">
        <v>73.709999999999994</v>
      </c>
      <c r="M1831" s="1">
        <v>10.93</v>
      </c>
      <c r="N1831" s="1">
        <v>17.73</v>
      </c>
      <c r="O1831" s="6" t="s">
        <v>34</v>
      </c>
      <c r="P1831" s="8">
        <f>Table1[Quantity]*Table1[Unit_Price]</f>
        <v>81.900000000000006</v>
      </c>
      <c r="Q1831" s="1">
        <f>Table1[Profit]/Table1[Total_Sales]</f>
        <v>0.24053724053724057</v>
      </c>
      <c r="R1831" s="14">
        <f>Table1[Total_Sales]+Table1[Shipping_Cost]</f>
        <v>84.639999999999986</v>
      </c>
    </row>
    <row r="1832" spans="1:18" x14ac:dyDescent="0.35">
      <c r="A1832" s="3" t="s">
        <v>3358</v>
      </c>
      <c r="B1832" s="2">
        <v>45939</v>
      </c>
      <c r="C1832" s="1" t="s">
        <v>2555</v>
      </c>
      <c r="D1832" s="1" t="s">
        <v>30</v>
      </c>
      <c r="E1832" s="1" t="s">
        <v>248</v>
      </c>
      <c r="F1832" s="1" t="s">
        <v>26</v>
      </c>
      <c r="G1832" s="1" t="s">
        <v>42</v>
      </c>
      <c r="H1832" s="1" t="s">
        <v>118</v>
      </c>
      <c r="I1832" s="1">
        <v>2</v>
      </c>
      <c r="J1832" s="1">
        <v>50.77</v>
      </c>
      <c r="K1832" s="1">
        <v>0</v>
      </c>
      <c r="L1832" s="1">
        <v>101.54</v>
      </c>
      <c r="M1832" s="1">
        <v>11.84</v>
      </c>
      <c r="N1832" s="1">
        <v>28.78</v>
      </c>
      <c r="O1832" s="6" t="s">
        <v>22</v>
      </c>
      <c r="P1832" s="8">
        <f>Table1[Quantity]*Table1[Unit_Price]</f>
        <v>101.54</v>
      </c>
      <c r="Q1832" s="1">
        <f>Table1[Profit]/Table1[Total_Sales]</f>
        <v>0.28343509946818984</v>
      </c>
      <c r="R1832" s="14">
        <f>Table1[Total_Sales]+Table1[Shipping_Cost]</f>
        <v>113.38000000000001</v>
      </c>
    </row>
    <row r="1833" spans="1:18" x14ac:dyDescent="0.35">
      <c r="A1833" s="3" t="s">
        <v>3359</v>
      </c>
      <c r="B1833" s="2">
        <v>45939</v>
      </c>
      <c r="C1833" s="1" t="s">
        <v>1197</v>
      </c>
      <c r="D1833" s="1" t="s">
        <v>30</v>
      </c>
      <c r="E1833" s="1" t="s">
        <v>129</v>
      </c>
      <c r="F1833" s="1" t="s">
        <v>19</v>
      </c>
      <c r="G1833" s="1" t="s">
        <v>20</v>
      </c>
      <c r="H1833" s="1" t="s">
        <v>55</v>
      </c>
      <c r="I1833" s="1">
        <v>6</v>
      </c>
      <c r="J1833" s="1">
        <v>35.76</v>
      </c>
      <c r="K1833" s="1">
        <v>5</v>
      </c>
      <c r="L1833" s="1">
        <v>203.83</v>
      </c>
      <c r="M1833" s="1">
        <v>16.97</v>
      </c>
      <c r="N1833" s="1">
        <v>68.849999999999994</v>
      </c>
      <c r="O1833" s="6" t="s">
        <v>56</v>
      </c>
      <c r="P1833" s="8">
        <f>Table1[Quantity]*Table1[Unit_Price]</f>
        <v>214.56</v>
      </c>
      <c r="Q1833" s="1">
        <f>Table1[Profit]/Table1[Total_Sales]</f>
        <v>0.33778148457047535</v>
      </c>
      <c r="R1833" s="14">
        <f>Table1[Total_Sales]+Table1[Shipping_Cost]</f>
        <v>220.8</v>
      </c>
    </row>
    <row r="1834" spans="1:18" x14ac:dyDescent="0.35">
      <c r="A1834" s="3" t="s">
        <v>3360</v>
      </c>
      <c r="B1834" s="2">
        <v>45940</v>
      </c>
      <c r="C1834" s="1" t="s">
        <v>3361</v>
      </c>
      <c r="D1834" s="1" t="s">
        <v>17</v>
      </c>
      <c r="E1834" s="1" t="s">
        <v>59</v>
      </c>
      <c r="F1834" s="1" t="s">
        <v>60</v>
      </c>
      <c r="G1834" s="1" t="s">
        <v>42</v>
      </c>
      <c r="H1834" s="1" t="s">
        <v>371</v>
      </c>
      <c r="I1834" s="1">
        <v>3</v>
      </c>
      <c r="J1834" s="1">
        <v>164.93</v>
      </c>
      <c r="K1834" s="1">
        <v>10</v>
      </c>
      <c r="L1834" s="1">
        <v>445.31</v>
      </c>
      <c r="M1834" s="1">
        <v>16.37</v>
      </c>
      <c r="N1834" s="1">
        <v>132.07</v>
      </c>
      <c r="O1834" s="6" t="s">
        <v>22</v>
      </c>
      <c r="P1834" s="8">
        <f>Table1[Quantity]*Table1[Unit_Price]</f>
        <v>494.79</v>
      </c>
      <c r="Q1834" s="1">
        <f>Table1[Profit]/Table1[Total_Sales]</f>
        <v>0.29657991062405964</v>
      </c>
      <c r="R1834" s="14">
        <f>Table1[Total_Sales]+Table1[Shipping_Cost]</f>
        <v>461.68</v>
      </c>
    </row>
    <row r="1835" spans="1:18" x14ac:dyDescent="0.35">
      <c r="A1835" s="3" t="s">
        <v>3362</v>
      </c>
      <c r="B1835" s="2">
        <v>45940</v>
      </c>
      <c r="C1835" s="1" t="s">
        <v>3363</v>
      </c>
      <c r="D1835" s="1" t="s">
        <v>17</v>
      </c>
      <c r="E1835" s="1" t="s">
        <v>166</v>
      </c>
      <c r="F1835" s="1" t="s">
        <v>60</v>
      </c>
      <c r="G1835" s="1" t="s">
        <v>20</v>
      </c>
      <c r="H1835" s="1" t="s">
        <v>175</v>
      </c>
      <c r="I1835" s="1">
        <v>1</v>
      </c>
      <c r="J1835" s="1">
        <v>31.71</v>
      </c>
      <c r="K1835" s="1">
        <v>20</v>
      </c>
      <c r="L1835" s="1">
        <v>25.37</v>
      </c>
      <c r="M1835" s="1">
        <v>9.8800000000000008</v>
      </c>
      <c r="N1835" s="1">
        <v>-1.95</v>
      </c>
      <c r="O1835" s="6" t="s">
        <v>34</v>
      </c>
      <c r="P1835" s="8">
        <f>Table1[Quantity]*Table1[Unit_Price]</f>
        <v>31.71</v>
      </c>
      <c r="Q1835" s="1">
        <f>Table1[Profit]/Table1[Total_Sales]</f>
        <v>-7.6862435947970043E-2</v>
      </c>
      <c r="R1835" s="14">
        <f>Table1[Total_Sales]+Table1[Shipping_Cost]</f>
        <v>35.25</v>
      </c>
    </row>
    <row r="1836" spans="1:18" x14ac:dyDescent="0.35">
      <c r="A1836" s="3" t="s">
        <v>3364</v>
      </c>
      <c r="B1836" s="2">
        <v>45940</v>
      </c>
      <c r="C1836" s="1" t="s">
        <v>179</v>
      </c>
      <c r="D1836" s="1" t="s">
        <v>30</v>
      </c>
      <c r="E1836" s="1" t="s">
        <v>138</v>
      </c>
      <c r="F1836" s="1" t="s">
        <v>54</v>
      </c>
      <c r="G1836" s="1" t="s">
        <v>42</v>
      </c>
      <c r="H1836" s="1" t="s">
        <v>118</v>
      </c>
      <c r="I1836" s="1">
        <v>2</v>
      </c>
      <c r="J1836" s="1">
        <v>70.849999999999994</v>
      </c>
      <c r="K1836" s="1">
        <v>10</v>
      </c>
      <c r="L1836" s="1">
        <v>127.53</v>
      </c>
      <c r="M1836" s="1">
        <v>12.8</v>
      </c>
      <c r="N1836" s="1">
        <v>29.71</v>
      </c>
      <c r="O1836" s="6" t="s">
        <v>34</v>
      </c>
      <c r="P1836" s="8">
        <f>Table1[Quantity]*Table1[Unit_Price]</f>
        <v>141.69999999999999</v>
      </c>
      <c r="Q1836" s="1">
        <f>Table1[Profit]/Table1[Total_Sales]</f>
        <v>0.23296479259782013</v>
      </c>
      <c r="R1836" s="14">
        <f>Table1[Total_Sales]+Table1[Shipping_Cost]</f>
        <v>140.33000000000001</v>
      </c>
    </row>
    <row r="1837" spans="1:18" x14ac:dyDescent="0.35">
      <c r="A1837" s="3" t="s">
        <v>3365</v>
      </c>
      <c r="B1837" s="2">
        <v>45940</v>
      </c>
      <c r="C1837" s="1" t="s">
        <v>829</v>
      </c>
      <c r="D1837" s="1" t="s">
        <v>30</v>
      </c>
      <c r="E1837" s="1" t="s">
        <v>18</v>
      </c>
      <c r="F1837" s="1" t="s">
        <v>19</v>
      </c>
      <c r="G1837" s="1" t="s">
        <v>20</v>
      </c>
      <c r="H1837" s="1" t="s">
        <v>170</v>
      </c>
      <c r="I1837" s="1">
        <v>1</v>
      </c>
      <c r="J1837" s="1">
        <v>46.96</v>
      </c>
      <c r="K1837" s="1">
        <v>10</v>
      </c>
      <c r="L1837" s="1">
        <v>42.26</v>
      </c>
      <c r="M1837" s="1">
        <v>7.43</v>
      </c>
      <c r="N1837" s="1">
        <v>9</v>
      </c>
      <c r="O1837" s="6" t="s">
        <v>39</v>
      </c>
      <c r="P1837" s="8">
        <f>Table1[Quantity]*Table1[Unit_Price]</f>
        <v>46.96</v>
      </c>
      <c r="Q1837" s="1">
        <f>Table1[Profit]/Table1[Total_Sales]</f>
        <v>0.21296734500709893</v>
      </c>
      <c r="R1837" s="14">
        <f>Table1[Total_Sales]+Table1[Shipping_Cost]</f>
        <v>49.69</v>
      </c>
    </row>
    <row r="1838" spans="1:18" x14ac:dyDescent="0.35">
      <c r="A1838" s="3" t="s">
        <v>3366</v>
      </c>
      <c r="B1838" s="2">
        <v>45941</v>
      </c>
      <c r="C1838" s="1" t="s">
        <v>3367</v>
      </c>
      <c r="D1838" s="1" t="s">
        <v>49</v>
      </c>
      <c r="E1838" s="1" t="s">
        <v>59</v>
      </c>
      <c r="F1838" s="1" t="s">
        <v>60</v>
      </c>
      <c r="G1838" s="1" t="s">
        <v>69</v>
      </c>
      <c r="H1838" s="1" t="s">
        <v>243</v>
      </c>
      <c r="I1838" s="1">
        <v>3</v>
      </c>
      <c r="J1838" s="1">
        <v>35.090000000000003</v>
      </c>
      <c r="K1838" s="1">
        <v>15</v>
      </c>
      <c r="L1838" s="1">
        <v>89.48</v>
      </c>
      <c r="M1838" s="1">
        <v>15.75</v>
      </c>
      <c r="N1838" s="1">
        <v>21.09</v>
      </c>
      <c r="O1838" s="6" t="s">
        <v>39</v>
      </c>
      <c r="P1838" s="8">
        <f>Table1[Quantity]*Table1[Unit_Price]</f>
        <v>105.27000000000001</v>
      </c>
      <c r="Q1838" s="1">
        <f>Table1[Profit]/Table1[Total_Sales]</f>
        <v>0.23569512740277157</v>
      </c>
      <c r="R1838" s="14">
        <f>Table1[Total_Sales]+Table1[Shipping_Cost]</f>
        <v>105.23</v>
      </c>
    </row>
    <row r="1839" spans="1:18" x14ac:dyDescent="0.35">
      <c r="A1839" s="3" t="s">
        <v>3368</v>
      </c>
      <c r="B1839" s="2">
        <v>45941</v>
      </c>
      <c r="C1839" s="1" t="s">
        <v>103</v>
      </c>
      <c r="D1839" s="1" t="s">
        <v>30</v>
      </c>
      <c r="E1839" s="1" t="s">
        <v>121</v>
      </c>
      <c r="F1839" s="1" t="s">
        <v>68</v>
      </c>
      <c r="G1839" s="1" t="s">
        <v>20</v>
      </c>
      <c r="H1839" s="1" t="s">
        <v>175</v>
      </c>
      <c r="I1839" s="1">
        <v>1</v>
      </c>
      <c r="J1839" s="1">
        <v>31.02</v>
      </c>
      <c r="K1839" s="1">
        <v>15</v>
      </c>
      <c r="L1839" s="1">
        <v>26.37</v>
      </c>
      <c r="M1839" s="1">
        <v>11.99</v>
      </c>
      <c r="N1839" s="1">
        <v>-2.68</v>
      </c>
      <c r="O1839" s="6" t="s">
        <v>34</v>
      </c>
      <c r="P1839" s="8">
        <f>Table1[Quantity]*Table1[Unit_Price]</f>
        <v>31.02</v>
      </c>
      <c r="Q1839" s="1">
        <f>Table1[Profit]/Table1[Total_Sales]</f>
        <v>-0.10163064087978764</v>
      </c>
      <c r="R1839" s="14">
        <f>Table1[Total_Sales]+Table1[Shipping_Cost]</f>
        <v>38.36</v>
      </c>
    </row>
    <row r="1840" spans="1:18" x14ac:dyDescent="0.35">
      <c r="A1840" s="3" t="s">
        <v>3369</v>
      </c>
      <c r="B1840" s="2">
        <v>45942</v>
      </c>
      <c r="C1840" s="1" t="s">
        <v>3370</v>
      </c>
      <c r="D1840" s="1" t="s">
        <v>17</v>
      </c>
      <c r="E1840" s="1" t="s">
        <v>129</v>
      </c>
      <c r="F1840" s="1" t="s">
        <v>19</v>
      </c>
      <c r="G1840" s="1" t="s">
        <v>69</v>
      </c>
      <c r="H1840" s="1" t="s">
        <v>163</v>
      </c>
      <c r="I1840" s="1">
        <v>2</v>
      </c>
      <c r="J1840" s="1">
        <v>57.57</v>
      </c>
      <c r="K1840" s="1">
        <v>5</v>
      </c>
      <c r="L1840" s="1">
        <v>109.38</v>
      </c>
      <c r="M1840" s="1">
        <v>7.11</v>
      </c>
      <c r="N1840" s="1">
        <v>44.7</v>
      </c>
      <c r="O1840" s="6" t="s">
        <v>39</v>
      </c>
      <c r="P1840" s="8">
        <f>Table1[Quantity]*Table1[Unit_Price]</f>
        <v>115.14</v>
      </c>
      <c r="Q1840" s="1">
        <f>Table1[Profit]/Table1[Total_Sales]</f>
        <v>0.40866703236423479</v>
      </c>
      <c r="R1840" s="14">
        <f>Table1[Total_Sales]+Table1[Shipping_Cost]</f>
        <v>116.49</v>
      </c>
    </row>
    <row r="1841" spans="1:18" x14ac:dyDescent="0.35">
      <c r="A1841" s="3" t="s">
        <v>3371</v>
      </c>
      <c r="B1841" s="2">
        <v>45942</v>
      </c>
      <c r="C1841" s="1" t="s">
        <v>1907</v>
      </c>
      <c r="D1841" s="1" t="s">
        <v>30</v>
      </c>
      <c r="E1841" s="1" t="s">
        <v>53</v>
      </c>
      <c r="F1841" s="1" t="s">
        <v>54</v>
      </c>
      <c r="G1841" s="1" t="s">
        <v>20</v>
      </c>
      <c r="H1841" s="1" t="s">
        <v>55</v>
      </c>
      <c r="I1841" s="1">
        <v>4</v>
      </c>
      <c r="J1841" s="1">
        <v>66.819999999999993</v>
      </c>
      <c r="K1841" s="1">
        <v>0</v>
      </c>
      <c r="L1841" s="1">
        <v>267.27999999999997</v>
      </c>
      <c r="M1841" s="1">
        <v>19.899999999999999</v>
      </c>
      <c r="N1841" s="1">
        <v>100.38</v>
      </c>
      <c r="O1841" s="6" t="s">
        <v>34</v>
      </c>
      <c r="P1841" s="8">
        <f>Table1[Quantity]*Table1[Unit_Price]</f>
        <v>267.27999999999997</v>
      </c>
      <c r="Q1841" s="1">
        <f>Table1[Profit]/Table1[Total_Sales]</f>
        <v>0.37556120921879677</v>
      </c>
      <c r="R1841" s="14">
        <f>Table1[Total_Sales]+Table1[Shipping_Cost]</f>
        <v>287.17999999999995</v>
      </c>
    </row>
    <row r="1842" spans="1:18" x14ac:dyDescent="0.35">
      <c r="A1842" s="3" t="s">
        <v>3372</v>
      </c>
      <c r="B1842" s="2">
        <v>45943</v>
      </c>
      <c r="C1842" s="1" t="s">
        <v>168</v>
      </c>
      <c r="D1842" s="1" t="s">
        <v>17</v>
      </c>
      <c r="E1842" s="1" t="s">
        <v>59</v>
      </c>
      <c r="F1842" s="1" t="s">
        <v>60</v>
      </c>
      <c r="G1842" s="1" t="s">
        <v>69</v>
      </c>
      <c r="H1842" s="1" t="s">
        <v>163</v>
      </c>
      <c r="I1842" s="1">
        <v>3</v>
      </c>
      <c r="J1842" s="1">
        <v>31.44</v>
      </c>
      <c r="K1842" s="1">
        <v>0</v>
      </c>
      <c r="L1842" s="1">
        <v>94.32</v>
      </c>
      <c r="M1842" s="1">
        <v>11.64</v>
      </c>
      <c r="N1842" s="1">
        <v>35.520000000000003</v>
      </c>
      <c r="O1842" s="6" t="s">
        <v>22</v>
      </c>
      <c r="P1842" s="8">
        <f>Table1[Quantity]*Table1[Unit_Price]</f>
        <v>94.320000000000007</v>
      </c>
      <c r="Q1842" s="1">
        <f>Table1[Profit]/Table1[Total_Sales]</f>
        <v>0.37659033078880411</v>
      </c>
      <c r="R1842" s="14">
        <f>Table1[Total_Sales]+Table1[Shipping_Cost]</f>
        <v>105.96</v>
      </c>
    </row>
    <row r="1843" spans="1:18" x14ac:dyDescent="0.35">
      <c r="A1843" s="3" t="s">
        <v>3373</v>
      </c>
      <c r="B1843" s="2">
        <v>45944</v>
      </c>
      <c r="C1843" s="1" t="s">
        <v>3374</v>
      </c>
      <c r="D1843" s="1" t="s">
        <v>30</v>
      </c>
      <c r="E1843" s="1" t="s">
        <v>59</v>
      </c>
      <c r="F1843" s="1" t="s">
        <v>60</v>
      </c>
      <c r="G1843" s="1" t="s">
        <v>20</v>
      </c>
      <c r="H1843" s="1" t="s">
        <v>55</v>
      </c>
      <c r="I1843" s="1">
        <v>1</v>
      </c>
      <c r="J1843" s="1">
        <v>32.700000000000003</v>
      </c>
      <c r="K1843" s="1">
        <v>0</v>
      </c>
      <c r="L1843" s="1">
        <v>32.700000000000003</v>
      </c>
      <c r="M1843" s="1">
        <v>10.93</v>
      </c>
      <c r="N1843" s="1">
        <v>3.79</v>
      </c>
      <c r="O1843" s="6" t="s">
        <v>34</v>
      </c>
      <c r="P1843" s="8">
        <f>Table1[Quantity]*Table1[Unit_Price]</f>
        <v>32.700000000000003</v>
      </c>
      <c r="Q1843" s="1">
        <f>Table1[Profit]/Table1[Total_Sales]</f>
        <v>0.11590214067278287</v>
      </c>
      <c r="R1843" s="14">
        <f>Table1[Total_Sales]+Table1[Shipping_Cost]</f>
        <v>43.63</v>
      </c>
    </row>
    <row r="1844" spans="1:18" x14ac:dyDescent="0.35">
      <c r="A1844" s="3" t="s">
        <v>3375</v>
      </c>
      <c r="B1844" s="2">
        <v>45944</v>
      </c>
      <c r="C1844" s="1" t="s">
        <v>3376</v>
      </c>
      <c r="D1844" s="1" t="s">
        <v>49</v>
      </c>
      <c r="E1844" s="1" t="s">
        <v>148</v>
      </c>
      <c r="F1844" s="1" t="s">
        <v>60</v>
      </c>
      <c r="G1844" s="1" t="s">
        <v>32</v>
      </c>
      <c r="H1844" s="1" t="s">
        <v>101</v>
      </c>
      <c r="I1844" s="1">
        <v>1</v>
      </c>
      <c r="J1844" s="1">
        <v>21.86</v>
      </c>
      <c r="K1844" s="1">
        <v>20</v>
      </c>
      <c r="L1844" s="1">
        <v>17.489999999999998</v>
      </c>
      <c r="M1844" s="1">
        <v>11.22</v>
      </c>
      <c r="N1844" s="1">
        <v>-3.57</v>
      </c>
      <c r="O1844" s="6" t="s">
        <v>56</v>
      </c>
      <c r="P1844" s="8">
        <f>Table1[Quantity]*Table1[Unit_Price]</f>
        <v>21.86</v>
      </c>
      <c r="Q1844" s="1">
        <f>Table1[Profit]/Table1[Total_Sales]</f>
        <v>-0.20411663807890223</v>
      </c>
      <c r="R1844" s="14">
        <f>Table1[Total_Sales]+Table1[Shipping_Cost]</f>
        <v>28.71</v>
      </c>
    </row>
    <row r="1845" spans="1:18" x14ac:dyDescent="0.35">
      <c r="A1845" s="3" t="s">
        <v>3377</v>
      </c>
      <c r="B1845" s="2">
        <v>45944</v>
      </c>
      <c r="C1845" s="1" t="s">
        <v>1860</v>
      </c>
      <c r="D1845" s="1" t="s">
        <v>49</v>
      </c>
      <c r="E1845" s="1" t="s">
        <v>85</v>
      </c>
      <c r="F1845" s="1" t="s">
        <v>60</v>
      </c>
      <c r="G1845" s="1" t="s">
        <v>32</v>
      </c>
      <c r="H1845" s="1" t="s">
        <v>149</v>
      </c>
      <c r="I1845" s="1">
        <v>1</v>
      </c>
      <c r="J1845" s="1">
        <v>13.39</v>
      </c>
      <c r="K1845" s="1">
        <v>5</v>
      </c>
      <c r="L1845" s="1">
        <v>12.72</v>
      </c>
      <c r="M1845" s="1">
        <v>9.93</v>
      </c>
      <c r="N1845" s="1">
        <v>-3.24</v>
      </c>
      <c r="O1845" s="6" t="s">
        <v>39</v>
      </c>
      <c r="P1845" s="8">
        <f>Table1[Quantity]*Table1[Unit_Price]</f>
        <v>13.39</v>
      </c>
      <c r="Q1845" s="1">
        <f>Table1[Profit]/Table1[Total_Sales]</f>
        <v>-0.25471698113207547</v>
      </c>
      <c r="R1845" s="14">
        <f>Table1[Total_Sales]+Table1[Shipping_Cost]</f>
        <v>22.65</v>
      </c>
    </row>
    <row r="1846" spans="1:18" x14ac:dyDescent="0.35">
      <c r="A1846" s="3" t="s">
        <v>3378</v>
      </c>
      <c r="B1846" s="2">
        <v>45944</v>
      </c>
      <c r="C1846" s="1" t="s">
        <v>58</v>
      </c>
      <c r="D1846" s="1" t="s">
        <v>49</v>
      </c>
      <c r="E1846" s="1" t="s">
        <v>129</v>
      </c>
      <c r="F1846" s="1" t="s">
        <v>19</v>
      </c>
      <c r="G1846" s="1" t="s">
        <v>69</v>
      </c>
      <c r="H1846" s="1" t="s">
        <v>79</v>
      </c>
      <c r="I1846" s="1">
        <v>5</v>
      </c>
      <c r="J1846" s="1">
        <v>31.44</v>
      </c>
      <c r="K1846" s="1">
        <v>0</v>
      </c>
      <c r="L1846" s="1">
        <v>157.19999999999999</v>
      </c>
      <c r="M1846" s="1">
        <v>11.49</v>
      </c>
      <c r="N1846" s="1">
        <v>67.11</v>
      </c>
      <c r="O1846" s="6" t="s">
        <v>22</v>
      </c>
      <c r="P1846" s="8">
        <f>Table1[Quantity]*Table1[Unit_Price]</f>
        <v>157.20000000000002</v>
      </c>
      <c r="Q1846" s="1">
        <f>Table1[Profit]/Table1[Total_Sales]</f>
        <v>0.42690839694656491</v>
      </c>
      <c r="R1846" s="14">
        <f>Table1[Total_Sales]+Table1[Shipping_Cost]</f>
        <v>168.69</v>
      </c>
    </row>
    <row r="1847" spans="1:18" x14ac:dyDescent="0.35">
      <c r="A1847" s="3" t="s">
        <v>3379</v>
      </c>
      <c r="B1847" s="2">
        <v>45944</v>
      </c>
      <c r="C1847" s="1" t="s">
        <v>1507</v>
      </c>
      <c r="D1847" s="1" t="s">
        <v>49</v>
      </c>
      <c r="E1847" s="1" t="s">
        <v>31</v>
      </c>
      <c r="F1847" s="1" t="s">
        <v>19</v>
      </c>
      <c r="G1847" s="1" t="s">
        <v>32</v>
      </c>
      <c r="H1847" s="1" t="s">
        <v>149</v>
      </c>
      <c r="I1847" s="1">
        <v>4</v>
      </c>
      <c r="J1847" s="1">
        <v>5.03</v>
      </c>
      <c r="K1847" s="1">
        <v>5</v>
      </c>
      <c r="L1847" s="1">
        <v>19.11</v>
      </c>
      <c r="M1847" s="1">
        <v>12.77</v>
      </c>
      <c r="N1847" s="1">
        <v>-2.71</v>
      </c>
      <c r="O1847" s="6" t="s">
        <v>34</v>
      </c>
      <c r="P1847" s="8">
        <f>Table1[Quantity]*Table1[Unit_Price]</f>
        <v>20.12</v>
      </c>
      <c r="Q1847" s="1">
        <f>Table1[Profit]/Table1[Total_Sales]</f>
        <v>-0.14181057038199896</v>
      </c>
      <c r="R1847" s="14">
        <f>Table1[Total_Sales]+Table1[Shipping_Cost]</f>
        <v>31.88</v>
      </c>
    </row>
    <row r="1848" spans="1:18" x14ac:dyDescent="0.35">
      <c r="A1848" s="3" t="s">
        <v>3380</v>
      </c>
      <c r="B1848" s="2">
        <v>45945</v>
      </c>
      <c r="C1848" s="1" t="s">
        <v>621</v>
      </c>
      <c r="D1848" s="1" t="s">
        <v>30</v>
      </c>
      <c r="E1848" s="1" t="s">
        <v>76</v>
      </c>
      <c r="F1848" s="1" t="s">
        <v>26</v>
      </c>
      <c r="G1848" s="1" t="s">
        <v>32</v>
      </c>
      <c r="H1848" s="1" t="s">
        <v>115</v>
      </c>
      <c r="I1848" s="1">
        <v>3</v>
      </c>
      <c r="J1848" s="1">
        <v>7.81</v>
      </c>
      <c r="K1848" s="1">
        <v>0</v>
      </c>
      <c r="L1848" s="1">
        <v>23.43</v>
      </c>
      <c r="M1848" s="1">
        <v>11.85</v>
      </c>
      <c r="N1848" s="1">
        <v>1.04</v>
      </c>
      <c r="O1848" s="6" t="s">
        <v>39</v>
      </c>
      <c r="P1848" s="8">
        <f>Table1[Quantity]*Table1[Unit_Price]</f>
        <v>23.43</v>
      </c>
      <c r="Q1848" s="1">
        <f>Table1[Profit]/Table1[Total_Sales]</f>
        <v>4.4387537345283827E-2</v>
      </c>
      <c r="R1848" s="14">
        <f>Table1[Total_Sales]+Table1[Shipping_Cost]</f>
        <v>35.28</v>
      </c>
    </row>
    <row r="1849" spans="1:18" x14ac:dyDescent="0.35">
      <c r="A1849" s="3" t="s">
        <v>3381</v>
      </c>
      <c r="B1849" s="2">
        <v>45946</v>
      </c>
      <c r="C1849" s="1" t="s">
        <v>3207</v>
      </c>
      <c r="D1849" s="1" t="s">
        <v>17</v>
      </c>
      <c r="E1849" s="1" t="s">
        <v>31</v>
      </c>
      <c r="F1849" s="1" t="s">
        <v>19</v>
      </c>
      <c r="G1849" s="1" t="s">
        <v>42</v>
      </c>
      <c r="H1849" s="1" t="s">
        <v>118</v>
      </c>
      <c r="I1849" s="1">
        <v>6</v>
      </c>
      <c r="J1849" s="1">
        <v>63.63</v>
      </c>
      <c r="K1849" s="1">
        <v>10</v>
      </c>
      <c r="L1849" s="1">
        <v>343.6</v>
      </c>
      <c r="M1849" s="1">
        <v>17.309999999999999</v>
      </c>
      <c r="N1849" s="1">
        <v>97.22</v>
      </c>
      <c r="O1849" s="6" t="s">
        <v>22</v>
      </c>
      <c r="P1849" s="8">
        <f>Table1[Quantity]*Table1[Unit_Price]</f>
        <v>381.78000000000003</v>
      </c>
      <c r="Q1849" s="1">
        <f>Table1[Profit]/Table1[Total_Sales]</f>
        <v>0.28294528521536666</v>
      </c>
      <c r="R1849" s="14">
        <f>Table1[Total_Sales]+Table1[Shipping_Cost]</f>
        <v>360.91</v>
      </c>
    </row>
    <row r="1850" spans="1:18" x14ac:dyDescent="0.35">
      <c r="A1850" s="3" t="s">
        <v>3382</v>
      </c>
      <c r="B1850" s="2">
        <v>45946</v>
      </c>
      <c r="C1850" s="1" t="s">
        <v>3383</v>
      </c>
      <c r="D1850" s="1" t="s">
        <v>49</v>
      </c>
      <c r="E1850" s="1" t="s">
        <v>138</v>
      </c>
      <c r="F1850" s="1" t="s">
        <v>54</v>
      </c>
      <c r="G1850" s="1" t="s">
        <v>42</v>
      </c>
      <c r="H1850" s="1" t="s">
        <v>46</v>
      </c>
      <c r="I1850" s="1">
        <v>4</v>
      </c>
      <c r="J1850" s="1">
        <v>107.74</v>
      </c>
      <c r="K1850" s="1">
        <v>10</v>
      </c>
      <c r="L1850" s="1">
        <v>387.86</v>
      </c>
      <c r="M1850" s="1">
        <v>18.57</v>
      </c>
      <c r="N1850" s="1">
        <v>110.71</v>
      </c>
      <c r="O1850" s="6" t="s">
        <v>34</v>
      </c>
      <c r="P1850" s="8">
        <f>Table1[Quantity]*Table1[Unit_Price]</f>
        <v>430.96</v>
      </c>
      <c r="Q1850" s="1">
        <f>Table1[Profit]/Table1[Total_Sales]</f>
        <v>0.28543804465528794</v>
      </c>
      <c r="R1850" s="14">
        <f>Table1[Total_Sales]+Table1[Shipping_Cost]</f>
        <v>406.43</v>
      </c>
    </row>
    <row r="1851" spans="1:18" x14ac:dyDescent="0.35">
      <c r="A1851" s="3" t="s">
        <v>3384</v>
      </c>
      <c r="B1851" s="2">
        <v>45947</v>
      </c>
      <c r="C1851" s="1" t="s">
        <v>1377</v>
      </c>
      <c r="D1851" s="1" t="s">
        <v>30</v>
      </c>
      <c r="E1851" s="1" t="s">
        <v>18</v>
      </c>
      <c r="F1851" s="1" t="s">
        <v>19</v>
      </c>
      <c r="G1851" s="1" t="s">
        <v>32</v>
      </c>
      <c r="H1851" s="1" t="s">
        <v>115</v>
      </c>
      <c r="I1851" s="1">
        <v>4</v>
      </c>
      <c r="J1851" s="1">
        <v>11.36</v>
      </c>
      <c r="K1851" s="1">
        <v>0</v>
      </c>
      <c r="L1851" s="1">
        <v>45.44</v>
      </c>
      <c r="M1851" s="1">
        <v>11.98</v>
      </c>
      <c r="N1851" s="1">
        <v>13.01</v>
      </c>
      <c r="O1851" s="6" t="s">
        <v>34</v>
      </c>
      <c r="P1851" s="8">
        <f>Table1[Quantity]*Table1[Unit_Price]</f>
        <v>45.44</v>
      </c>
      <c r="Q1851" s="1">
        <f>Table1[Profit]/Table1[Total_Sales]</f>
        <v>0.28631161971830987</v>
      </c>
      <c r="R1851" s="14">
        <f>Table1[Total_Sales]+Table1[Shipping_Cost]</f>
        <v>57.42</v>
      </c>
    </row>
    <row r="1852" spans="1:18" x14ac:dyDescent="0.35">
      <c r="A1852" s="3" t="s">
        <v>3385</v>
      </c>
      <c r="B1852" s="2">
        <v>45947</v>
      </c>
      <c r="C1852" s="1" t="s">
        <v>3386</v>
      </c>
      <c r="D1852" s="1" t="s">
        <v>17</v>
      </c>
      <c r="E1852" s="1" t="s">
        <v>37</v>
      </c>
      <c r="F1852" s="1" t="s">
        <v>26</v>
      </c>
      <c r="G1852" s="1" t="s">
        <v>69</v>
      </c>
      <c r="H1852" s="1" t="s">
        <v>160</v>
      </c>
      <c r="I1852" s="1">
        <v>2</v>
      </c>
      <c r="J1852" s="1">
        <v>31.6</v>
      </c>
      <c r="K1852" s="1">
        <v>15</v>
      </c>
      <c r="L1852" s="1">
        <v>53.72</v>
      </c>
      <c r="M1852" s="1">
        <v>10.11</v>
      </c>
      <c r="N1852" s="1">
        <v>12.01</v>
      </c>
      <c r="O1852" s="6" t="s">
        <v>34</v>
      </c>
      <c r="P1852" s="8">
        <f>Table1[Quantity]*Table1[Unit_Price]</f>
        <v>63.2</v>
      </c>
      <c r="Q1852" s="1">
        <f>Table1[Profit]/Table1[Total_Sales]</f>
        <v>0.22356664184661207</v>
      </c>
      <c r="R1852" s="14">
        <f>Table1[Total_Sales]+Table1[Shipping_Cost]</f>
        <v>63.83</v>
      </c>
    </row>
    <row r="1853" spans="1:18" x14ac:dyDescent="0.35">
      <c r="A1853" s="3" t="s">
        <v>3387</v>
      </c>
      <c r="B1853" s="2">
        <v>45947</v>
      </c>
      <c r="C1853" s="1" t="s">
        <v>758</v>
      </c>
      <c r="D1853" s="1" t="s">
        <v>30</v>
      </c>
      <c r="E1853" s="1" t="s">
        <v>92</v>
      </c>
      <c r="F1853" s="1" t="s">
        <v>60</v>
      </c>
      <c r="G1853" s="1" t="s">
        <v>20</v>
      </c>
      <c r="H1853" s="1" t="s">
        <v>38</v>
      </c>
      <c r="I1853" s="1">
        <v>4</v>
      </c>
      <c r="J1853" s="1">
        <v>46.59</v>
      </c>
      <c r="K1853" s="1">
        <v>5</v>
      </c>
      <c r="L1853" s="1">
        <v>177.04</v>
      </c>
      <c r="M1853" s="1">
        <v>18.989999999999998</v>
      </c>
      <c r="N1853" s="1">
        <v>55.55</v>
      </c>
      <c r="O1853" s="6" t="s">
        <v>22</v>
      </c>
      <c r="P1853" s="8">
        <f>Table1[Quantity]*Table1[Unit_Price]</f>
        <v>186.36</v>
      </c>
      <c r="Q1853" s="1">
        <f>Table1[Profit]/Table1[Total_Sales]</f>
        <v>0.31377089923181201</v>
      </c>
      <c r="R1853" s="14">
        <f>Table1[Total_Sales]+Table1[Shipping_Cost]</f>
        <v>196.03</v>
      </c>
    </row>
    <row r="1854" spans="1:18" x14ac:dyDescent="0.35">
      <c r="A1854" s="3" t="s">
        <v>3388</v>
      </c>
      <c r="B1854" s="2">
        <v>45948</v>
      </c>
      <c r="C1854" s="1" t="s">
        <v>3389</v>
      </c>
      <c r="D1854" s="1" t="s">
        <v>17</v>
      </c>
      <c r="E1854" s="1" t="s">
        <v>76</v>
      </c>
      <c r="F1854" s="1" t="s">
        <v>26</v>
      </c>
      <c r="G1854" s="1" t="s">
        <v>20</v>
      </c>
      <c r="H1854" s="1" t="s">
        <v>38</v>
      </c>
      <c r="I1854" s="1">
        <v>2</v>
      </c>
      <c r="J1854" s="1">
        <v>40.18</v>
      </c>
      <c r="K1854" s="1">
        <v>0</v>
      </c>
      <c r="L1854" s="1">
        <v>80.36</v>
      </c>
      <c r="M1854" s="1">
        <v>10.31</v>
      </c>
      <c r="N1854" s="1">
        <v>25.85</v>
      </c>
      <c r="O1854" s="6" t="s">
        <v>34</v>
      </c>
      <c r="P1854" s="8">
        <f>Table1[Quantity]*Table1[Unit_Price]</f>
        <v>80.36</v>
      </c>
      <c r="Q1854" s="1">
        <f>Table1[Profit]/Table1[Total_Sales]</f>
        <v>0.32167745146839227</v>
      </c>
      <c r="R1854" s="14">
        <f>Table1[Total_Sales]+Table1[Shipping_Cost]</f>
        <v>90.67</v>
      </c>
    </row>
    <row r="1855" spans="1:18" x14ac:dyDescent="0.35">
      <c r="A1855" s="3" t="s">
        <v>3390</v>
      </c>
      <c r="B1855" s="2">
        <v>45948</v>
      </c>
      <c r="C1855" s="1" t="s">
        <v>3391</v>
      </c>
      <c r="D1855" s="1" t="s">
        <v>17</v>
      </c>
      <c r="E1855" s="1" t="s">
        <v>18</v>
      </c>
      <c r="F1855" s="1" t="s">
        <v>19</v>
      </c>
      <c r="G1855" s="1" t="s">
        <v>20</v>
      </c>
      <c r="H1855" s="1" t="s">
        <v>175</v>
      </c>
      <c r="I1855" s="1">
        <v>1</v>
      </c>
      <c r="J1855" s="1">
        <v>36.619999999999997</v>
      </c>
      <c r="K1855" s="1">
        <v>20</v>
      </c>
      <c r="L1855" s="1">
        <v>29.3</v>
      </c>
      <c r="M1855" s="1">
        <v>6.08</v>
      </c>
      <c r="N1855" s="1">
        <v>3.08</v>
      </c>
      <c r="O1855" s="6" t="s">
        <v>56</v>
      </c>
      <c r="P1855" s="8">
        <f>Table1[Quantity]*Table1[Unit_Price]</f>
        <v>36.619999999999997</v>
      </c>
      <c r="Q1855" s="1">
        <f>Table1[Profit]/Table1[Total_Sales]</f>
        <v>0.10511945392491467</v>
      </c>
      <c r="R1855" s="14">
        <f>Table1[Total_Sales]+Table1[Shipping_Cost]</f>
        <v>35.380000000000003</v>
      </c>
    </row>
    <row r="1856" spans="1:18" x14ac:dyDescent="0.35">
      <c r="A1856" s="3" t="s">
        <v>3392</v>
      </c>
      <c r="B1856" s="2">
        <v>45949</v>
      </c>
      <c r="C1856" s="1" t="s">
        <v>3393</v>
      </c>
      <c r="D1856" s="1" t="s">
        <v>49</v>
      </c>
      <c r="E1856" s="1" t="s">
        <v>18</v>
      </c>
      <c r="F1856" s="1" t="s">
        <v>19</v>
      </c>
      <c r="G1856" s="1" t="s">
        <v>42</v>
      </c>
      <c r="H1856" s="1" t="s">
        <v>118</v>
      </c>
      <c r="I1856" s="1">
        <v>5</v>
      </c>
      <c r="J1856" s="1">
        <v>38.24</v>
      </c>
      <c r="K1856" s="1">
        <v>10</v>
      </c>
      <c r="L1856" s="1">
        <v>172.08</v>
      </c>
      <c r="M1856" s="1">
        <v>9.65</v>
      </c>
      <c r="N1856" s="1">
        <v>47.71</v>
      </c>
      <c r="O1856" s="6" t="s">
        <v>39</v>
      </c>
      <c r="P1856" s="8">
        <f>Table1[Quantity]*Table1[Unit_Price]</f>
        <v>191.20000000000002</v>
      </c>
      <c r="Q1856" s="1">
        <f>Table1[Profit]/Table1[Total_Sales]</f>
        <v>0.27725476522547648</v>
      </c>
      <c r="R1856" s="14">
        <f>Table1[Total_Sales]+Table1[Shipping_Cost]</f>
        <v>181.73000000000002</v>
      </c>
    </row>
    <row r="1857" spans="1:18" x14ac:dyDescent="0.35">
      <c r="A1857" s="3" t="s">
        <v>3394</v>
      </c>
      <c r="B1857" s="2">
        <v>45949</v>
      </c>
      <c r="C1857" s="1" t="s">
        <v>3395</v>
      </c>
      <c r="D1857" s="1" t="s">
        <v>30</v>
      </c>
      <c r="E1857" s="1" t="s">
        <v>135</v>
      </c>
      <c r="F1857" s="1" t="s">
        <v>26</v>
      </c>
      <c r="G1857" s="1" t="s">
        <v>69</v>
      </c>
      <c r="H1857" s="1" t="s">
        <v>163</v>
      </c>
      <c r="I1857" s="1">
        <v>4</v>
      </c>
      <c r="J1857" s="1">
        <v>59.6</v>
      </c>
      <c r="K1857" s="1">
        <v>0</v>
      </c>
      <c r="L1857" s="1">
        <v>238.4</v>
      </c>
      <c r="M1857" s="1">
        <v>14.78</v>
      </c>
      <c r="N1857" s="1">
        <v>104.42</v>
      </c>
      <c r="O1857" s="6" t="s">
        <v>22</v>
      </c>
      <c r="P1857" s="8">
        <f>Table1[Quantity]*Table1[Unit_Price]</f>
        <v>238.4</v>
      </c>
      <c r="Q1857" s="1">
        <f>Table1[Profit]/Table1[Total_Sales]</f>
        <v>0.43800335570469801</v>
      </c>
      <c r="R1857" s="14">
        <f>Table1[Total_Sales]+Table1[Shipping_Cost]</f>
        <v>253.18</v>
      </c>
    </row>
    <row r="1858" spans="1:18" x14ac:dyDescent="0.35">
      <c r="A1858" s="3" t="s">
        <v>3396</v>
      </c>
      <c r="B1858" s="2">
        <v>45950</v>
      </c>
      <c r="C1858" s="1" t="s">
        <v>3397</v>
      </c>
      <c r="D1858" s="1" t="s">
        <v>17</v>
      </c>
      <c r="E1858" s="1" t="s">
        <v>85</v>
      </c>
      <c r="F1858" s="1" t="s">
        <v>60</v>
      </c>
      <c r="G1858" s="1" t="s">
        <v>69</v>
      </c>
      <c r="H1858" s="1" t="s">
        <v>98</v>
      </c>
      <c r="I1858" s="1">
        <v>6</v>
      </c>
      <c r="J1858" s="1">
        <v>40.46</v>
      </c>
      <c r="K1858" s="1">
        <v>0</v>
      </c>
      <c r="L1858" s="1">
        <v>242.76</v>
      </c>
      <c r="M1858" s="1">
        <v>18.34</v>
      </c>
      <c r="N1858" s="1">
        <v>103.04</v>
      </c>
      <c r="O1858" s="6" t="s">
        <v>34</v>
      </c>
      <c r="P1858" s="8">
        <f>Table1[Quantity]*Table1[Unit_Price]</f>
        <v>242.76</v>
      </c>
      <c r="Q1858" s="1">
        <f>Table1[Profit]/Table1[Total_Sales]</f>
        <v>0.42445213379469438</v>
      </c>
      <c r="R1858" s="14">
        <f>Table1[Total_Sales]+Table1[Shipping_Cost]</f>
        <v>261.09999999999997</v>
      </c>
    </row>
    <row r="1859" spans="1:18" x14ac:dyDescent="0.35">
      <c r="A1859" s="3" t="s">
        <v>3398</v>
      </c>
      <c r="B1859" s="2">
        <v>45950</v>
      </c>
      <c r="C1859" s="1" t="s">
        <v>3399</v>
      </c>
      <c r="D1859" s="1" t="s">
        <v>17</v>
      </c>
      <c r="E1859" s="1" t="s">
        <v>121</v>
      </c>
      <c r="F1859" s="1" t="s">
        <v>68</v>
      </c>
      <c r="G1859" s="1" t="s">
        <v>32</v>
      </c>
      <c r="H1859" s="1" t="s">
        <v>115</v>
      </c>
      <c r="I1859" s="1">
        <v>1</v>
      </c>
      <c r="J1859" s="1">
        <v>18.809999999999999</v>
      </c>
      <c r="K1859" s="1">
        <v>20</v>
      </c>
      <c r="L1859" s="1">
        <v>15.05</v>
      </c>
      <c r="M1859" s="1">
        <v>11.78</v>
      </c>
      <c r="N1859" s="1">
        <v>-5.19</v>
      </c>
      <c r="O1859" s="6" t="s">
        <v>22</v>
      </c>
      <c r="P1859" s="8">
        <f>Table1[Quantity]*Table1[Unit_Price]</f>
        <v>18.809999999999999</v>
      </c>
      <c r="Q1859" s="1">
        <f>Table1[Profit]/Table1[Total_Sales]</f>
        <v>-0.34485049833887044</v>
      </c>
      <c r="R1859" s="14">
        <f>Table1[Total_Sales]+Table1[Shipping_Cost]</f>
        <v>26.83</v>
      </c>
    </row>
    <row r="1860" spans="1:18" x14ac:dyDescent="0.35">
      <c r="A1860" s="3" t="s">
        <v>3400</v>
      </c>
      <c r="B1860" s="2">
        <v>45951</v>
      </c>
      <c r="C1860" s="1" t="s">
        <v>827</v>
      </c>
      <c r="D1860" s="1" t="s">
        <v>17</v>
      </c>
      <c r="E1860" s="1" t="s">
        <v>25</v>
      </c>
      <c r="F1860" s="1" t="s">
        <v>26</v>
      </c>
      <c r="G1860" s="1" t="s">
        <v>32</v>
      </c>
      <c r="H1860" s="1" t="s">
        <v>101</v>
      </c>
      <c r="I1860" s="1">
        <v>3</v>
      </c>
      <c r="J1860" s="1">
        <v>7.81</v>
      </c>
      <c r="K1860" s="1">
        <v>15</v>
      </c>
      <c r="L1860" s="1">
        <v>19.920000000000002</v>
      </c>
      <c r="M1860" s="1">
        <v>9.35</v>
      </c>
      <c r="N1860" s="1">
        <v>0.03</v>
      </c>
      <c r="O1860" s="6" t="s">
        <v>56</v>
      </c>
      <c r="P1860" s="8">
        <f>Table1[Quantity]*Table1[Unit_Price]</f>
        <v>23.43</v>
      </c>
      <c r="Q1860" s="1">
        <f>Table1[Profit]/Table1[Total_Sales]</f>
        <v>1.506024096385542E-3</v>
      </c>
      <c r="R1860" s="14">
        <f>Table1[Total_Sales]+Table1[Shipping_Cost]</f>
        <v>29.270000000000003</v>
      </c>
    </row>
    <row r="1861" spans="1:18" x14ac:dyDescent="0.35">
      <c r="A1861" s="3" t="s">
        <v>3401</v>
      </c>
      <c r="B1861" s="2">
        <v>45951</v>
      </c>
      <c r="C1861" s="1" t="s">
        <v>3402</v>
      </c>
      <c r="D1861" s="1" t="s">
        <v>49</v>
      </c>
      <c r="E1861" s="1" t="s">
        <v>92</v>
      </c>
      <c r="F1861" s="1" t="s">
        <v>60</v>
      </c>
      <c r="G1861" s="1" t="s">
        <v>20</v>
      </c>
      <c r="H1861" s="1" t="s">
        <v>106</v>
      </c>
      <c r="I1861" s="1">
        <v>11</v>
      </c>
      <c r="J1861" s="1">
        <v>61.28</v>
      </c>
      <c r="K1861" s="1">
        <v>10</v>
      </c>
      <c r="L1861" s="1">
        <v>606.66999999999996</v>
      </c>
      <c r="M1861" s="1">
        <v>16.64</v>
      </c>
      <c r="N1861" s="1">
        <v>219.29</v>
      </c>
      <c r="O1861" s="6" t="s">
        <v>39</v>
      </c>
      <c r="P1861" s="8">
        <f>Table1[Quantity]*Table1[Unit_Price]</f>
        <v>674.08</v>
      </c>
      <c r="Q1861" s="1">
        <f>Table1[Profit]/Table1[Total_Sales]</f>
        <v>0.36146504689534675</v>
      </c>
      <c r="R1861" s="14">
        <f>Table1[Total_Sales]+Table1[Shipping_Cost]</f>
        <v>623.30999999999995</v>
      </c>
    </row>
    <row r="1862" spans="1:18" x14ac:dyDescent="0.35">
      <c r="A1862" s="3" t="s">
        <v>3403</v>
      </c>
      <c r="B1862" s="2">
        <v>45951</v>
      </c>
      <c r="C1862" s="1" t="s">
        <v>1076</v>
      </c>
      <c r="D1862" s="1" t="s">
        <v>30</v>
      </c>
      <c r="E1862" s="1" t="s">
        <v>18</v>
      </c>
      <c r="F1862" s="1" t="s">
        <v>19</v>
      </c>
      <c r="G1862" s="1" t="s">
        <v>69</v>
      </c>
      <c r="H1862" s="1" t="s">
        <v>79</v>
      </c>
      <c r="I1862" s="1">
        <v>11</v>
      </c>
      <c r="J1862" s="1">
        <v>79.5</v>
      </c>
      <c r="K1862" s="1">
        <v>0</v>
      </c>
      <c r="L1862" s="1">
        <v>874.5</v>
      </c>
      <c r="M1862" s="1">
        <v>14.35</v>
      </c>
      <c r="N1862" s="1">
        <v>422.9</v>
      </c>
      <c r="O1862" s="6" t="s">
        <v>34</v>
      </c>
      <c r="P1862" s="8">
        <f>Table1[Quantity]*Table1[Unit_Price]</f>
        <v>874.5</v>
      </c>
      <c r="Q1862" s="1">
        <f>Table1[Profit]/Table1[Total_Sales]</f>
        <v>0.48359062321326468</v>
      </c>
      <c r="R1862" s="14">
        <f>Table1[Total_Sales]+Table1[Shipping_Cost]</f>
        <v>888.85</v>
      </c>
    </row>
    <row r="1863" spans="1:18" x14ac:dyDescent="0.35">
      <c r="A1863" s="3" t="s">
        <v>3404</v>
      </c>
      <c r="B1863" s="2">
        <v>45952</v>
      </c>
      <c r="C1863" s="1" t="s">
        <v>778</v>
      </c>
      <c r="D1863" s="1" t="s">
        <v>30</v>
      </c>
      <c r="E1863" s="1" t="s">
        <v>18</v>
      </c>
      <c r="F1863" s="1" t="s">
        <v>19</v>
      </c>
      <c r="G1863" s="1" t="s">
        <v>42</v>
      </c>
      <c r="H1863" s="1" t="s">
        <v>234</v>
      </c>
      <c r="I1863" s="1">
        <v>11</v>
      </c>
      <c r="J1863" s="1">
        <v>43.24</v>
      </c>
      <c r="K1863" s="1">
        <v>5</v>
      </c>
      <c r="L1863" s="1">
        <v>451.86</v>
      </c>
      <c r="M1863" s="1">
        <v>28.8</v>
      </c>
      <c r="N1863" s="1">
        <v>137.68</v>
      </c>
      <c r="O1863" s="6" t="s">
        <v>34</v>
      </c>
      <c r="P1863" s="8">
        <f>Table1[Quantity]*Table1[Unit_Price]</f>
        <v>475.64000000000004</v>
      </c>
      <c r="Q1863" s="1">
        <f>Table1[Profit]/Table1[Total_Sales]</f>
        <v>0.30469614482361795</v>
      </c>
      <c r="R1863" s="14">
        <f>Table1[Total_Sales]+Table1[Shipping_Cost]</f>
        <v>480.66</v>
      </c>
    </row>
    <row r="1864" spans="1:18" x14ac:dyDescent="0.35">
      <c r="A1864" s="3" t="s">
        <v>3405</v>
      </c>
      <c r="B1864" s="2">
        <v>45953</v>
      </c>
      <c r="C1864" s="1" t="s">
        <v>3406</v>
      </c>
      <c r="D1864" s="1" t="s">
        <v>49</v>
      </c>
      <c r="E1864" s="1" t="s">
        <v>248</v>
      </c>
      <c r="F1864" s="1" t="s">
        <v>26</v>
      </c>
      <c r="G1864" s="1" t="s">
        <v>32</v>
      </c>
      <c r="H1864" s="1" t="s">
        <v>33</v>
      </c>
      <c r="I1864" s="1">
        <v>1</v>
      </c>
      <c r="J1864" s="1">
        <v>12.72</v>
      </c>
      <c r="K1864" s="1">
        <v>10</v>
      </c>
      <c r="L1864" s="1">
        <v>11.45</v>
      </c>
      <c r="M1864" s="1">
        <v>8.73</v>
      </c>
      <c r="N1864" s="1">
        <v>-3</v>
      </c>
      <c r="O1864" s="6" t="s">
        <v>34</v>
      </c>
      <c r="P1864" s="8">
        <f>Table1[Quantity]*Table1[Unit_Price]</f>
        <v>12.72</v>
      </c>
      <c r="Q1864" s="1">
        <f>Table1[Profit]/Table1[Total_Sales]</f>
        <v>-0.26200873362445415</v>
      </c>
      <c r="R1864" s="14">
        <f>Table1[Total_Sales]+Table1[Shipping_Cost]</f>
        <v>20.18</v>
      </c>
    </row>
    <row r="1865" spans="1:18" x14ac:dyDescent="0.35">
      <c r="A1865" s="3" t="s">
        <v>3407</v>
      </c>
      <c r="B1865" s="2">
        <v>45954</v>
      </c>
      <c r="C1865" s="1" t="s">
        <v>3408</v>
      </c>
      <c r="D1865" s="1" t="s">
        <v>49</v>
      </c>
      <c r="E1865" s="1" t="s">
        <v>59</v>
      </c>
      <c r="F1865" s="1" t="s">
        <v>60</v>
      </c>
      <c r="G1865" s="1" t="s">
        <v>42</v>
      </c>
      <c r="H1865" s="1" t="s">
        <v>64</v>
      </c>
      <c r="I1865" s="1">
        <v>8</v>
      </c>
      <c r="J1865" s="1">
        <v>98.63</v>
      </c>
      <c r="K1865" s="1">
        <v>5</v>
      </c>
      <c r="L1865" s="1">
        <v>749.59</v>
      </c>
      <c r="M1865" s="1">
        <v>25.57</v>
      </c>
      <c r="N1865" s="1">
        <v>250.6</v>
      </c>
      <c r="O1865" s="6" t="s">
        <v>34</v>
      </c>
      <c r="P1865" s="8">
        <f>Table1[Quantity]*Table1[Unit_Price]</f>
        <v>789.04</v>
      </c>
      <c r="Q1865" s="1">
        <f>Table1[Profit]/Table1[Total_Sales]</f>
        <v>0.33431609279739588</v>
      </c>
      <c r="R1865" s="14">
        <f>Table1[Total_Sales]+Table1[Shipping_Cost]</f>
        <v>775.16000000000008</v>
      </c>
    </row>
    <row r="1866" spans="1:18" x14ac:dyDescent="0.35">
      <c r="A1866" s="3" t="s">
        <v>3409</v>
      </c>
      <c r="B1866" s="2">
        <v>45955</v>
      </c>
      <c r="C1866" s="1" t="s">
        <v>498</v>
      </c>
      <c r="D1866" s="1" t="s">
        <v>30</v>
      </c>
      <c r="E1866" s="1" t="s">
        <v>76</v>
      </c>
      <c r="F1866" s="1" t="s">
        <v>26</v>
      </c>
      <c r="G1866" s="1" t="s">
        <v>32</v>
      </c>
      <c r="H1866" s="1" t="s">
        <v>82</v>
      </c>
      <c r="I1866" s="1">
        <v>4</v>
      </c>
      <c r="J1866" s="1">
        <v>21.61</v>
      </c>
      <c r="K1866" s="1">
        <v>10</v>
      </c>
      <c r="L1866" s="1">
        <v>77.8</v>
      </c>
      <c r="M1866" s="1">
        <v>9.9600000000000009</v>
      </c>
      <c r="N1866" s="1">
        <v>28.94</v>
      </c>
      <c r="O1866" s="6" t="s">
        <v>56</v>
      </c>
      <c r="P1866" s="8">
        <f>Table1[Quantity]*Table1[Unit_Price]</f>
        <v>86.44</v>
      </c>
      <c r="Q1866" s="1">
        <f>Table1[Profit]/Table1[Total_Sales]</f>
        <v>0.37197943444730081</v>
      </c>
      <c r="R1866" s="14">
        <f>Table1[Total_Sales]+Table1[Shipping_Cost]</f>
        <v>87.759999999999991</v>
      </c>
    </row>
    <row r="1867" spans="1:18" x14ac:dyDescent="0.35">
      <c r="A1867" s="3" t="s">
        <v>3410</v>
      </c>
      <c r="B1867" s="2">
        <v>45955</v>
      </c>
      <c r="C1867" s="1" t="s">
        <v>2648</v>
      </c>
      <c r="D1867" s="1" t="s">
        <v>17</v>
      </c>
      <c r="E1867" s="1" t="s">
        <v>129</v>
      </c>
      <c r="F1867" s="1" t="s">
        <v>19</v>
      </c>
      <c r="G1867" s="1" t="s">
        <v>69</v>
      </c>
      <c r="H1867" s="1" t="s">
        <v>86</v>
      </c>
      <c r="I1867" s="1">
        <v>2</v>
      </c>
      <c r="J1867" s="1">
        <v>82.5</v>
      </c>
      <c r="K1867" s="1">
        <v>15</v>
      </c>
      <c r="L1867" s="1">
        <v>140.25</v>
      </c>
      <c r="M1867" s="1">
        <v>8.65</v>
      </c>
      <c r="N1867" s="1">
        <v>49.1</v>
      </c>
      <c r="O1867" s="6" t="s">
        <v>39</v>
      </c>
      <c r="P1867" s="8">
        <f>Table1[Quantity]*Table1[Unit_Price]</f>
        <v>165</v>
      </c>
      <c r="Q1867" s="1">
        <f>Table1[Profit]/Table1[Total_Sales]</f>
        <v>0.3500891265597148</v>
      </c>
      <c r="R1867" s="14">
        <f>Table1[Total_Sales]+Table1[Shipping_Cost]</f>
        <v>148.9</v>
      </c>
    </row>
    <row r="1868" spans="1:18" x14ac:dyDescent="0.35">
      <c r="A1868" s="3" t="s">
        <v>3411</v>
      </c>
      <c r="B1868" s="2">
        <v>45956</v>
      </c>
      <c r="C1868" s="1" t="s">
        <v>3412</v>
      </c>
      <c r="D1868" s="1" t="s">
        <v>30</v>
      </c>
      <c r="E1868" s="1" t="s">
        <v>129</v>
      </c>
      <c r="F1868" s="1" t="s">
        <v>19</v>
      </c>
      <c r="G1868" s="1" t="s">
        <v>69</v>
      </c>
      <c r="H1868" s="1" t="s">
        <v>196</v>
      </c>
      <c r="I1868" s="1">
        <v>10</v>
      </c>
      <c r="J1868" s="1">
        <v>11.46</v>
      </c>
      <c r="K1868" s="1">
        <v>0</v>
      </c>
      <c r="L1868" s="1">
        <v>114.6</v>
      </c>
      <c r="M1868" s="1">
        <v>13.72</v>
      </c>
      <c r="N1868" s="1">
        <v>43.58</v>
      </c>
      <c r="O1868" s="6" t="s">
        <v>39</v>
      </c>
      <c r="P1868" s="8">
        <f>Table1[Quantity]*Table1[Unit_Price]</f>
        <v>114.60000000000001</v>
      </c>
      <c r="Q1868" s="1">
        <f>Table1[Profit]/Table1[Total_Sales]</f>
        <v>0.38027923211169284</v>
      </c>
      <c r="R1868" s="14">
        <f>Table1[Total_Sales]+Table1[Shipping_Cost]</f>
        <v>128.32</v>
      </c>
    </row>
    <row r="1869" spans="1:18" x14ac:dyDescent="0.35">
      <c r="A1869" s="3" t="s">
        <v>3413</v>
      </c>
      <c r="B1869" s="2">
        <v>45956</v>
      </c>
      <c r="C1869" s="1" t="s">
        <v>3414</v>
      </c>
      <c r="D1869" s="1" t="s">
        <v>17</v>
      </c>
      <c r="E1869" s="1" t="s">
        <v>31</v>
      </c>
      <c r="F1869" s="1" t="s">
        <v>19</v>
      </c>
      <c r="G1869" s="1" t="s">
        <v>69</v>
      </c>
      <c r="H1869" s="1" t="s">
        <v>86</v>
      </c>
      <c r="I1869" s="1">
        <v>7</v>
      </c>
      <c r="J1869" s="1">
        <v>147.88</v>
      </c>
      <c r="K1869" s="1">
        <v>5</v>
      </c>
      <c r="L1869" s="1">
        <v>983.4</v>
      </c>
      <c r="M1869" s="1">
        <v>18.010000000000002</v>
      </c>
      <c r="N1869" s="1">
        <v>447.81</v>
      </c>
      <c r="O1869" s="6" t="s">
        <v>39</v>
      </c>
      <c r="P1869" s="8">
        <f>Table1[Quantity]*Table1[Unit_Price]</f>
        <v>1035.1599999999999</v>
      </c>
      <c r="Q1869" s="1">
        <f>Table1[Profit]/Table1[Total_Sales]</f>
        <v>0.45536912751677855</v>
      </c>
      <c r="R1869" s="14">
        <f>Table1[Total_Sales]+Table1[Shipping_Cost]</f>
        <v>1001.41</v>
      </c>
    </row>
    <row r="1870" spans="1:18" x14ac:dyDescent="0.35">
      <c r="A1870" s="3" t="s">
        <v>3415</v>
      </c>
      <c r="B1870" s="2">
        <v>45957</v>
      </c>
      <c r="C1870" s="1" t="s">
        <v>1928</v>
      </c>
      <c r="D1870" s="1" t="s">
        <v>30</v>
      </c>
      <c r="E1870" s="1" t="s">
        <v>148</v>
      </c>
      <c r="F1870" s="1" t="s">
        <v>60</v>
      </c>
      <c r="G1870" s="1" t="s">
        <v>20</v>
      </c>
      <c r="H1870" s="1" t="s">
        <v>21</v>
      </c>
      <c r="I1870" s="1">
        <v>1</v>
      </c>
      <c r="J1870" s="1">
        <v>249.9</v>
      </c>
      <c r="K1870" s="1">
        <v>10</v>
      </c>
      <c r="L1870" s="1">
        <v>224.91</v>
      </c>
      <c r="M1870" s="1">
        <v>10.6</v>
      </c>
      <c r="N1870" s="1">
        <v>76.86</v>
      </c>
      <c r="O1870" s="6" t="s">
        <v>39</v>
      </c>
      <c r="P1870" s="8">
        <f>Table1[Quantity]*Table1[Unit_Price]</f>
        <v>249.9</v>
      </c>
      <c r="Q1870" s="1">
        <f>Table1[Profit]/Table1[Total_Sales]</f>
        <v>0.34173669467787116</v>
      </c>
      <c r="R1870" s="14">
        <f>Table1[Total_Sales]+Table1[Shipping_Cost]</f>
        <v>235.51</v>
      </c>
    </row>
    <row r="1871" spans="1:18" x14ac:dyDescent="0.35">
      <c r="A1871" s="3" t="s">
        <v>3416</v>
      </c>
      <c r="B1871" s="2">
        <v>45957</v>
      </c>
      <c r="C1871" s="1" t="s">
        <v>1339</v>
      </c>
      <c r="D1871" s="1" t="s">
        <v>30</v>
      </c>
      <c r="E1871" s="1" t="s">
        <v>248</v>
      </c>
      <c r="F1871" s="1" t="s">
        <v>26</v>
      </c>
      <c r="G1871" s="1" t="s">
        <v>20</v>
      </c>
      <c r="H1871" s="1" t="s">
        <v>21</v>
      </c>
      <c r="I1871" s="1">
        <v>8</v>
      </c>
      <c r="J1871" s="1">
        <v>47.09</v>
      </c>
      <c r="K1871" s="1">
        <v>10</v>
      </c>
      <c r="L1871" s="1">
        <v>339.05</v>
      </c>
      <c r="M1871" s="1">
        <v>20.61</v>
      </c>
      <c r="N1871" s="1">
        <v>111.24</v>
      </c>
      <c r="O1871" s="6" t="s">
        <v>56</v>
      </c>
      <c r="P1871" s="8">
        <f>Table1[Quantity]*Table1[Unit_Price]</f>
        <v>376.72</v>
      </c>
      <c r="Q1871" s="1">
        <f>Table1[Profit]/Table1[Total_Sales]</f>
        <v>0.3280932015926854</v>
      </c>
      <c r="R1871" s="14">
        <f>Table1[Total_Sales]+Table1[Shipping_Cost]</f>
        <v>359.66</v>
      </c>
    </row>
    <row r="1872" spans="1:18" x14ac:dyDescent="0.35">
      <c r="A1872" s="3" t="s">
        <v>3417</v>
      </c>
      <c r="B1872" s="2">
        <v>45958</v>
      </c>
      <c r="C1872" s="1" t="s">
        <v>3418</v>
      </c>
      <c r="D1872" s="1" t="s">
        <v>17</v>
      </c>
      <c r="E1872" s="1" t="s">
        <v>166</v>
      </c>
      <c r="F1872" s="1" t="s">
        <v>60</v>
      </c>
      <c r="G1872" s="1" t="s">
        <v>32</v>
      </c>
      <c r="H1872" s="1" t="s">
        <v>50</v>
      </c>
      <c r="I1872" s="1">
        <v>3</v>
      </c>
      <c r="J1872" s="1">
        <v>14.48</v>
      </c>
      <c r="K1872" s="1">
        <v>20</v>
      </c>
      <c r="L1872" s="1">
        <v>34.75</v>
      </c>
      <c r="M1872" s="1">
        <v>15.11</v>
      </c>
      <c r="N1872" s="1">
        <v>0.09</v>
      </c>
      <c r="O1872" s="6" t="s">
        <v>34</v>
      </c>
      <c r="P1872" s="8">
        <f>Table1[Quantity]*Table1[Unit_Price]</f>
        <v>43.44</v>
      </c>
      <c r="Q1872" s="1">
        <f>Table1[Profit]/Table1[Total_Sales]</f>
        <v>2.5899280575539568E-3</v>
      </c>
      <c r="R1872" s="14">
        <f>Table1[Total_Sales]+Table1[Shipping_Cost]</f>
        <v>49.86</v>
      </c>
    </row>
    <row r="1873" spans="1:18" x14ac:dyDescent="0.35">
      <c r="A1873" s="3" t="s">
        <v>3419</v>
      </c>
      <c r="B1873" s="2">
        <v>45958</v>
      </c>
      <c r="C1873" s="1" t="s">
        <v>3420</v>
      </c>
      <c r="D1873" s="1" t="s">
        <v>30</v>
      </c>
      <c r="E1873" s="1" t="s">
        <v>59</v>
      </c>
      <c r="F1873" s="1" t="s">
        <v>60</v>
      </c>
      <c r="G1873" s="1" t="s">
        <v>42</v>
      </c>
      <c r="H1873" s="1" t="s">
        <v>234</v>
      </c>
      <c r="I1873" s="1">
        <v>5</v>
      </c>
      <c r="J1873" s="1">
        <v>44.91</v>
      </c>
      <c r="K1873" s="1">
        <v>20</v>
      </c>
      <c r="L1873" s="1">
        <v>179.64</v>
      </c>
      <c r="M1873" s="1">
        <v>11.97</v>
      </c>
      <c r="N1873" s="1">
        <v>32.94</v>
      </c>
      <c r="O1873" s="6" t="s">
        <v>39</v>
      </c>
      <c r="P1873" s="8">
        <f>Table1[Quantity]*Table1[Unit_Price]</f>
        <v>224.54999999999998</v>
      </c>
      <c r="Q1873" s="1">
        <f>Table1[Profit]/Table1[Total_Sales]</f>
        <v>0.18336673346693386</v>
      </c>
      <c r="R1873" s="14">
        <f>Table1[Total_Sales]+Table1[Shipping_Cost]</f>
        <v>191.60999999999999</v>
      </c>
    </row>
    <row r="1874" spans="1:18" x14ac:dyDescent="0.35">
      <c r="A1874" s="3" t="s">
        <v>3421</v>
      </c>
      <c r="B1874" s="2">
        <v>45958</v>
      </c>
      <c r="C1874" s="1" t="s">
        <v>209</v>
      </c>
      <c r="D1874" s="1" t="s">
        <v>30</v>
      </c>
      <c r="E1874" s="1" t="s">
        <v>138</v>
      </c>
      <c r="F1874" s="1" t="s">
        <v>54</v>
      </c>
      <c r="G1874" s="1" t="s">
        <v>32</v>
      </c>
      <c r="H1874" s="1" t="s">
        <v>101</v>
      </c>
      <c r="I1874" s="1">
        <v>3</v>
      </c>
      <c r="J1874" s="1">
        <v>17.760000000000002</v>
      </c>
      <c r="K1874" s="1">
        <v>15</v>
      </c>
      <c r="L1874" s="1">
        <v>45.29</v>
      </c>
      <c r="M1874" s="1">
        <v>15.75</v>
      </c>
      <c r="N1874" s="1">
        <v>5.56</v>
      </c>
      <c r="O1874" s="6" t="s">
        <v>22</v>
      </c>
      <c r="P1874" s="8">
        <f>Table1[Quantity]*Table1[Unit_Price]</f>
        <v>53.28</v>
      </c>
      <c r="Q1874" s="1">
        <f>Table1[Profit]/Table1[Total_Sales]</f>
        <v>0.1227644071538971</v>
      </c>
      <c r="R1874" s="14">
        <f>Table1[Total_Sales]+Table1[Shipping_Cost]</f>
        <v>61.04</v>
      </c>
    </row>
    <row r="1875" spans="1:18" x14ac:dyDescent="0.35">
      <c r="A1875" s="3" t="s">
        <v>3422</v>
      </c>
      <c r="B1875" s="2">
        <v>45959</v>
      </c>
      <c r="C1875" s="1" t="s">
        <v>3027</v>
      </c>
      <c r="D1875" s="1" t="s">
        <v>30</v>
      </c>
      <c r="E1875" s="1" t="s">
        <v>169</v>
      </c>
      <c r="F1875" s="1" t="s">
        <v>68</v>
      </c>
      <c r="G1875" s="1" t="s">
        <v>69</v>
      </c>
      <c r="H1875" s="1" t="s">
        <v>163</v>
      </c>
      <c r="I1875" s="1">
        <v>1</v>
      </c>
      <c r="J1875" s="1">
        <v>40.549999999999997</v>
      </c>
      <c r="K1875" s="1">
        <v>15</v>
      </c>
      <c r="L1875" s="1">
        <v>34.47</v>
      </c>
      <c r="M1875" s="1">
        <v>11.54</v>
      </c>
      <c r="N1875" s="1">
        <v>2.66</v>
      </c>
      <c r="O1875" s="6" t="s">
        <v>39</v>
      </c>
      <c r="P1875" s="8">
        <f>Table1[Quantity]*Table1[Unit_Price]</f>
        <v>40.549999999999997</v>
      </c>
      <c r="Q1875" s="1">
        <f>Table1[Profit]/Table1[Total_Sales]</f>
        <v>7.7168552364374823E-2</v>
      </c>
      <c r="R1875" s="14">
        <f>Table1[Total_Sales]+Table1[Shipping_Cost]</f>
        <v>46.01</v>
      </c>
    </row>
    <row r="1876" spans="1:18" x14ac:dyDescent="0.35">
      <c r="A1876" s="3" t="s">
        <v>3423</v>
      </c>
      <c r="B1876" s="2">
        <v>45960</v>
      </c>
      <c r="C1876" s="1" t="s">
        <v>3424</v>
      </c>
      <c r="D1876" s="1" t="s">
        <v>49</v>
      </c>
      <c r="E1876" s="1" t="s">
        <v>248</v>
      </c>
      <c r="F1876" s="1" t="s">
        <v>26</v>
      </c>
      <c r="G1876" s="1" t="s">
        <v>42</v>
      </c>
      <c r="H1876" s="1" t="s">
        <v>93</v>
      </c>
      <c r="I1876" s="1">
        <v>3</v>
      </c>
      <c r="J1876" s="1">
        <v>414.09</v>
      </c>
      <c r="K1876" s="1">
        <v>10</v>
      </c>
      <c r="L1876" s="1">
        <v>1118.04</v>
      </c>
      <c r="M1876" s="1">
        <v>13.11</v>
      </c>
      <c r="N1876" s="1">
        <v>359.57</v>
      </c>
      <c r="O1876" s="6" t="s">
        <v>39</v>
      </c>
      <c r="P1876" s="8">
        <f>Table1[Quantity]*Table1[Unit_Price]</f>
        <v>1242.27</v>
      </c>
      <c r="Q1876" s="1">
        <f>Table1[Profit]/Table1[Total_Sales]</f>
        <v>0.32160745590497658</v>
      </c>
      <c r="R1876" s="14">
        <f>Table1[Total_Sales]+Table1[Shipping_Cost]</f>
        <v>1131.1499999999999</v>
      </c>
    </row>
    <row r="1877" spans="1:18" x14ac:dyDescent="0.35">
      <c r="A1877" s="3" t="s">
        <v>3425</v>
      </c>
      <c r="B1877" s="2">
        <v>45960</v>
      </c>
      <c r="C1877" s="1" t="s">
        <v>3426</v>
      </c>
      <c r="D1877" s="1" t="s">
        <v>30</v>
      </c>
      <c r="E1877" s="1" t="s">
        <v>25</v>
      </c>
      <c r="F1877" s="1" t="s">
        <v>26</v>
      </c>
      <c r="G1877" s="1" t="s">
        <v>69</v>
      </c>
      <c r="H1877" s="1" t="s">
        <v>79</v>
      </c>
      <c r="I1877" s="1">
        <v>4</v>
      </c>
      <c r="J1877" s="1">
        <v>90.28</v>
      </c>
      <c r="K1877" s="1">
        <v>15</v>
      </c>
      <c r="L1877" s="1">
        <v>306.95</v>
      </c>
      <c r="M1877" s="1">
        <v>11.43</v>
      </c>
      <c r="N1877" s="1">
        <v>114.96</v>
      </c>
      <c r="O1877" s="6" t="s">
        <v>34</v>
      </c>
      <c r="P1877" s="8">
        <f>Table1[Quantity]*Table1[Unit_Price]</f>
        <v>361.12</v>
      </c>
      <c r="Q1877" s="1">
        <f>Table1[Profit]/Table1[Total_Sales]</f>
        <v>0.37452353803551064</v>
      </c>
      <c r="R1877" s="14">
        <f>Table1[Total_Sales]+Table1[Shipping_Cost]</f>
        <v>318.38</v>
      </c>
    </row>
    <row r="1878" spans="1:18" x14ac:dyDescent="0.35">
      <c r="A1878" s="3" t="s">
        <v>3427</v>
      </c>
      <c r="B1878" s="2">
        <v>45961</v>
      </c>
      <c r="C1878" s="1" t="s">
        <v>3428</v>
      </c>
      <c r="D1878" s="1" t="s">
        <v>49</v>
      </c>
      <c r="E1878" s="1" t="s">
        <v>37</v>
      </c>
      <c r="F1878" s="1" t="s">
        <v>26</v>
      </c>
      <c r="G1878" s="1" t="s">
        <v>20</v>
      </c>
      <c r="H1878" s="1" t="s">
        <v>21</v>
      </c>
      <c r="I1878" s="1">
        <v>2</v>
      </c>
      <c r="J1878" s="1">
        <v>217.52</v>
      </c>
      <c r="K1878" s="1">
        <v>10</v>
      </c>
      <c r="L1878" s="1">
        <v>391.54</v>
      </c>
      <c r="M1878" s="1">
        <v>8.5</v>
      </c>
      <c r="N1878" s="1">
        <v>143.77000000000001</v>
      </c>
      <c r="O1878" s="6" t="s">
        <v>56</v>
      </c>
      <c r="P1878" s="8">
        <f>Table1[Quantity]*Table1[Unit_Price]</f>
        <v>435.04</v>
      </c>
      <c r="Q1878" s="1">
        <f>Table1[Profit]/Table1[Total_Sales]</f>
        <v>0.36719109158706648</v>
      </c>
      <c r="R1878" s="14">
        <f>Table1[Total_Sales]+Table1[Shipping_Cost]</f>
        <v>400.04</v>
      </c>
    </row>
    <row r="1879" spans="1:18" x14ac:dyDescent="0.35">
      <c r="A1879" s="3" t="s">
        <v>3429</v>
      </c>
      <c r="B1879" s="2">
        <v>45961</v>
      </c>
      <c r="C1879" s="1" t="s">
        <v>183</v>
      </c>
      <c r="D1879" s="1" t="s">
        <v>30</v>
      </c>
      <c r="E1879" s="1" t="s">
        <v>18</v>
      </c>
      <c r="F1879" s="1" t="s">
        <v>19</v>
      </c>
      <c r="G1879" s="1" t="s">
        <v>69</v>
      </c>
      <c r="H1879" s="1" t="s">
        <v>305</v>
      </c>
      <c r="I1879" s="1">
        <v>4</v>
      </c>
      <c r="J1879" s="1">
        <v>70.89</v>
      </c>
      <c r="K1879" s="1">
        <v>0</v>
      </c>
      <c r="L1879" s="1">
        <v>283.56</v>
      </c>
      <c r="M1879" s="1">
        <v>8.25</v>
      </c>
      <c r="N1879" s="1">
        <v>133.53</v>
      </c>
      <c r="O1879" s="6" t="s">
        <v>22</v>
      </c>
      <c r="P1879" s="8">
        <f>Table1[Quantity]*Table1[Unit_Price]</f>
        <v>283.56</v>
      </c>
      <c r="Q1879" s="1">
        <f>Table1[Profit]/Table1[Total_Sales]</f>
        <v>0.47090562843842571</v>
      </c>
      <c r="R1879" s="14">
        <f>Table1[Total_Sales]+Table1[Shipping_Cost]</f>
        <v>291.81</v>
      </c>
    </row>
    <row r="1880" spans="1:18" x14ac:dyDescent="0.35">
      <c r="A1880" s="3" t="s">
        <v>3430</v>
      </c>
      <c r="B1880" s="2">
        <v>45962</v>
      </c>
      <c r="C1880" s="1" t="s">
        <v>1768</v>
      </c>
      <c r="D1880" s="1" t="s">
        <v>49</v>
      </c>
      <c r="E1880" s="1" t="s">
        <v>67</v>
      </c>
      <c r="F1880" s="1" t="s">
        <v>68</v>
      </c>
      <c r="G1880" s="1" t="s">
        <v>42</v>
      </c>
      <c r="H1880" s="1" t="s">
        <v>294</v>
      </c>
      <c r="I1880" s="1">
        <v>2</v>
      </c>
      <c r="J1880" s="1">
        <v>178.05</v>
      </c>
      <c r="K1880" s="1">
        <v>0</v>
      </c>
      <c r="L1880" s="1">
        <v>356.1</v>
      </c>
      <c r="M1880" s="1">
        <v>11.65</v>
      </c>
      <c r="N1880" s="1">
        <v>130.79</v>
      </c>
      <c r="O1880" s="6" t="s">
        <v>39</v>
      </c>
      <c r="P1880" s="8">
        <f>Table1[Quantity]*Table1[Unit_Price]</f>
        <v>356.1</v>
      </c>
      <c r="Q1880" s="1">
        <f>Table1[Profit]/Table1[Total_Sales]</f>
        <v>0.36728447065431052</v>
      </c>
      <c r="R1880" s="14">
        <f>Table1[Total_Sales]+Table1[Shipping_Cost]</f>
        <v>367.75</v>
      </c>
    </row>
    <row r="1881" spans="1:18" x14ac:dyDescent="0.35">
      <c r="A1881" s="3" t="s">
        <v>3431</v>
      </c>
      <c r="B1881" s="2">
        <v>45962</v>
      </c>
      <c r="C1881" s="1" t="s">
        <v>3432</v>
      </c>
      <c r="D1881" s="1" t="s">
        <v>49</v>
      </c>
      <c r="E1881" s="1" t="s">
        <v>76</v>
      </c>
      <c r="F1881" s="1" t="s">
        <v>26</v>
      </c>
      <c r="G1881" s="1" t="s">
        <v>42</v>
      </c>
      <c r="H1881" s="1" t="s">
        <v>43</v>
      </c>
      <c r="I1881" s="1">
        <v>10</v>
      </c>
      <c r="J1881" s="1">
        <v>320.82</v>
      </c>
      <c r="K1881" s="1">
        <v>20</v>
      </c>
      <c r="L1881" s="1">
        <v>2566.56</v>
      </c>
      <c r="M1881" s="1">
        <v>27</v>
      </c>
      <c r="N1881" s="1">
        <v>614.64</v>
      </c>
      <c r="O1881" s="6" t="s">
        <v>56</v>
      </c>
      <c r="P1881" s="8">
        <f>Table1[Quantity]*Table1[Unit_Price]</f>
        <v>3208.2</v>
      </c>
      <c r="Q1881" s="1">
        <f>Table1[Profit]/Table1[Total_Sales]</f>
        <v>0.23948008228913409</v>
      </c>
      <c r="R1881" s="14">
        <f>Table1[Total_Sales]+Table1[Shipping_Cost]</f>
        <v>2593.56</v>
      </c>
    </row>
    <row r="1882" spans="1:18" x14ac:dyDescent="0.35">
      <c r="A1882" s="3" t="s">
        <v>3433</v>
      </c>
      <c r="B1882" s="2">
        <v>45962</v>
      </c>
      <c r="C1882" s="1" t="s">
        <v>3434</v>
      </c>
      <c r="D1882" s="1" t="s">
        <v>30</v>
      </c>
      <c r="E1882" s="1" t="s">
        <v>121</v>
      </c>
      <c r="F1882" s="1" t="s">
        <v>68</v>
      </c>
      <c r="G1882" s="1" t="s">
        <v>69</v>
      </c>
      <c r="H1882" s="1" t="s">
        <v>79</v>
      </c>
      <c r="I1882" s="1">
        <v>6</v>
      </c>
      <c r="J1882" s="1">
        <v>92.98</v>
      </c>
      <c r="K1882" s="1">
        <v>0</v>
      </c>
      <c r="L1882" s="1">
        <v>557.88</v>
      </c>
      <c r="M1882" s="1">
        <v>18.670000000000002</v>
      </c>
      <c r="N1882" s="1">
        <v>260.27</v>
      </c>
      <c r="O1882" s="6" t="s">
        <v>39</v>
      </c>
      <c r="P1882" s="8">
        <f>Table1[Quantity]*Table1[Unit_Price]</f>
        <v>557.88</v>
      </c>
      <c r="Q1882" s="1">
        <f>Table1[Profit]/Table1[Total_Sales]</f>
        <v>0.46653402165340213</v>
      </c>
      <c r="R1882" s="14">
        <f>Table1[Total_Sales]+Table1[Shipping_Cost]</f>
        <v>576.54999999999995</v>
      </c>
    </row>
    <row r="1883" spans="1:18" x14ac:dyDescent="0.35">
      <c r="A1883" s="3" t="s">
        <v>3435</v>
      </c>
      <c r="B1883" s="2">
        <v>45963</v>
      </c>
      <c r="C1883" s="1" t="s">
        <v>3005</v>
      </c>
      <c r="D1883" s="1" t="s">
        <v>17</v>
      </c>
      <c r="E1883" s="1" t="s">
        <v>31</v>
      </c>
      <c r="F1883" s="1" t="s">
        <v>19</v>
      </c>
      <c r="G1883" s="1" t="s">
        <v>20</v>
      </c>
      <c r="H1883" s="1" t="s">
        <v>170</v>
      </c>
      <c r="I1883" s="1">
        <v>2</v>
      </c>
      <c r="J1883" s="1">
        <v>61.98</v>
      </c>
      <c r="K1883" s="1">
        <v>15</v>
      </c>
      <c r="L1883" s="1">
        <v>105.37</v>
      </c>
      <c r="M1883" s="1">
        <v>7.76</v>
      </c>
      <c r="N1883" s="1">
        <v>29.43</v>
      </c>
      <c r="O1883" s="6" t="s">
        <v>56</v>
      </c>
      <c r="P1883" s="8">
        <f>Table1[Quantity]*Table1[Unit_Price]</f>
        <v>123.96</v>
      </c>
      <c r="Q1883" s="1">
        <f>Table1[Profit]/Table1[Total_Sales]</f>
        <v>0.27930150896839706</v>
      </c>
      <c r="R1883" s="14">
        <f>Table1[Total_Sales]+Table1[Shipping_Cost]</f>
        <v>113.13000000000001</v>
      </c>
    </row>
    <row r="1884" spans="1:18" x14ac:dyDescent="0.35">
      <c r="A1884" s="3" t="s">
        <v>3436</v>
      </c>
      <c r="B1884" s="2">
        <v>45963</v>
      </c>
      <c r="C1884" s="1" t="s">
        <v>3437</v>
      </c>
      <c r="D1884" s="1" t="s">
        <v>30</v>
      </c>
      <c r="E1884" s="1" t="s">
        <v>31</v>
      </c>
      <c r="F1884" s="1" t="s">
        <v>19</v>
      </c>
      <c r="G1884" s="1" t="s">
        <v>32</v>
      </c>
      <c r="H1884" s="1" t="s">
        <v>50</v>
      </c>
      <c r="I1884" s="1">
        <v>2</v>
      </c>
      <c r="J1884" s="1">
        <v>24.23</v>
      </c>
      <c r="K1884" s="1">
        <v>0</v>
      </c>
      <c r="L1884" s="1">
        <v>48.46</v>
      </c>
      <c r="M1884" s="1">
        <v>7.91</v>
      </c>
      <c r="N1884" s="1">
        <v>18.739999999999998</v>
      </c>
      <c r="O1884" s="6" t="s">
        <v>22</v>
      </c>
      <c r="P1884" s="8">
        <f>Table1[Quantity]*Table1[Unit_Price]</f>
        <v>48.46</v>
      </c>
      <c r="Q1884" s="1">
        <f>Table1[Profit]/Table1[Total_Sales]</f>
        <v>0.38671068922822943</v>
      </c>
      <c r="R1884" s="14">
        <f>Table1[Total_Sales]+Table1[Shipping_Cost]</f>
        <v>56.370000000000005</v>
      </c>
    </row>
    <row r="1885" spans="1:18" x14ac:dyDescent="0.35">
      <c r="A1885" s="3" t="s">
        <v>3438</v>
      </c>
      <c r="B1885" s="2">
        <v>45964</v>
      </c>
      <c r="C1885" s="1" t="s">
        <v>3439</v>
      </c>
      <c r="D1885" s="1" t="s">
        <v>17</v>
      </c>
      <c r="E1885" s="1" t="s">
        <v>25</v>
      </c>
      <c r="F1885" s="1" t="s">
        <v>26</v>
      </c>
      <c r="G1885" s="1" t="s">
        <v>20</v>
      </c>
      <c r="H1885" s="1" t="s">
        <v>21</v>
      </c>
      <c r="I1885" s="1">
        <v>5</v>
      </c>
      <c r="J1885" s="1">
        <v>248.6</v>
      </c>
      <c r="K1885" s="1">
        <v>25</v>
      </c>
      <c r="L1885" s="1">
        <v>932.25</v>
      </c>
      <c r="M1885" s="1">
        <v>17.13</v>
      </c>
      <c r="N1885" s="1">
        <v>231.47</v>
      </c>
      <c r="O1885" s="6" t="s">
        <v>56</v>
      </c>
      <c r="P1885" s="8">
        <f>Table1[Quantity]*Table1[Unit_Price]</f>
        <v>1243</v>
      </c>
      <c r="Q1885" s="1">
        <f>Table1[Profit]/Table1[Total_Sales]</f>
        <v>0.24829176722982033</v>
      </c>
      <c r="R1885" s="14">
        <f>Table1[Total_Sales]+Table1[Shipping_Cost]</f>
        <v>949.38</v>
      </c>
    </row>
    <row r="1886" spans="1:18" x14ac:dyDescent="0.35">
      <c r="A1886" s="3" t="s">
        <v>3440</v>
      </c>
      <c r="B1886" s="2">
        <v>45964</v>
      </c>
      <c r="C1886" s="1" t="s">
        <v>3441</v>
      </c>
      <c r="D1886" s="1" t="s">
        <v>30</v>
      </c>
      <c r="E1886" s="1" t="s">
        <v>25</v>
      </c>
      <c r="F1886" s="1" t="s">
        <v>26</v>
      </c>
      <c r="G1886" s="1" t="s">
        <v>42</v>
      </c>
      <c r="H1886" s="1" t="s">
        <v>89</v>
      </c>
      <c r="I1886" s="1">
        <v>2</v>
      </c>
      <c r="J1886" s="1">
        <v>297.83999999999997</v>
      </c>
      <c r="K1886" s="1">
        <v>15</v>
      </c>
      <c r="L1886" s="1">
        <v>506.33</v>
      </c>
      <c r="M1886" s="1">
        <v>8.5500000000000007</v>
      </c>
      <c r="N1886" s="1">
        <v>140.37</v>
      </c>
      <c r="O1886" s="6" t="s">
        <v>56</v>
      </c>
      <c r="P1886" s="8">
        <f>Table1[Quantity]*Table1[Unit_Price]</f>
        <v>595.67999999999995</v>
      </c>
      <c r="Q1886" s="1">
        <f>Table1[Profit]/Table1[Total_Sales]</f>
        <v>0.27723026484703656</v>
      </c>
      <c r="R1886" s="14">
        <f>Table1[Total_Sales]+Table1[Shipping_Cost]</f>
        <v>514.88</v>
      </c>
    </row>
    <row r="1887" spans="1:18" x14ac:dyDescent="0.35">
      <c r="A1887" s="3" t="s">
        <v>3442</v>
      </c>
      <c r="B1887" s="2">
        <v>45964</v>
      </c>
      <c r="C1887" s="1" t="s">
        <v>3443</v>
      </c>
      <c r="D1887" s="1" t="s">
        <v>49</v>
      </c>
      <c r="E1887" s="1" t="s">
        <v>248</v>
      </c>
      <c r="F1887" s="1" t="s">
        <v>26</v>
      </c>
      <c r="G1887" s="1" t="s">
        <v>20</v>
      </c>
      <c r="H1887" s="1" t="s">
        <v>122</v>
      </c>
      <c r="I1887" s="1">
        <v>6</v>
      </c>
      <c r="J1887" s="1">
        <v>110.54</v>
      </c>
      <c r="K1887" s="1">
        <v>10</v>
      </c>
      <c r="L1887" s="1">
        <v>596.91999999999996</v>
      </c>
      <c r="M1887" s="1">
        <v>21.12</v>
      </c>
      <c r="N1887" s="1">
        <v>211.02</v>
      </c>
      <c r="O1887" s="6" t="s">
        <v>39</v>
      </c>
      <c r="P1887" s="8">
        <f>Table1[Quantity]*Table1[Unit_Price]</f>
        <v>663.24</v>
      </c>
      <c r="Q1887" s="1">
        <f>Table1[Profit]/Table1[Total_Sales]</f>
        <v>0.35351470883870539</v>
      </c>
      <c r="R1887" s="14">
        <f>Table1[Total_Sales]+Table1[Shipping_Cost]</f>
        <v>618.04</v>
      </c>
    </row>
    <row r="1888" spans="1:18" x14ac:dyDescent="0.35">
      <c r="A1888" s="3" t="s">
        <v>3444</v>
      </c>
      <c r="B1888" s="2">
        <v>45965</v>
      </c>
      <c r="C1888" s="1" t="s">
        <v>3445</v>
      </c>
      <c r="D1888" s="1" t="s">
        <v>30</v>
      </c>
      <c r="E1888" s="1" t="s">
        <v>37</v>
      </c>
      <c r="F1888" s="1" t="s">
        <v>26</v>
      </c>
      <c r="G1888" s="1" t="s">
        <v>20</v>
      </c>
      <c r="H1888" s="1" t="s">
        <v>175</v>
      </c>
      <c r="I1888" s="1">
        <v>1</v>
      </c>
      <c r="J1888" s="1">
        <v>48.57</v>
      </c>
      <c r="K1888" s="1">
        <v>15</v>
      </c>
      <c r="L1888" s="1">
        <v>41.28</v>
      </c>
      <c r="M1888" s="1">
        <v>8.92</v>
      </c>
      <c r="N1888" s="1">
        <v>5.65</v>
      </c>
      <c r="O1888" s="6" t="s">
        <v>39</v>
      </c>
      <c r="P1888" s="8">
        <f>Table1[Quantity]*Table1[Unit_Price]</f>
        <v>48.57</v>
      </c>
      <c r="Q1888" s="1">
        <f>Table1[Profit]/Table1[Total_Sales]</f>
        <v>0.13687015503875968</v>
      </c>
      <c r="R1888" s="14">
        <f>Table1[Total_Sales]+Table1[Shipping_Cost]</f>
        <v>50.2</v>
      </c>
    </row>
    <row r="1889" spans="1:18" x14ac:dyDescent="0.35">
      <c r="A1889" s="3" t="s">
        <v>3446</v>
      </c>
      <c r="B1889" s="2">
        <v>45966</v>
      </c>
      <c r="C1889" s="1" t="s">
        <v>764</v>
      </c>
      <c r="D1889" s="1" t="s">
        <v>49</v>
      </c>
      <c r="E1889" s="1" t="s">
        <v>92</v>
      </c>
      <c r="F1889" s="1" t="s">
        <v>60</v>
      </c>
      <c r="G1889" s="1" t="s">
        <v>32</v>
      </c>
      <c r="H1889" s="1" t="s">
        <v>149</v>
      </c>
      <c r="I1889" s="1">
        <v>7</v>
      </c>
      <c r="J1889" s="1">
        <v>12.96</v>
      </c>
      <c r="K1889" s="1">
        <v>0</v>
      </c>
      <c r="L1889" s="1">
        <v>90.72</v>
      </c>
      <c r="M1889" s="1">
        <v>22.05</v>
      </c>
      <c r="N1889" s="1">
        <v>27.85</v>
      </c>
      <c r="O1889" s="6" t="s">
        <v>39</v>
      </c>
      <c r="P1889" s="8">
        <f>Table1[Quantity]*Table1[Unit_Price]</f>
        <v>90.72</v>
      </c>
      <c r="Q1889" s="1">
        <f>Table1[Profit]/Table1[Total_Sales]</f>
        <v>0.30698853615520283</v>
      </c>
      <c r="R1889" s="14">
        <f>Table1[Total_Sales]+Table1[Shipping_Cost]</f>
        <v>112.77</v>
      </c>
    </row>
    <row r="1890" spans="1:18" x14ac:dyDescent="0.35">
      <c r="A1890" s="3" t="s">
        <v>3447</v>
      </c>
      <c r="B1890" s="2">
        <v>45967</v>
      </c>
      <c r="C1890" s="1" t="s">
        <v>1348</v>
      </c>
      <c r="D1890" s="1" t="s">
        <v>17</v>
      </c>
      <c r="E1890" s="1" t="s">
        <v>129</v>
      </c>
      <c r="F1890" s="1" t="s">
        <v>19</v>
      </c>
      <c r="G1890" s="1" t="s">
        <v>42</v>
      </c>
      <c r="H1890" s="1" t="s">
        <v>234</v>
      </c>
      <c r="I1890" s="1">
        <v>1</v>
      </c>
      <c r="J1890" s="1">
        <v>79.069999999999993</v>
      </c>
      <c r="K1890" s="1">
        <v>0</v>
      </c>
      <c r="L1890" s="1">
        <v>79.069999999999993</v>
      </c>
      <c r="M1890" s="1">
        <v>7.11</v>
      </c>
      <c r="N1890" s="1">
        <v>24.52</v>
      </c>
      <c r="O1890" s="6" t="s">
        <v>34</v>
      </c>
      <c r="P1890" s="8">
        <f>Table1[Quantity]*Table1[Unit_Price]</f>
        <v>79.069999999999993</v>
      </c>
      <c r="Q1890" s="1">
        <f>Table1[Profit]/Table1[Total_Sales]</f>
        <v>0.31010497027949918</v>
      </c>
      <c r="R1890" s="14">
        <f>Table1[Total_Sales]+Table1[Shipping_Cost]</f>
        <v>86.179999999999993</v>
      </c>
    </row>
    <row r="1891" spans="1:18" x14ac:dyDescent="0.35">
      <c r="A1891" s="3" t="s">
        <v>3448</v>
      </c>
      <c r="B1891" s="2">
        <v>45967</v>
      </c>
      <c r="C1891" s="1" t="s">
        <v>3449</v>
      </c>
      <c r="D1891" s="1" t="s">
        <v>30</v>
      </c>
      <c r="E1891" s="1" t="s">
        <v>138</v>
      </c>
      <c r="F1891" s="1" t="s">
        <v>54</v>
      </c>
      <c r="G1891" s="1" t="s">
        <v>20</v>
      </c>
      <c r="H1891" s="1" t="s">
        <v>38</v>
      </c>
      <c r="I1891" s="1">
        <v>2</v>
      </c>
      <c r="J1891" s="1">
        <v>41.12</v>
      </c>
      <c r="K1891" s="1">
        <v>0</v>
      </c>
      <c r="L1891" s="1">
        <v>82.24</v>
      </c>
      <c r="M1891" s="1">
        <v>15.15</v>
      </c>
      <c r="N1891" s="1">
        <v>21.86</v>
      </c>
      <c r="O1891" s="6" t="s">
        <v>34</v>
      </c>
      <c r="P1891" s="8">
        <f>Table1[Quantity]*Table1[Unit_Price]</f>
        <v>82.24</v>
      </c>
      <c r="Q1891" s="1">
        <f>Table1[Profit]/Table1[Total_Sales]</f>
        <v>0.26580739299610895</v>
      </c>
      <c r="R1891" s="14">
        <f>Table1[Total_Sales]+Table1[Shipping_Cost]</f>
        <v>97.39</v>
      </c>
    </row>
    <row r="1892" spans="1:18" x14ac:dyDescent="0.35">
      <c r="A1892" s="3" t="s">
        <v>3450</v>
      </c>
      <c r="B1892" s="2">
        <v>45967</v>
      </c>
      <c r="C1892" s="1" t="s">
        <v>3451</v>
      </c>
      <c r="D1892" s="1" t="s">
        <v>17</v>
      </c>
      <c r="E1892" s="1" t="s">
        <v>31</v>
      </c>
      <c r="F1892" s="1" t="s">
        <v>19</v>
      </c>
      <c r="G1892" s="1" t="s">
        <v>32</v>
      </c>
      <c r="H1892" s="1" t="s">
        <v>110</v>
      </c>
      <c r="I1892" s="1">
        <v>1</v>
      </c>
      <c r="J1892" s="1">
        <v>7.84</v>
      </c>
      <c r="K1892" s="1">
        <v>15</v>
      </c>
      <c r="L1892" s="1">
        <v>6.66</v>
      </c>
      <c r="M1892" s="1">
        <v>6.96</v>
      </c>
      <c r="N1892" s="1">
        <v>-3.83</v>
      </c>
      <c r="O1892" s="6" t="s">
        <v>34</v>
      </c>
      <c r="P1892" s="8">
        <f>Table1[Quantity]*Table1[Unit_Price]</f>
        <v>7.84</v>
      </c>
      <c r="Q1892" s="1">
        <f>Table1[Profit]/Table1[Total_Sales]</f>
        <v>-0.57507507507507505</v>
      </c>
      <c r="R1892" s="14">
        <f>Table1[Total_Sales]+Table1[Shipping_Cost]</f>
        <v>13.620000000000001</v>
      </c>
    </row>
    <row r="1893" spans="1:18" x14ac:dyDescent="0.35">
      <c r="A1893" s="3" t="s">
        <v>3452</v>
      </c>
      <c r="B1893" s="2">
        <v>45968</v>
      </c>
      <c r="C1893" s="1" t="s">
        <v>3453</v>
      </c>
      <c r="D1893" s="1" t="s">
        <v>49</v>
      </c>
      <c r="E1893" s="1" t="s">
        <v>59</v>
      </c>
      <c r="F1893" s="1" t="s">
        <v>60</v>
      </c>
      <c r="G1893" s="1" t="s">
        <v>42</v>
      </c>
      <c r="H1893" s="1" t="s">
        <v>64</v>
      </c>
      <c r="I1893" s="1">
        <v>4</v>
      </c>
      <c r="J1893" s="1">
        <v>102.08</v>
      </c>
      <c r="K1893" s="1">
        <v>0</v>
      </c>
      <c r="L1893" s="1">
        <v>408.32</v>
      </c>
      <c r="M1893" s="1">
        <v>18.68</v>
      </c>
      <c r="N1893" s="1">
        <v>144.65</v>
      </c>
      <c r="O1893" s="6" t="s">
        <v>34</v>
      </c>
      <c r="P1893" s="8">
        <f>Table1[Quantity]*Table1[Unit_Price]</f>
        <v>408.32</v>
      </c>
      <c r="Q1893" s="1">
        <f>Table1[Profit]/Table1[Total_Sales]</f>
        <v>0.35425646551724138</v>
      </c>
      <c r="R1893" s="14">
        <f>Table1[Total_Sales]+Table1[Shipping_Cost]</f>
        <v>427</v>
      </c>
    </row>
    <row r="1894" spans="1:18" x14ac:dyDescent="0.35">
      <c r="A1894" s="3" t="s">
        <v>3454</v>
      </c>
      <c r="B1894" s="2">
        <v>45969</v>
      </c>
      <c r="C1894" s="1" t="s">
        <v>3455</v>
      </c>
      <c r="D1894" s="1" t="s">
        <v>49</v>
      </c>
      <c r="E1894" s="1" t="s">
        <v>59</v>
      </c>
      <c r="F1894" s="1" t="s">
        <v>60</v>
      </c>
      <c r="G1894" s="1" t="s">
        <v>42</v>
      </c>
      <c r="H1894" s="1" t="s">
        <v>93</v>
      </c>
      <c r="I1894" s="1">
        <v>1</v>
      </c>
      <c r="J1894" s="1">
        <v>165.86</v>
      </c>
      <c r="K1894" s="1">
        <v>5</v>
      </c>
      <c r="L1894" s="1">
        <v>157.57</v>
      </c>
      <c r="M1894" s="1">
        <v>10.45</v>
      </c>
      <c r="N1894" s="1">
        <v>47.6</v>
      </c>
      <c r="O1894" s="6" t="s">
        <v>39</v>
      </c>
      <c r="P1894" s="8">
        <f>Table1[Quantity]*Table1[Unit_Price]</f>
        <v>165.86</v>
      </c>
      <c r="Q1894" s="1">
        <f>Table1[Profit]/Table1[Total_Sales]</f>
        <v>0.30208796090626389</v>
      </c>
      <c r="R1894" s="14">
        <f>Table1[Total_Sales]+Table1[Shipping_Cost]</f>
        <v>168.01999999999998</v>
      </c>
    </row>
    <row r="1895" spans="1:18" x14ac:dyDescent="0.35">
      <c r="A1895" s="3" t="s">
        <v>3456</v>
      </c>
      <c r="B1895" s="2">
        <v>45969</v>
      </c>
      <c r="C1895" s="1" t="s">
        <v>3242</v>
      </c>
      <c r="D1895" s="1" t="s">
        <v>30</v>
      </c>
      <c r="E1895" s="1" t="s">
        <v>166</v>
      </c>
      <c r="F1895" s="1" t="s">
        <v>60</v>
      </c>
      <c r="G1895" s="1" t="s">
        <v>69</v>
      </c>
      <c r="H1895" s="1" t="s">
        <v>86</v>
      </c>
      <c r="I1895" s="1">
        <v>6</v>
      </c>
      <c r="J1895" s="1">
        <v>129.18</v>
      </c>
      <c r="K1895" s="1">
        <v>0</v>
      </c>
      <c r="L1895" s="1">
        <v>775.08</v>
      </c>
      <c r="M1895" s="1">
        <v>12.89</v>
      </c>
      <c r="N1895" s="1">
        <v>374.65</v>
      </c>
      <c r="O1895" s="6" t="s">
        <v>34</v>
      </c>
      <c r="P1895" s="8">
        <f>Table1[Quantity]*Table1[Unit_Price]</f>
        <v>775.08</v>
      </c>
      <c r="Q1895" s="1">
        <f>Table1[Profit]/Table1[Total_Sales]</f>
        <v>0.4833694586365278</v>
      </c>
      <c r="R1895" s="14">
        <f>Table1[Total_Sales]+Table1[Shipping_Cost]</f>
        <v>787.97</v>
      </c>
    </row>
    <row r="1896" spans="1:18" x14ac:dyDescent="0.35">
      <c r="A1896" s="3" t="s">
        <v>3457</v>
      </c>
      <c r="B1896" s="2">
        <v>45969</v>
      </c>
      <c r="C1896" s="1" t="s">
        <v>3458</v>
      </c>
      <c r="D1896" s="1" t="s">
        <v>30</v>
      </c>
      <c r="E1896" s="1" t="s">
        <v>248</v>
      </c>
      <c r="F1896" s="1" t="s">
        <v>26</v>
      </c>
      <c r="G1896" s="1" t="s">
        <v>42</v>
      </c>
      <c r="H1896" s="1" t="s">
        <v>234</v>
      </c>
      <c r="I1896" s="1">
        <v>5</v>
      </c>
      <c r="J1896" s="1">
        <v>72.91</v>
      </c>
      <c r="K1896" s="1">
        <v>5</v>
      </c>
      <c r="L1896" s="1">
        <v>346.32</v>
      </c>
      <c r="M1896" s="1">
        <v>18.059999999999999</v>
      </c>
      <c r="N1896" s="1">
        <v>109.53</v>
      </c>
      <c r="O1896" s="6" t="s">
        <v>34</v>
      </c>
      <c r="P1896" s="8">
        <f>Table1[Quantity]*Table1[Unit_Price]</f>
        <v>364.54999999999995</v>
      </c>
      <c r="Q1896" s="1">
        <f>Table1[Profit]/Table1[Total_Sales]</f>
        <v>0.31626819126819128</v>
      </c>
      <c r="R1896" s="14">
        <f>Table1[Total_Sales]+Table1[Shipping_Cost]</f>
        <v>364.38</v>
      </c>
    </row>
    <row r="1897" spans="1:18" x14ac:dyDescent="0.35">
      <c r="A1897" s="3" t="s">
        <v>3459</v>
      </c>
      <c r="B1897" s="2">
        <v>45969</v>
      </c>
      <c r="C1897" s="1" t="s">
        <v>2354</v>
      </c>
      <c r="D1897" s="1" t="s">
        <v>30</v>
      </c>
      <c r="E1897" s="1" t="s">
        <v>63</v>
      </c>
      <c r="F1897" s="1" t="s">
        <v>54</v>
      </c>
      <c r="G1897" s="1" t="s">
        <v>69</v>
      </c>
      <c r="H1897" s="1" t="s">
        <v>163</v>
      </c>
      <c r="I1897" s="1">
        <v>3</v>
      </c>
      <c r="J1897" s="1">
        <v>53.65</v>
      </c>
      <c r="K1897" s="1">
        <v>5</v>
      </c>
      <c r="L1897" s="1">
        <v>152.9</v>
      </c>
      <c r="M1897" s="1">
        <v>13.46</v>
      </c>
      <c r="N1897" s="1">
        <v>58.97</v>
      </c>
      <c r="O1897" s="6" t="s">
        <v>34</v>
      </c>
      <c r="P1897" s="8">
        <f>Table1[Quantity]*Table1[Unit_Price]</f>
        <v>160.94999999999999</v>
      </c>
      <c r="Q1897" s="1">
        <f>Table1[Profit]/Table1[Total_Sales]</f>
        <v>0.38567691301504248</v>
      </c>
      <c r="R1897" s="14">
        <f>Table1[Total_Sales]+Table1[Shipping_Cost]</f>
        <v>166.36</v>
      </c>
    </row>
    <row r="1898" spans="1:18" x14ac:dyDescent="0.35">
      <c r="A1898" s="3" t="s">
        <v>3460</v>
      </c>
      <c r="B1898" s="2">
        <v>45969</v>
      </c>
      <c r="C1898" s="1" t="s">
        <v>3461</v>
      </c>
      <c r="D1898" s="1" t="s">
        <v>49</v>
      </c>
      <c r="E1898" s="1" t="s">
        <v>76</v>
      </c>
      <c r="F1898" s="1" t="s">
        <v>26</v>
      </c>
      <c r="G1898" s="1" t="s">
        <v>42</v>
      </c>
      <c r="H1898" s="1" t="s">
        <v>294</v>
      </c>
      <c r="I1898" s="1">
        <v>1</v>
      </c>
      <c r="J1898" s="1">
        <v>272.64</v>
      </c>
      <c r="K1898" s="1">
        <v>10</v>
      </c>
      <c r="L1898" s="1">
        <v>245.38</v>
      </c>
      <c r="M1898" s="1">
        <v>9.1199999999999992</v>
      </c>
      <c r="N1898" s="1">
        <v>72.680000000000007</v>
      </c>
      <c r="O1898" s="6" t="s">
        <v>34</v>
      </c>
      <c r="P1898" s="8">
        <f>Table1[Quantity]*Table1[Unit_Price]</f>
        <v>272.64</v>
      </c>
      <c r="Q1898" s="1">
        <f>Table1[Profit]/Table1[Total_Sales]</f>
        <v>0.2961936588148994</v>
      </c>
      <c r="R1898" s="14">
        <f>Table1[Total_Sales]+Table1[Shipping_Cost]</f>
        <v>254.5</v>
      </c>
    </row>
    <row r="1899" spans="1:18" x14ac:dyDescent="0.35">
      <c r="A1899" s="3" t="s">
        <v>3462</v>
      </c>
      <c r="B1899" s="2">
        <v>45970</v>
      </c>
      <c r="C1899" s="1" t="s">
        <v>1855</v>
      </c>
      <c r="D1899" s="1" t="s">
        <v>17</v>
      </c>
      <c r="E1899" s="1" t="s">
        <v>59</v>
      </c>
      <c r="F1899" s="1" t="s">
        <v>60</v>
      </c>
      <c r="G1899" s="1" t="s">
        <v>20</v>
      </c>
      <c r="H1899" s="1" t="s">
        <v>21</v>
      </c>
      <c r="I1899" s="1">
        <v>2</v>
      </c>
      <c r="J1899" s="1">
        <v>166.68</v>
      </c>
      <c r="K1899" s="1">
        <v>15</v>
      </c>
      <c r="L1899" s="1">
        <v>283.36</v>
      </c>
      <c r="M1899" s="1">
        <v>11.52</v>
      </c>
      <c r="N1899" s="1">
        <v>88.49</v>
      </c>
      <c r="O1899" s="6" t="s">
        <v>39</v>
      </c>
      <c r="P1899" s="8">
        <f>Table1[Quantity]*Table1[Unit_Price]</f>
        <v>333.36</v>
      </c>
      <c r="Q1899" s="1">
        <f>Table1[Profit]/Table1[Total_Sales]</f>
        <v>0.31228825522303783</v>
      </c>
      <c r="R1899" s="14">
        <f>Table1[Total_Sales]+Table1[Shipping_Cost]</f>
        <v>294.88</v>
      </c>
    </row>
    <row r="1900" spans="1:18" x14ac:dyDescent="0.35">
      <c r="A1900" s="3" t="s">
        <v>3463</v>
      </c>
      <c r="B1900" s="2">
        <v>45970</v>
      </c>
      <c r="C1900" s="1" t="s">
        <v>1098</v>
      </c>
      <c r="D1900" s="1" t="s">
        <v>17</v>
      </c>
      <c r="E1900" s="1" t="s">
        <v>76</v>
      </c>
      <c r="F1900" s="1" t="s">
        <v>26</v>
      </c>
      <c r="G1900" s="1" t="s">
        <v>42</v>
      </c>
      <c r="H1900" s="1" t="s">
        <v>43</v>
      </c>
      <c r="I1900" s="1">
        <v>3</v>
      </c>
      <c r="J1900" s="1">
        <v>263.77</v>
      </c>
      <c r="K1900" s="1">
        <v>5</v>
      </c>
      <c r="L1900" s="1">
        <v>751.74</v>
      </c>
      <c r="M1900" s="1">
        <v>8.65</v>
      </c>
      <c r="N1900" s="1">
        <v>268.3</v>
      </c>
      <c r="O1900" s="6" t="s">
        <v>56</v>
      </c>
      <c r="P1900" s="8">
        <f>Table1[Quantity]*Table1[Unit_Price]</f>
        <v>791.31</v>
      </c>
      <c r="Q1900" s="1">
        <f>Table1[Profit]/Table1[Total_Sales]</f>
        <v>0.35690531300715672</v>
      </c>
      <c r="R1900" s="14">
        <f>Table1[Total_Sales]+Table1[Shipping_Cost]</f>
        <v>760.39</v>
      </c>
    </row>
    <row r="1901" spans="1:18" x14ac:dyDescent="0.35">
      <c r="A1901" s="3" t="s">
        <v>3464</v>
      </c>
      <c r="B1901" s="2">
        <v>45971</v>
      </c>
      <c r="C1901" s="1" t="s">
        <v>956</v>
      </c>
      <c r="D1901" s="1" t="s">
        <v>30</v>
      </c>
      <c r="E1901" s="1" t="s">
        <v>135</v>
      </c>
      <c r="F1901" s="1" t="s">
        <v>26</v>
      </c>
      <c r="G1901" s="1" t="s">
        <v>42</v>
      </c>
      <c r="H1901" s="1" t="s">
        <v>118</v>
      </c>
      <c r="I1901" s="1">
        <v>4</v>
      </c>
      <c r="J1901" s="1">
        <v>78.41</v>
      </c>
      <c r="K1901" s="1">
        <v>0</v>
      </c>
      <c r="L1901" s="1">
        <v>313.64</v>
      </c>
      <c r="M1901" s="1">
        <v>10.24</v>
      </c>
      <c r="N1901" s="1">
        <v>115.22</v>
      </c>
      <c r="O1901" s="6" t="s">
        <v>34</v>
      </c>
      <c r="P1901" s="8">
        <f>Table1[Quantity]*Table1[Unit_Price]</f>
        <v>313.64</v>
      </c>
      <c r="Q1901" s="1">
        <f>Table1[Profit]/Table1[Total_Sales]</f>
        <v>0.3673638566509374</v>
      </c>
      <c r="R1901" s="14">
        <f>Table1[Total_Sales]+Table1[Shipping_Cost]</f>
        <v>323.88</v>
      </c>
    </row>
    <row r="1902" spans="1:18" x14ac:dyDescent="0.35">
      <c r="A1902" s="3" t="s">
        <v>3465</v>
      </c>
      <c r="B1902" s="2">
        <v>45972</v>
      </c>
      <c r="C1902" s="1" t="s">
        <v>3466</v>
      </c>
      <c r="D1902" s="1" t="s">
        <v>30</v>
      </c>
      <c r="E1902" s="1" t="s">
        <v>67</v>
      </c>
      <c r="F1902" s="1" t="s">
        <v>68</v>
      </c>
      <c r="G1902" s="1" t="s">
        <v>32</v>
      </c>
      <c r="H1902" s="1" t="s">
        <v>348</v>
      </c>
      <c r="I1902" s="1">
        <v>5</v>
      </c>
      <c r="J1902" s="1">
        <v>6.76</v>
      </c>
      <c r="K1902" s="1">
        <v>15</v>
      </c>
      <c r="L1902" s="1">
        <v>28.73</v>
      </c>
      <c r="M1902" s="1">
        <v>18</v>
      </c>
      <c r="N1902" s="1">
        <v>-4.4800000000000004</v>
      </c>
      <c r="O1902" s="6" t="s">
        <v>34</v>
      </c>
      <c r="P1902" s="8">
        <f>Table1[Quantity]*Table1[Unit_Price]</f>
        <v>33.799999999999997</v>
      </c>
      <c r="Q1902" s="1">
        <f>Table1[Profit]/Table1[Total_Sales]</f>
        <v>-0.1559345631743822</v>
      </c>
      <c r="R1902" s="14">
        <f>Table1[Total_Sales]+Table1[Shipping_Cost]</f>
        <v>46.730000000000004</v>
      </c>
    </row>
    <row r="1903" spans="1:18" x14ac:dyDescent="0.35">
      <c r="A1903" s="3" t="s">
        <v>3467</v>
      </c>
      <c r="B1903" s="2">
        <v>45972</v>
      </c>
      <c r="C1903" s="1" t="s">
        <v>3468</v>
      </c>
      <c r="D1903" s="1" t="s">
        <v>30</v>
      </c>
      <c r="E1903" s="1" t="s">
        <v>31</v>
      </c>
      <c r="F1903" s="1" t="s">
        <v>19</v>
      </c>
      <c r="G1903" s="1" t="s">
        <v>32</v>
      </c>
      <c r="H1903" s="1" t="s">
        <v>73</v>
      </c>
      <c r="I1903" s="1">
        <v>2</v>
      </c>
      <c r="J1903" s="1">
        <v>7.54</v>
      </c>
      <c r="K1903" s="1">
        <v>0</v>
      </c>
      <c r="L1903" s="1">
        <v>15.08</v>
      </c>
      <c r="M1903" s="1">
        <v>6.17</v>
      </c>
      <c r="N1903" s="1">
        <v>2.12</v>
      </c>
      <c r="O1903" s="6" t="s">
        <v>34</v>
      </c>
      <c r="P1903" s="8">
        <f>Table1[Quantity]*Table1[Unit_Price]</f>
        <v>15.08</v>
      </c>
      <c r="Q1903" s="1">
        <f>Table1[Profit]/Table1[Total_Sales]</f>
        <v>0.14058355437665784</v>
      </c>
      <c r="R1903" s="14">
        <f>Table1[Total_Sales]+Table1[Shipping_Cost]</f>
        <v>21.25</v>
      </c>
    </row>
    <row r="1904" spans="1:18" x14ac:dyDescent="0.35">
      <c r="A1904" s="3" t="s">
        <v>3469</v>
      </c>
      <c r="B1904" s="2">
        <v>45973</v>
      </c>
      <c r="C1904" s="1" t="s">
        <v>2501</v>
      </c>
      <c r="D1904" s="1" t="s">
        <v>30</v>
      </c>
      <c r="E1904" s="1" t="s">
        <v>166</v>
      </c>
      <c r="F1904" s="1" t="s">
        <v>60</v>
      </c>
      <c r="G1904" s="1" t="s">
        <v>32</v>
      </c>
      <c r="H1904" s="1" t="s">
        <v>82</v>
      </c>
      <c r="I1904" s="1">
        <v>4</v>
      </c>
      <c r="J1904" s="1">
        <v>21.32</v>
      </c>
      <c r="K1904" s="1">
        <v>20</v>
      </c>
      <c r="L1904" s="1">
        <v>68.22</v>
      </c>
      <c r="M1904" s="1">
        <v>14.03</v>
      </c>
      <c r="N1904" s="1">
        <v>15.81</v>
      </c>
      <c r="O1904" s="6" t="s">
        <v>39</v>
      </c>
      <c r="P1904" s="8">
        <f>Table1[Quantity]*Table1[Unit_Price]</f>
        <v>85.28</v>
      </c>
      <c r="Q1904" s="1">
        <f>Table1[Profit]/Table1[Total_Sales]</f>
        <v>0.23175021987686897</v>
      </c>
      <c r="R1904" s="14">
        <f>Table1[Total_Sales]+Table1[Shipping_Cost]</f>
        <v>82.25</v>
      </c>
    </row>
    <row r="1905" spans="1:18" x14ac:dyDescent="0.35">
      <c r="A1905" s="3" t="s">
        <v>3470</v>
      </c>
      <c r="B1905" s="2">
        <v>45974</v>
      </c>
      <c r="C1905" s="1" t="s">
        <v>2580</v>
      </c>
      <c r="D1905" s="1" t="s">
        <v>49</v>
      </c>
      <c r="E1905" s="1" t="s">
        <v>18</v>
      </c>
      <c r="F1905" s="1" t="s">
        <v>19</v>
      </c>
      <c r="G1905" s="1" t="s">
        <v>32</v>
      </c>
      <c r="H1905" s="1" t="s">
        <v>82</v>
      </c>
      <c r="I1905" s="1">
        <v>4</v>
      </c>
      <c r="J1905" s="1">
        <v>13.79</v>
      </c>
      <c r="K1905" s="1">
        <v>0</v>
      </c>
      <c r="L1905" s="1">
        <v>55.16</v>
      </c>
      <c r="M1905" s="1">
        <v>14.12</v>
      </c>
      <c r="N1905" s="1">
        <v>16.22</v>
      </c>
      <c r="O1905" s="6" t="s">
        <v>39</v>
      </c>
      <c r="P1905" s="8">
        <f>Table1[Quantity]*Table1[Unit_Price]</f>
        <v>55.16</v>
      </c>
      <c r="Q1905" s="1">
        <f>Table1[Profit]/Table1[Total_Sales]</f>
        <v>0.29405366207396666</v>
      </c>
      <c r="R1905" s="14">
        <f>Table1[Total_Sales]+Table1[Shipping_Cost]</f>
        <v>69.28</v>
      </c>
    </row>
    <row r="1906" spans="1:18" x14ac:dyDescent="0.35">
      <c r="A1906" s="3" t="s">
        <v>3471</v>
      </c>
      <c r="B1906" s="2">
        <v>45974</v>
      </c>
      <c r="C1906" s="1" t="s">
        <v>2015</v>
      </c>
      <c r="D1906" s="1" t="s">
        <v>17</v>
      </c>
      <c r="E1906" s="1" t="s">
        <v>129</v>
      </c>
      <c r="F1906" s="1" t="s">
        <v>19</v>
      </c>
      <c r="G1906" s="1" t="s">
        <v>32</v>
      </c>
      <c r="H1906" s="1" t="s">
        <v>33</v>
      </c>
      <c r="I1906" s="1">
        <v>2</v>
      </c>
      <c r="J1906" s="1">
        <v>14.04</v>
      </c>
      <c r="K1906" s="1">
        <v>15</v>
      </c>
      <c r="L1906" s="1">
        <v>23.87</v>
      </c>
      <c r="M1906" s="1">
        <v>7.52</v>
      </c>
      <c r="N1906" s="1">
        <v>3.71</v>
      </c>
      <c r="O1906" s="6" t="s">
        <v>22</v>
      </c>
      <c r="P1906" s="8">
        <f>Table1[Quantity]*Table1[Unit_Price]</f>
        <v>28.08</v>
      </c>
      <c r="Q1906" s="1">
        <f>Table1[Profit]/Table1[Total_Sales]</f>
        <v>0.15542521994134897</v>
      </c>
      <c r="R1906" s="14">
        <f>Table1[Total_Sales]+Table1[Shipping_Cost]</f>
        <v>31.39</v>
      </c>
    </row>
    <row r="1907" spans="1:18" x14ac:dyDescent="0.35">
      <c r="A1907" s="3" t="s">
        <v>3472</v>
      </c>
      <c r="B1907" s="2">
        <v>45975</v>
      </c>
      <c r="C1907" s="1" t="s">
        <v>3473</v>
      </c>
      <c r="D1907" s="1" t="s">
        <v>17</v>
      </c>
      <c r="E1907" s="1" t="s">
        <v>25</v>
      </c>
      <c r="F1907" s="1" t="s">
        <v>26</v>
      </c>
      <c r="G1907" s="1" t="s">
        <v>32</v>
      </c>
      <c r="H1907" s="1" t="s">
        <v>110</v>
      </c>
      <c r="I1907" s="1">
        <v>1</v>
      </c>
      <c r="J1907" s="1">
        <v>13.54</v>
      </c>
      <c r="K1907" s="1">
        <v>5</v>
      </c>
      <c r="L1907" s="1">
        <v>12.86</v>
      </c>
      <c r="M1907" s="1">
        <v>8.16</v>
      </c>
      <c r="N1907" s="1">
        <v>-1.39</v>
      </c>
      <c r="O1907" s="6" t="s">
        <v>34</v>
      </c>
      <c r="P1907" s="8">
        <f>Table1[Quantity]*Table1[Unit_Price]</f>
        <v>13.54</v>
      </c>
      <c r="Q1907" s="1">
        <f>Table1[Profit]/Table1[Total_Sales]</f>
        <v>-0.10808709175738725</v>
      </c>
      <c r="R1907" s="14">
        <f>Table1[Total_Sales]+Table1[Shipping_Cost]</f>
        <v>21.02</v>
      </c>
    </row>
    <row r="1908" spans="1:18" x14ac:dyDescent="0.35">
      <c r="A1908" s="3" t="s">
        <v>3474</v>
      </c>
      <c r="B1908" s="2">
        <v>45976</v>
      </c>
      <c r="C1908" s="1" t="s">
        <v>1818</v>
      </c>
      <c r="D1908" s="1" t="s">
        <v>17</v>
      </c>
      <c r="E1908" s="1" t="s">
        <v>129</v>
      </c>
      <c r="F1908" s="1" t="s">
        <v>19</v>
      </c>
      <c r="G1908" s="1" t="s">
        <v>20</v>
      </c>
      <c r="H1908" s="1" t="s">
        <v>106</v>
      </c>
      <c r="I1908" s="1">
        <v>3</v>
      </c>
      <c r="J1908" s="1">
        <v>73.819999999999993</v>
      </c>
      <c r="K1908" s="1">
        <v>5</v>
      </c>
      <c r="L1908" s="1">
        <v>210.39</v>
      </c>
      <c r="M1908" s="1">
        <v>11.99</v>
      </c>
      <c r="N1908" s="1">
        <v>76.599999999999994</v>
      </c>
      <c r="O1908" s="6" t="s">
        <v>22</v>
      </c>
      <c r="P1908" s="8">
        <f>Table1[Quantity]*Table1[Unit_Price]</f>
        <v>221.45999999999998</v>
      </c>
      <c r="Q1908" s="1">
        <f>Table1[Profit]/Table1[Total_Sales]</f>
        <v>0.36408574552022432</v>
      </c>
      <c r="R1908" s="14">
        <f>Table1[Total_Sales]+Table1[Shipping_Cost]</f>
        <v>222.38</v>
      </c>
    </row>
    <row r="1909" spans="1:18" x14ac:dyDescent="0.35">
      <c r="A1909" s="3" t="s">
        <v>3475</v>
      </c>
      <c r="B1909" s="2">
        <v>45978</v>
      </c>
      <c r="C1909" s="1" t="s">
        <v>3476</v>
      </c>
      <c r="D1909" s="1" t="s">
        <v>30</v>
      </c>
      <c r="E1909" s="1" t="s">
        <v>248</v>
      </c>
      <c r="F1909" s="1" t="s">
        <v>26</v>
      </c>
      <c r="G1909" s="1" t="s">
        <v>32</v>
      </c>
      <c r="H1909" s="1" t="s">
        <v>348</v>
      </c>
      <c r="I1909" s="1">
        <v>9</v>
      </c>
      <c r="J1909" s="1">
        <v>9.0399999999999991</v>
      </c>
      <c r="K1909" s="1">
        <v>0</v>
      </c>
      <c r="L1909" s="1">
        <v>81.36</v>
      </c>
      <c r="M1909" s="1">
        <v>25.6</v>
      </c>
      <c r="N1909" s="1">
        <v>19.149999999999999</v>
      </c>
      <c r="O1909" s="6" t="s">
        <v>22</v>
      </c>
      <c r="P1909" s="8">
        <f>Table1[Quantity]*Table1[Unit_Price]</f>
        <v>81.359999999999985</v>
      </c>
      <c r="Q1909" s="1">
        <f>Table1[Profit]/Table1[Total_Sales]</f>
        <v>0.23537364798426744</v>
      </c>
      <c r="R1909" s="14">
        <f>Table1[Total_Sales]+Table1[Shipping_Cost]</f>
        <v>106.96000000000001</v>
      </c>
    </row>
    <row r="1910" spans="1:18" x14ac:dyDescent="0.35">
      <c r="A1910" s="3" t="s">
        <v>3477</v>
      </c>
      <c r="B1910" s="2">
        <v>45978</v>
      </c>
      <c r="C1910" s="1" t="s">
        <v>3478</v>
      </c>
      <c r="D1910" s="1" t="s">
        <v>17</v>
      </c>
      <c r="E1910" s="1" t="s">
        <v>31</v>
      </c>
      <c r="F1910" s="1" t="s">
        <v>19</v>
      </c>
      <c r="G1910" s="1" t="s">
        <v>32</v>
      </c>
      <c r="H1910" s="1" t="s">
        <v>115</v>
      </c>
      <c r="I1910" s="1">
        <v>3</v>
      </c>
      <c r="J1910" s="1">
        <v>8</v>
      </c>
      <c r="K1910" s="1">
        <v>5</v>
      </c>
      <c r="L1910" s="1">
        <v>22.8</v>
      </c>
      <c r="M1910" s="1">
        <v>12.01</v>
      </c>
      <c r="N1910" s="1">
        <v>-0.01</v>
      </c>
      <c r="O1910" s="6" t="s">
        <v>39</v>
      </c>
      <c r="P1910" s="8">
        <f>Table1[Quantity]*Table1[Unit_Price]</f>
        <v>24</v>
      </c>
      <c r="Q1910" s="1">
        <f>Table1[Profit]/Table1[Total_Sales]</f>
        <v>-4.3859649122807018E-4</v>
      </c>
      <c r="R1910" s="14">
        <f>Table1[Total_Sales]+Table1[Shipping_Cost]</f>
        <v>34.81</v>
      </c>
    </row>
    <row r="1911" spans="1:18" x14ac:dyDescent="0.35">
      <c r="A1911" s="3" t="s">
        <v>3479</v>
      </c>
      <c r="B1911" s="2">
        <v>45978</v>
      </c>
      <c r="C1911" s="1" t="s">
        <v>3480</v>
      </c>
      <c r="D1911" s="1" t="s">
        <v>17</v>
      </c>
      <c r="E1911" s="1" t="s">
        <v>37</v>
      </c>
      <c r="F1911" s="1" t="s">
        <v>26</v>
      </c>
      <c r="G1911" s="1" t="s">
        <v>20</v>
      </c>
      <c r="H1911" s="1" t="s">
        <v>264</v>
      </c>
      <c r="I1911" s="1">
        <v>7</v>
      </c>
      <c r="J1911" s="1">
        <v>41.83</v>
      </c>
      <c r="K1911" s="1">
        <v>5</v>
      </c>
      <c r="L1911" s="1">
        <v>278.17</v>
      </c>
      <c r="M1911" s="1">
        <v>10.79</v>
      </c>
      <c r="N1911" s="1">
        <v>106.33</v>
      </c>
      <c r="O1911" s="6" t="s">
        <v>39</v>
      </c>
      <c r="P1911" s="8">
        <f>Table1[Quantity]*Table1[Unit_Price]</f>
        <v>292.81</v>
      </c>
      <c r="Q1911" s="1">
        <f>Table1[Profit]/Table1[Total_Sales]</f>
        <v>0.38224826544918572</v>
      </c>
      <c r="R1911" s="14">
        <f>Table1[Total_Sales]+Table1[Shipping_Cost]</f>
        <v>288.96000000000004</v>
      </c>
    </row>
    <row r="1912" spans="1:18" x14ac:dyDescent="0.35">
      <c r="A1912" s="3" t="s">
        <v>3481</v>
      </c>
      <c r="B1912" s="2">
        <v>45978</v>
      </c>
      <c r="C1912" s="1" t="s">
        <v>3482</v>
      </c>
      <c r="D1912" s="1" t="s">
        <v>17</v>
      </c>
      <c r="E1912" s="1" t="s">
        <v>31</v>
      </c>
      <c r="F1912" s="1" t="s">
        <v>19</v>
      </c>
      <c r="G1912" s="1" t="s">
        <v>32</v>
      </c>
      <c r="H1912" s="1" t="s">
        <v>50</v>
      </c>
      <c r="I1912" s="1">
        <v>3</v>
      </c>
      <c r="J1912" s="1">
        <v>17.07</v>
      </c>
      <c r="K1912" s="1">
        <v>30</v>
      </c>
      <c r="L1912" s="1">
        <v>35.85</v>
      </c>
      <c r="M1912" s="1">
        <v>12.2</v>
      </c>
      <c r="N1912" s="1">
        <v>0.61</v>
      </c>
      <c r="O1912" s="6" t="s">
        <v>39</v>
      </c>
      <c r="P1912" s="8">
        <f>Table1[Quantity]*Table1[Unit_Price]</f>
        <v>51.21</v>
      </c>
      <c r="Q1912" s="1">
        <f>Table1[Profit]/Table1[Total_Sales]</f>
        <v>1.7015341701534171E-2</v>
      </c>
      <c r="R1912" s="14">
        <f>Table1[Total_Sales]+Table1[Shipping_Cost]</f>
        <v>48.05</v>
      </c>
    </row>
    <row r="1913" spans="1:18" x14ac:dyDescent="0.35">
      <c r="A1913" s="3" t="s">
        <v>3483</v>
      </c>
      <c r="B1913" s="2">
        <v>45979</v>
      </c>
      <c r="C1913" s="1" t="s">
        <v>3484</v>
      </c>
      <c r="D1913" s="1" t="s">
        <v>30</v>
      </c>
      <c r="E1913" s="1" t="s">
        <v>166</v>
      </c>
      <c r="F1913" s="1" t="s">
        <v>60</v>
      </c>
      <c r="G1913" s="1" t="s">
        <v>20</v>
      </c>
      <c r="H1913" s="1" t="s">
        <v>55</v>
      </c>
      <c r="I1913" s="1">
        <v>9</v>
      </c>
      <c r="J1913" s="1">
        <v>34.21</v>
      </c>
      <c r="K1913" s="1">
        <v>5</v>
      </c>
      <c r="L1913" s="1">
        <v>292.5</v>
      </c>
      <c r="M1913" s="1">
        <v>13.63</v>
      </c>
      <c r="N1913" s="1">
        <v>109.53</v>
      </c>
      <c r="O1913" s="6" t="s">
        <v>34</v>
      </c>
      <c r="P1913" s="8">
        <f>Table1[Quantity]*Table1[Unit_Price]</f>
        <v>307.89</v>
      </c>
      <c r="Q1913" s="1">
        <f>Table1[Profit]/Table1[Total_Sales]</f>
        <v>0.37446153846153846</v>
      </c>
      <c r="R1913" s="14">
        <f>Table1[Total_Sales]+Table1[Shipping_Cost]</f>
        <v>306.13</v>
      </c>
    </row>
    <row r="1914" spans="1:18" x14ac:dyDescent="0.35">
      <c r="A1914" s="3" t="s">
        <v>3485</v>
      </c>
      <c r="B1914" s="2">
        <v>45979</v>
      </c>
      <c r="C1914" s="1" t="s">
        <v>3486</v>
      </c>
      <c r="D1914" s="1" t="s">
        <v>30</v>
      </c>
      <c r="E1914" s="1" t="s">
        <v>148</v>
      </c>
      <c r="F1914" s="1" t="s">
        <v>60</v>
      </c>
      <c r="G1914" s="1" t="s">
        <v>69</v>
      </c>
      <c r="H1914" s="1" t="s">
        <v>139</v>
      </c>
      <c r="I1914" s="1">
        <v>4</v>
      </c>
      <c r="J1914" s="1">
        <v>71.05</v>
      </c>
      <c r="K1914" s="1">
        <v>15</v>
      </c>
      <c r="L1914" s="1">
        <v>241.57</v>
      </c>
      <c r="M1914" s="1">
        <v>11.85</v>
      </c>
      <c r="N1914" s="1">
        <v>87.62</v>
      </c>
      <c r="O1914" s="6" t="s">
        <v>34</v>
      </c>
      <c r="P1914" s="8">
        <f>Table1[Quantity]*Table1[Unit_Price]</f>
        <v>284.2</v>
      </c>
      <c r="Q1914" s="1">
        <f>Table1[Profit]/Table1[Total_Sales]</f>
        <v>0.36271060148197215</v>
      </c>
      <c r="R1914" s="14">
        <f>Table1[Total_Sales]+Table1[Shipping_Cost]</f>
        <v>253.42</v>
      </c>
    </row>
    <row r="1915" spans="1:18" x14ac:dyDescent="0.35">
      <c r="A1915" s="3" t="s">
        <v>3487</v>
      </c>
      <c r="B1915" s="2">
        <v>45979</v>
      </c>
      <c r="C1915" s="1" t="s">
        <v>1356</v>
      </c>
      <c r="D1915" s="1" t="s">
        <v>17</v>
      </c>
      <c r="E1915" s="1" t="s">
        <v>166</v>
      </c>
      <c r="F1915" s="1" t="s">
        <v>60</v>
      </c>
      <c r="G1915" s="1" t="s">
        <v>42</v>
      </c>
      <c r="H1915" s="1" t="s">
        <v>371</v>
      </c>
      <c r="I1915" s="1">
        <v>1</v>
      </c>
      <c r="J1915" s="1">
        <v>198.02</v>
      </c>
      <c r="K1915" s="1">
        <v>10</v>
      </c>
      <c r="L1915" s="1">
        <v>178.22</v>
      </c>
      <c r="M1915" s="1">
        <v>9.93</v>
      </c>
      <c r="N1915" s="1">
        <v>49.48</v>
      </c>
      <c r="O1915" s="6" t="s">
        <v>22</v>
      </c>
      <c r="P1915" s="8">
        <f>Table1[Quantity]*Table1[Unit_Price]</f>
        <v>198.02</v>
      </c>
      <c r="Q1915" s="1">
        <f>Table1[Profit]/Table1[Total_Sales]</f>
        <v>0.27763438446863425</v>
      </c>
      <c r="R1915" s="14">
        <f>Table1[Total_Sales]+Table1[Shipping_Cost]</f>
        <v>188.15</v>
      </c>
    </row>
    <row r="1916" spans="1:18" x14ac:dyDescent="0.35">
      <c r="A1916" s="3" t="s">
        <v>3488</v>
      </c>
      <c r="B1916" s="2">
        <v>45979</v>
      </c>
      <c r="C1916" s="1" t="s">
        <v>1600</v>
      </c>
      <c r="D1916" s="1" t="s">
        <v>17</v>
      </c>
      <c r="E1916" s="1" t="s">
        <v>31</v>
      </c>
      <c r="F1916" s="1" t="s">
        <v>19</v>
      </c>
      <c r="G1916" s="1" t="s">
        <v>42</v>
      </c>
      <c r="H1916" s="1" t="s">
        <v>294</v>
      </c>
      <c r="I1916" s="1">
        <v>2</v>
      </c>
      <c r="J1916" s="1">
        <v>280.54000000000002</v>
      </c>
      <c r="K1916" s="1">
        <v>30</v>
      </c>
      <c r="L1916" s="1">
        <v>392.76</v>
      </c>
      <c r="M1916" s="1">
        <v>6.47</v>
      </c>
      <c r="N1916" s="1">
        <v>49.64</v>
      </c>
      <c r="O1916" s="6" t="s">
        <v>22</v>
      </c>
      <c r="P1916" s="8">
        <f>Table1[Quantity]*Table1[Unit_Price]</f>
        <v>561.08000000000004</v>
      </c>
      <c r="Q1916" s="1">
        <f>Table1[Profit]/Table1[Total_Sales]</f>
        <v>0.12638761584682759</v>
      </c>
      <c r="R1916" s="14">
        <f>Table1[Total_Sales]+Table1[Shipping_Cost]</f>
        <v>399.23</v>
      </c>
    </row>
    <row r="1917" spans="1:18" x14ac:dyDescent="0.35">
      <c r="A1917" s="3" t="s">
        <v>3489</v>
      </c>
      <c r="B1917" s="2">
        <v>45980</v>
      </c>
      <c r="C1917" s="1" t="s">
        <v>3490</v>
      </c>
      <c r="D1917" s="1" t="s">
        <v>30</v>
      </c>
      <c r="E1917" s="1" t="s">
        <v>121</v>
      </c>
      <c r="F1917" s="1" t="s">
        <v>68</v>
      </c>
      <c r="G1917" s="1" t="s">
        <v>69</v>
      </c>
      <c r="H1917" s="1" t="s">
        <v>86</v>
      </c>
      <c r="I1917" s="1">
        <v>3</v>
      </c>
      <c r="J1917" s="1">
        <v>112.34</v>
      </c>
      <c r="K1917" s="1">
        <v>5</v>
      </c>
      <c r="L1917" s="1">
        <v>320.17</v>
      </c>
      <c r="M1917" s="1">
        <v>12.63</v>
      </c>
      <c r="N1917" s="1">
        <v>139.03</v>
      </c>
      <c r="O1917" s="6" t="s">
        <v>34</v>
      </c>
      <c r="P1917" s="8">
        <f>Table1[Quantity]*Table1[Unit_Price]</f>
        <v>337.02</v>
      </c>
      <c r="Q1917" s="1">
        <f>Table1[Profit]/Table1[Total_Sales]</f>
        <v>0.43423806103007773</v>
      </c>
      <c r="R1917" s="14">
        <f>Table1[Total_Sales]+Table1[Shipping_Cost]</f>
        <v>332.8</v>
      </c>
    </row>
    <row r="1918" spans="1:18" x14ac:dyDescent="0.35">
      <c r="A1918" s="3" t="s">
        <v>3491</v>
      </c>
      <c r="B1918" s="2">
        <v>45980</v>
      </c>
      <c r="C1918" s="1" t="s">
        <v>3492</v>
      </c>
      <c r="D1918" s="1" t="s">
        <v>17</v>
      </c>
      <c r="E1918" s="1" t="s">
        <v>166</v>
      </c>
      <c r="F1918" s="1" t="s">
        <v>60</v>
      </c>
      <c r="G1918" s="1" t="s">
        <v>42</v>
      </c>
      <c r="H1918" s="1" t="s">
        <v>371</v>
      </c>
      <c r="I1918" s="1">
        <v>2</v>
      </c>
      <c r="J1918" s="1">
        <v>188.36</v>
      </c>
      <c r="K1918" s="1">
        <v>0</v>
      </c>
      <c r="L1918" s="1">
        <v>376.72</v>
      </c>
      <c r="M1918" s="1">
        <v>13.35</v>
      </c>
      <c r="N1918" s="1">
        <v>137.34</v>
      </c>
      <c r="O1918" s="6" t="s">
        <v>56</v>
      </c>
      <c r="P1918" s="8">
        <f>Table1[Quantity]*Table1[Unit_Price]</f>
        <v>376.72</v>
      </c>
      <c r="Q1918" s="1">
        <f>Table1[Profit]/Table1[Total_Sales]</f>
        <v>0.36456784880016985</v>
      </c>
      <c r="R1918" s="14">
        <f>Table1[Total_Sales]+Table1[Shipping_Cost]</f>
        <v>390.07000000000005</v>
      </c>
    </row>
    <row r="1919" spans="1:18" x14ac:dyDescent="0.35">
      <c r="A1919" s="3" t="s">
        <v>3493</v>
      </c>
      <c r="B1919" s="2">
        <v>45981</v>
      </c>
      <c r="C1919" s="1" t="s">
        <v>1013</v>
      </c>
      <c r="D1919" s="1" t="s">
        <v>49</v>
      </c>
      <c r="E1919" s="1" t="s">
        <v>31</v>
      </c>
      <c r="F1919" s="1" t="s">
        <v>19</v>
      </c>
      <c r="G1919" s="1" t="s">
        <v>20</v>
      </c>
      <c r="H1919" s="1" t="s">
        <v>175</v>
      </c>
      <c r="I1919" s="1">
        <v>2</v>
      </c>
      <c r="J1919" s="1">
        <v>23.95</v>
      </c>
      <c r="K1919" s="1">
        <v>5</v>
      </c>
      <c r="L1919" s="1">
        <v>45.5</v>
      </c>
      <c r="M1919" s="1">
        <v>7.35</v>
      </c>
      <c r="N1919" s="1">
        <v>11.8</v>
      </c>
      <c r="O1919" s="6" t="s">
        <v>34</v>
      </c>
      <c r="P1919" s="8">
        <f>Table1[Quantity]*Table1[Unit_Price]</f>
        <v>47.9</v>
      </c>
      <c r="Q1919" s="1">
        <f>Table1[Profit]/Table1[Total_Sales]</f>
        <v>0.25934065934065936</v>
      </c>
      <c r="R1919" s="14">
        <f>Table1[Total_Sales]+Table1[Shipping_Cost]</f>
        <v>52.85</v>
      </c>
    </row>
    <row r="1920" spans="1:18" x14ac:dyDescent="0.35">
      <c r="A1920" s="3" t="s">
        <v>3494</v>
      </c>
      <c r="B1920" s="2">
        <v>45981</v>
      </c>
      <c r="C1920" s="1" t="s">
        <v>3495</v>
      </c>
      <c r="D1920" s="1" t="s">
        <v>30</v>
      </c>
      <c r="E1920" s="1" t="s">
        <v>109</v>
      </c>
      <c r="F1920" s="1" t="s">
        <v>54</v>
      </c>
      <c r="G1920" s="1" t="s">
        <v>69</v>
      </c>
      <c r="H1920" s="1" t="s">
        <v>70</v>
      </c>
      <c r="I1920" s="1">
        <v>2</v>
      </c>
      <c r="J1920" s="1">
        <v>25.11</v>
      </c>
      <c r="K1920" s="1">
        <v>5</v>
      </c>
      <c r="L1920" s="1">
        <v>47.71</v>
      </c>
      <c r="M1920" s="1">
        <v>12.85</v>
      </c>
      <c r="N1920" s="1">
        <v>9.75</v>
      </c>
      <c r="O1920" s="6" t="s">
        <v>56</v>
      </c>
      <c r="P1920" s="8">
        <f>Table1[Quantity]*Table1[Unit_Price]</f>
        <v>50.22</v>
      </c>
      <c r="Q1920" s="1">
        <f>Table1[Profit]/Table1[Total_Sales]</f>
        <v>0.20435967302452315</v>
      </c>
      <c r="R1920" s="14">
        <f>Table1[Total_Sales]+Table1[Shipping_Cost]</f>
        <v>60.56</v>
      </c>
    </row>
    <row r="1921" spans="1:18" x14ac:dyDescent="0.35">
      <c r="A1921" s="3" t="s">
        <v>3496</v>
      </c>
      <c r="B1921" s="2">
        <v>45981</v>
      </c>
      <c r="C1921" s="1" t="s">
        <v>3497</v>
      </c>
      <c r="D1921" s="1" t="s">
        <v>17</v>
      </c>
      <c r="E1921" s="1" t="s">
        <v>166</v>
      </c>
      <c r="F1921" s="1" t="s">
        <v>60</v>
      </c>
      <c r="G1921" s="1" t="s">
        <v>32</v>
      </c>
      <c r="H1921" s="1" t="s">
        <v>348</v>
      </c>
      <c r="I1921" s="1">
        <v>2</v>
      </c>
      <c r="J1921" s="1">
        <v>7.1</v>
      </c>
      <c r="K1921" s="1">
        <v>10</v>
      </c>
      <c r="L1921" s="1">
        <v>12.78</v>
      </c>
      <c r="M1921" s="1">
        <v>10.79</v>
      </c>
      <c r="N1921" s="1">
        <v>-4.4000000000000004</v>
      </c>
      <c r="O1921" s="6" t="s">
        <v>39</v>
      </c>
      <c r="P1921" s="8">
        <f>Table1[Quantity]*Table1[Unit_Price]</f>
        <v>14.2</v>
      </c>
      <c r="Q1921" s="1">
        <f>Table1[Profit]/Table1[Total_Sales]</f>
        <v>-0.34428794992175277</v>
      </c>
      <c r="R1921" s="14">
        <f>Table1[Total_Sales]+Table1[Shipping_Cost]</f>
        <v>23.57</v>
      </c>
    </row>
    <row r="1922" spans="1:18" x14ac:dyDescent="0.35">
      <c r="A1922" s="3" t="s">
        <v>3498</v>
      </c>
      <c r="B1922" s="2">
        <v>45982</v>
      </c>
      <c r="C1922" s="1" t="s">
        <v>1217</v>
      </c>
      <c r="D1922" s="1" t="s">
        <v>49</v>
      </c>
      <c r="E1922" s="1" t="s">
        <v>121</v>
      </c>
      <c r="F1922" s="1" t="s">
        <v>68</v>
      </c>
      <c r="G1922" s="1" t="s">
        <v>32</v>
      </c>
      <c r="H1922" s="1" t="s">
        <v>82</v>
      </c>
      <c r="I1922" s="1">
        <v>7</v>
      </c>
      <c r="J1922" s="1">
        <v>12.82</v>
      </c>
      <c r="K1922" s="1">
        <v>5</v>
      </c>
      <c r="L1922" s="1">
        <v>85.25</v>
      </c>
      <c r="M1922" s="1">
        <v>25.24</v>
      </c>
      <c r="N1922" s="1">
        <v>19.63</v>
      </c>
      <c r="O1922" s="6" t="s">
        <v>56</v>
      </c>
      <c r="P1922" s="8">
        <f>Table1[Quantity]*Table1[Unit_Price]</f>
        <v>89.740000000000009</v>
      </c>
      <c r="Q1922" s="1">
        <f>Table1[Profit]/Table1[Total_Sales]</f>
        <v>0.23026392961876832</v>
      </c>
      <c r="R1922" s="14">
        <f>Table1[Total_Sales]+Table1[Shipping_Cost]</f>
        <v>110.49</v>
      </c>
    </row>
    <row r="1923" spans="1:18" x14ac:dyDescent="0.35">
      <c r="A1923" s="3" t="s">
        <v>3499</v>
      </c>
      <c r="B1923" s="2">
        <v>45984</v>
      </c>
      <c r="C1923" s="1" t="s">
        <v>1557</v>
      </c>
      <c r="D1923" s="1" t="s">
        <v>30</v>
      </c>
      <c r="E1923" s="1" t="s">
        <v>85</v>
      </c>
      <c r="F1923" s="1" t="s">
        <v>60</v>
      </c>
      <c r="G1923" s="1" t="s">
        <v>32</v>
      </c>
      <c r="H1923" s="1" t="s">
        <v>115</v>
      </c>
      <c r="I1923" s="1">
        <v>1</v>
      </c>
      <c r="J1923" s="1">
        <v>8.8699999999999992</v>
      </c>
      <c r="K1923" s="1">
        <v>5</v>
      </c>
      <c r="L1923" s="1">
        <v>8.43</v>
      </c>
      <c r="M1923" s="1">
        <v>11.23</v>
      </c>
      <c r="N1923" s="1">
        <v>-6.79</v>
      </c>
      <c r="O1923" s="6" t="s">
        <v>34</v>
      </c>
      <c r="P1923" s="8">
        <f>Table1[Quantity]*Table1[Unit_Price]</f>
        <v>8.8699999999999992</v>
      </c>
      <c r="Q1923" s="1">
        <f>Table1[Profit]/Table1[Total_Sales]</f>
        <v>-0.80545670225385535</v>
      </c>
      <c r="R1923" s="14">
        <f>Table1[Total_Sales]+Table1[Shipping_Cost]</f>
        <v>19.66</v>
      </c>
    </row>
    <row r="1924" spans="1:18" x14ac:dyDescent="0.35">
      <c r="A1924" s="3" t="s">
        <v>3500</v>
      </c>
      <c r="B1924" s="2">
        <v>45985</v>
      </c>
      <c r="C1924" s="1" t="s">
        <v>3501</v>
      </c>
      <c r="D1924" s="1" t="s">
        <v>30</v>
      </c>
      <c r="E1924" s="1" t="s">
        <v>25</v>
      </c>
      <c r="F1924" s="1" t="s">
        <v>26</v>
      </c>
      <c r="G1924" s="1" t="s">
        <v>42</v>
      </c>
      <c r="H1924" s="1" t="s">
        <v>64</v>
      </c>
      <c r="I1924" s="1">
        <v>11</v>
      </c>
      <c r="J1924" s="1">
        <v>121</v>
      </c>
      <c r="K1924" s="1">
        <v>10</v>
      </c>
      <c r="L1924" s="1">
        <v>1197.9000000000001</v>
      </c>
      <c r="M1924" s="1">
        <v>25.42</v>
      </c>
      <c r="N1924" s="1">
        <v>373.88</v>
      </c>
      <c r="O1924" s="6" t="s">
        <v>39</v>
      </c>
      <c r="P1924" s="8">
        <f>Table1[Quantity]*Table1[Unit_Price]</f>
        <v>1331</v>
      </c>
      <c r="Q1924" s="1">
        <f>Table1[Profit]/Table1[Total_Sales]</f>
        <v>0.31211286417897988</v>
      </c>
      <c r="R1924" s="14">
        <f>Table1[Total_Sales]+Table1[Shipping_Cost]</f>
        <v>1223.3200000000002</v>
      </c>
    </row>
    <row r="1925" spans="1:18" x14ac:dyDescent="0.35">
      <c r="A1925" s="3" t="s">
        <v>3502</v>
      </c>
      <c r="B1925" s="2">
        <v>45985</v>
      </c>
      <c r="C1925" s="1" t="s">
        <v>3503</v>
      </c>
      <c r="D1925" s="1" t="s">
        <v>17</v>
      </c>
      <c r="E1925" s="1" t="s">
        <v>148</v>
      </c>
      <c r="F1925" s="1" t="s">
        <v>60</v>
      </c>
      <c r="G1925" s="1" t="s">
        <v>42</v>
      </c>
      <c r="H1925" s="1" t="s">
        <v>255</v>
      </c>
      <c r="I1925" s="1">
        <v>1</v>
      </c>
      <c r="J1925" s="1">
        <v>24.61</v>
      </c>
      <c r="K1925" s="1">
        <v>15</v>
      </c>
      <c r="L1925" s="1">
        <v>20.92</v>
      </c>
      <c r="M1925" s="1">
        <v>10.08</v>
      </c>
      <c r="N1925" s="1">
        <v>-3.93</v>
      </c>
      <c r="O1925" s="6" t="s">
        <v>39</v>
      </c>
      <c r="P1925" s="8">
        <f>Table1[Quantity]*Table1[Unit_Price]</f>
        <v>24.61</v>
      </c>
      <c r="Q1925" s="1">
        <f>Table1[Profit]/Table1[Total_Sales]</f>
        <v>-0.1878585086042065</v>
      </c>
      <c r="R1925" s="14">
        <f>Table1[Total_Sales]+Table1[Shipping_Cost]</f>
        <v>31</v>
      </c>
    </row>
    <row r="1926" spans="1:18" x14ac:dyDescent="0.35">
      <c r="A1926" s="3" t="s">
        <v>3504</v>
      </c>
      <c r="B1926" s="2">
        <v>45986</v>
      </c>
      <c r="C1926" s="1" t="s">
        <v>3505</v>
      </c>
      <c r="D1926" s="1" t="s">
        <v>49</v>
      </c>
      <c r="E1926" s="1" t="s">
        <v>92</v>
      </c>
      <c r="F1926" s="1" t="s">
        <v>60</v>
      </c>
      <c r="G1926" s="1" t="s">
        <v>42</v>
      </c>
      <c r="H1926" s="1" t="s">
        <v>371</v>
      </c>
      <c r="I1926" s="1">
        <v>2</v>
      </c>
      <c r="J1926" s="1">
        <v>118.2</v>
      </c>
      <c r="K1926" s="1">
        <v>10</v>
      </c>
      <c r="L1926" s="1">
        <v>212.76</v>
      </c>
      <c r="M1926" s="1">
        <v>10.92</v>
      </c>
      <c r="N1926" s="1">
        <v>60</v>
      </c>
      <c r="O1926" s="6" t="s">
        <v>34</v>
      </c>
      <c r="P1926" s="8">
        <f>Table1[Quantity]*Table1[Unit_Price]</f>
        <v>236.4</v>
      </c>
      <c r="Q1926" s="1">
        <f>Table1[Profit]/Table1[Total_Sales]</f>
        <v>0.28200789622109418</v>
      </c>
      <c r="R1926" s="14">
        <f>Table1[Total_Sales]+Table1[Shipping_Cost]</f>
        <v>223.67999999999998</v>
      </c>
    </row>
    <row r="1927" spans="1:18" x14ac:dyDescent="0.35">
      <c r="A1927" s="3" t="s">
        <v>3506</v>
      </c>
      <c r="B1927" s="2">
        <v>45987</v>
      </c>
      <c r="C1927" s="1" t="s">
        <v>3284</v>
      </c>
      <c r="D1927" s="1" t="s">
        <v>17</v>
      </c>
      <c r="E1927" s="1" t="s">
        <v>135</v>
      </c>
      <c r="F1927" s="1" t="s">
        <v>26</v>
      </c>
      <c r="G1927" s="1" t="s">
        <v>20</v>
      </c>
      <c r="H1927" s="1" t="s">
        <v>55</v>
      </c>
      <c r="I1927" s="1">
        <v>3</v>
      </c>
      <c r="J1927" s="1">
        <v>75.55</v>
      </c>
      <c r="K1927" s="1">
        <v>15</v>
      </c>
      <c r="L1927" s="1">
        <v>192.65</v>
      </c>
      <c r="M1927" s="1">
        <v>11.85</v>
      </c>
      <c r="N1927" s="1">
        <v>56.14</v>
      </c>
      <c r="O1927" s="6" t="s">
        <v>39</v>
      </c>
      <c r="P1927" s="8">
        <f>Table1[Quantity]*Table1[Unit_Price]</f>
        <v>226.64999999999998</v>
      </c>
      <c r="Q1927" s="1">
        <f>Table1[Profit]/Table1[Total_Sales]</f>
        <v>0.29140929146119904</v>
      </c>
      <c r="R1927" s="14">
        <f>Table1[Total_Sales]+Table1[Shipping_Cost]</f>
        <v>204.5</v>
      </c>
    </row>
    <row r="1928" spans="1:18" x14ac:dyDescent="0.35">
      <c r="A1928" s="3" t="s">
        <v>3507</v>
      </c>
      <c r="B1928" s="2">
        <v>45987</v>
      </c>
      <c r="C1928" s="1" t="s">
        <v>3508</v>
      </c>
      <c r="D1928" s="1" t="s">
        <v>17</v>
      </c>
      <c r="E1928" s="1" t="s">
        <v>85</v>
      </c>
      <c r="F1928" s="1" t="s">
        <v>60</v>
      </c>
      <c r="G1928" s="1" t="s">
        <v>20</v>
      </c>
      <c r="H1928" s="1" t="s">
        <v>264</v>
      </c>
      <c r="I1928" s="1">
        <v>4</v>
      </c>
      <c r="J1928" s="1">
        <v>23.57</v>
      </c>
      <c r="K1928" s="1">
        <v>10</v>
      </c>
      <c r="L1928" s="1">
        <v>84.85</v>
      </c>
      <c r="M1928" s="1">
        <v>16.899999999999999</v>
      </c>
      <c r="N1928" s="1">
        <v>16.100000000000001</v>
      </c>
      <c r="O1928" s="6" t="s">
        <v>34</v>
      </c>
      <c r="P1928" s="8">
        <f>Table1[Quantity]*Table1[Unit_Price]</f>
        <v>94.28</v>
      </c>
      <c r="Q1928" s="1">
        <f>Table1[Profit]/Table1[Total_Sales]</f>
        <v>0.18974661166764883</v>
      </c>
      <c r="R1928" s="14">
        <f>Table1[Total_Sales]+Table1[Shipping_Cost]</f>
        <v>101.75</v>
      </c>
    </row>
    <row r="1929" spans="1:18" x14ac:dyDescent="0.35">
      <c r="A1929" s="3" t="s">
        <v>3509</v>
      </c>
      <c r="B1929" s="2">
        <v>45987</v>
      </c>
      <c r="C1929" s="1" t="s">
        <v>3510</v>
      </c>
      <c r="D1929" s="1" t="s">
        <v>30</v>
      </c>
      <c r="E1929" s="1" t="s">
        <v>85</v>
      </c>
      <c r="F1929" s="1" t="s">
        <v>60</v>
      </c>
      <c r="G1929" s="1" t="s">
        <v>69</v>
      </c>
      <c r="H1929" s="1" t="s">
        <v>86</v>
      </c>
      <c r="I1929" s="1">
        <v>1</v>
      </c>
      <c r="J1929" s="1">
        <v>45.56</v>
      </c>
      <c r="K1929" s="1">
        <v>0</v>
      </c>
      <c r="L1929" s="1">
        <v>45.56</v>
      </c>
      <c r="M1929" s="1">
        <v>11.16</v>
      </c>
      <c r="N1929" s="1">
        <v>11.62</v>
      </c>
      <c r="O1929" s="6" t="s">
        <v>34</v>
      </c>
      <c r="P1929" s="8">
        <f>Table1[Quantity]*Table1[Unit_Price]</f>
        <v>45.56</v>
      </c>
      <c r="Q1929" s="1">
        <f>Table1[Profit]/Table1[Total_Sales]</f>
        <v>0.25504828797190515</v>
      </c>
      <c r="R1929" s="14">
        <f>Table1[Total_Sales]+Table1[Shipping_Cost]</f>
        <v>56.72</v>
      </c>
    </row>
    <row r="1930" spans="1:18" x14ac:dyDescent="0.35">
      <c r="A1930" s="3" t="s">
        <v>3511</v>
      </c>
      <c r="B1930" s="2">
        <v>45988</v>
      </c>
      <c r="C1930" s="1" t="s">
        <v>1459</v>
      </c>
      <c r="D1930" s="1" t="s">
        <v>17</v>
      </c>
      <c r="E1930" s="1" t="s">
        <v>109</v>
      </c>
      <c r="F1930" s="1" t="s">
        <v>54</v>
      </c>
      <c r="G1930" s="1" t="s">
        <v>20</v>
      </c>
      <c r="H1930" s="1" t="s">
        <v>170</v>
      </c>
      <c r="I1930" s="1">
        <v>8</v>
      </c>
      <c r="J1930" s="1">
        <v>27.29</v>
      </c>
      <c r="K1930" s="1">
        <v>5</v>
      </c>
      <c r="L1930" s="1">
        <v>207.4</v>
      </c>
      <c r="M1930" s="1">
        <v>30.16</v>
      </c>
      <c r="N1930" s="1">
        <v>57.16</v>
      </c>
      <c r="O1930" s="6" t="s">
        <v>39</v>
      </c>
      <c r="P1930" s="8">
        <f>Table1[Quantity]*Table1[Unit_Price]</f>
        <v>218.32</v>
      </c>
      <c r="Q1930" s="1">
        <f>Table1[Profit]/Table1[Total_Sales]</f>
        <v>0.27560270009643201</v>
      </c>
      <c r="R1930" s="14">
        <f>Table1[Total_Sales]+Table1[Shipping_Cost]</f>
        <v>237.56</v>
      </c>
    </row>
    <row r="1931" spans="1:18" x14ac:dyDescent="0.35">
      <c r="A1931" s="3" t="s">
        <v>3512</v>
      </c>
      <c r="B1931" s="2">
        <v>45988</v>
      </c>
      <c r="C1931" s="1" t="s">
        <v>2039</v>
      </c>
      <c r="D1931" s="1" t="s">
        <v>49</v>
      </c>
      <c r="E1931" s="1" t="s">
        <v>76</v>
      </c>
      <c r="F1931" s="1" t="s">
        <v>26</v>
      </c>
      <c r="G1931" s="1" t="s">
        <v>42</v>
      </c>
      <c r="H1931" s="1" t="s">
        <v>255</v>
      </c>
      <c r="I1931" s="1">
        <v>1</v>
      </c>
      <c r="J1931" s="1">
        <v>38.28</v>
      </c>
      <c r="K1931" s="1">
        <v>10</v>
      </c>
      <c r="L1931" s="1">
        <v>34.450000000000003</v>
      </c>
      <c r="M1931" s="1">
        <v>7.59</v>
      </c>
      <c r="N1931" s="1">
        <v>3.89</v>
      </c>
      <c r="O1931" s="6" t="s">
        <v>22</v>
      </c>
      <c r="P1931" s="8">
        <f>Table1[Quantity]*Table1[Unit_Price]</f>
        <v>38.28</v>
      </c>
      <c r="Q1931" s="1">
        <f>Table1[Profit]/Table1[Total_Sales]</f>
        <v>0.11291727140783744</v>
      </c>
      <c r="R1931" s="14">
        <f>Table1[Total_Sales]+Table1[Shipping_Cost]</f>
        <v>42.040000000000006</v>
      </c>
    </row>
    <row r="1932" spans="1:18" x14ac:dyDescent="0.35">
      <c r="A1932" s="3" t="s">
        <v>3513</v>
      </c>
      <c r="B1932" s="2">
        <v>45989</v>
      </c>
      <c r="C1932" s="1" t="s">
        <v>524</v>
      </c>
      <c r="D1932" s="1" t="s">
        <v>30</v>
      </c>
      <c r="E1932" s="1" t="s">
        <v>92</v>
      </c>
      <c r="F1932" s="1" t="s">
        <v>60</v>
      </c>
      <c r="G1932" s="1" t="s">
        <v>32</v>
      </c>
      <c r="H1932" s="1" t="s">
        <v>73</v>
      </c>
      <c r="I1932" s="1">
        <v>3</v>
      </c>
      <c r="J1932" s="1">
        <v>4.2699999999999996</v>
      </c>
      <c r="K1932" s="1">
        <v>10</v>
      </c>
      <c r="L1932" s="1">
        <v>11.53</v>
      </c>
      <c r="M1932" s="1">
        <v>13.45</v>
      </c>
      <c r="N1932" s="1">
        <v>-7.68</v>
      </c>
      <c r="O1932" s="6" t="s">
        <v>34</v>
      </c>
      <c r="P1932" s="8">
        <f>Table1[Quantity]*Table1[Unit_Price]</f>
        <v>12.809999999999999</v>
      </c>
      <c r="Q1932" s="1">
        <f>Table1[Profit]/Table1[Total_Sales]</f>
        <v>-0.66608846487424112</v>
      </c>
      <c r="R1932" s="14">
        <f>Table1[Total_Sales]+Table1[Shipping_Cost]</f>
        <v>24.979999999999997</v>
      </c>
    </row>
    <row r="1933" spans="1:18" x14ac:dyDescent="0.35">
      <c r="A1933" s="3" t="s">
        <v>3514</v>
      </c>
      <c r="B1933" s="2">
        <v>45989</v>
      </c>
      <c r="C1933" s="1" t="s">
        <v>3515</v>
      </c>
      <c r="D1933" s="1" t="s">
        <v>30</v>
      </c>
      <c r="E1933" s="1" t="s">
        <v>31</v>
      </c>
      <c r="F1933" s="1" t="s">
        <v>19</v>
      </c>
      <c r="G1933" s="1" t="s">
        <v>32</v>
      </c>
      <c r="H1933" s="1" t="s">
        <v>132</v>
      </c>
      <c r="I1933" s="1">
        <v>2</v>
      </c>
      <c r="J1933" s="1">
        <v>9.8699999999999992</v>
      </c>
      <c r="K1933" s="1">
        <v>5</v>
      </c>
      <c r="L1933" s="1">
        <v>18.75</v>
      </c>
      <c r="M1933" s="1">
        <v>8.7200000000000006</v>
      </c>
      <c r="N1933" s="1">
        <v>1.1499999999999999</v>
      </c>
      <c r="O1933" s="6" t="s">
        <v>39</v>
      </c>
      <c r="P1933" s="8">
        <f>Table1[Quantity]*Table1[Unit_Price]</f>
        <v>19.739999999999998</v>
      </c>
      <c r="Q1933" s="1">
        <f>Table1[Profit]/Table1[Total_Sales]</f>
        <v>6.133333333333333E-2</v>
      </c>
      <c r="R1933" s="14">
        <f>Table1[Total_Sales]+Table1[Shipping_Cost]</f>
        <v>27.47</v>
      </c>
    </row>
    <row r="1934" spans="1:18" x14ac:dyDescent="0.35">
      <c r="A1934" s="3" t="s">
        <v>3516</v>
      </c>
      <c r="B1934" s="2">
        <v>45989</v>
      </c>
      <c r="C1934" s="1" t="s">
        <v>3517</v>
      </c>
      <c r="D1934" s="1" t="s">
        <v>30</v>
      </c>
      <c r="E1934" s="1" t="s">
        <v>121</v>
      </c>
      <c r="F1934" s="1" t="s">
        <v>68</v>
      </c>
      <c r="G1934" s="1" t="s">
        <v>32</v>
      </c>
      <c r="H1934" s="1" t="s">
        <v>348</v>
      </c>
      <c r="I1934" s="1">
        <v>6</v>
      </c>
      <c r="J1934" s="1">
        <v>10.63</v>
      </c>
      <c r="K1934" s="1">
        <v>0</v>
      </c>
      <c r="L1934" s="1">
        <v>63.78</v>
      </c>
      <c r="M1934" s="1">
        <v>17.670000000000002</v>
      </c>
      <c r="N1934" s="1">
        <v>17.41</v>
      </c>
      <c r="O1934" s="6" t="s">
        <v>34</v>
      </c>
      <c r="P1934" s="8">
        <f>Table1[Quantity]*Table1[Unit_Price]</f>
        <v>63.78</v>
      </c>
      <c r="Q1934" s="1">
        <f>Table1[Profit]/Table1[Total_Sales]</f>
        <v>0.27296958294136092</v>
      </c>
      <c r="R1934" s="14">
        <f>Table1[Total_Sales]+Table1[Shipping_Cost]</f>
        <v>81.45</v>
      </c>
    </row>
    <row r="1935" spans="1:18" x14ac:dyDescent="0.35">
      <c r="A1935" s="3" t="s">
        <v>3518</v>
      </c>
      <c r="B1935" s="2">
        <v>45990</v>
      </c>
      <c r="C1935" s="1" t="s">
        <v>3519</v>
      </c>
      <c r="D1935" s="1" t="s">
        <v>49</v>
      </c>
      <c r="E1935" s="1" t="s">
        <v>248</v>
      </c>
      <c r="F1935" s="1" t="s">
        <v>26</v>
      </c>
      <c r="G1935" s="1" t="s">
        <v>32</v>
      </c>
      <c r="H1935" s="1" t="s">
        <v>101</v>
      </c>
      <c r="I1935" s="1">
        <v>2</v>
      </c>
      <c r="J1935" s="1">
        <v>13.2</v>
      </c>
      <c r="K1935" s="1">
        <v>5</v>
      </c>
      <c r="L1935" s="1">
        <v>25.08</v>
      </c>
      <c r="M1935" s="1">
        <v>9.67</v>
      </c>
      <c r="N1935" s="1">
        <v>3.53</v>
      </c>
      <c r="O1935" s="6" t="s">
        <v>56</v>
      </c>
      <c r="P1935" s="8">
        <f>Table1[Quantity]*Table1[Unit_Price]</f>
        <v>26.4</v>
      </c>
      <c r="Q1935" s="1">
        <f>Table1[Profit]/Table1[Total_Sales]</f>
        <v>0.14074960127591707</v>
      </c>
      <c r="R1935" s="14">
        <f>Table1[Total_Sales]+Table1[Shipping_Cost]</f>
        <v>34.75</v>
      </c>
    </row>
    <row r="1936" spans="1:18" x14ac:dyDescent="0.35">
      <c r="A1936" s="3" t="s">
        <v>3520</v>
      </c>
      <c r="B1936" s="2">
        <v>45990</v>
      </c>
      <c r="C1936" s="1" t="s">
        <v>2063</v>
      </c>
      <c r="D1936" s="1" t="s">
        <v>30</v>
      </c>
      <c r="E1936" s="1" t="s">
        <v>59</v>
      </c>
      <c r="F1936" s="1" t="s">
        <v>60</v>
      </c>
      <c r="G1936" s="1" t="s">
        <v>20</v>
      </c>
      <c r="H1936" s="1" t="s">
        <v>175</v>
      </c>
      <c r="I1936" s="1">
        <v>13</v>
      </c>
      <c r="J1936" s="1">
        <v>31.37</v>
      </c>
      <c r="K1936" s="1">
        <v>10</v>
      </c>
      <c r="L1936" s="1">
        <v>367.03</v>
      </c>
      <c r="M1936" s="1">
        <v>38.630000000000003</v>
      </c>
      <c r="N1936" s="1">
        <v>104.1</v>
      </c>
      <c r="O1936" s="6" t="s">
        <v>22</v>
      </c>
      <c r="P1936" s="8">
        <f>Table1[Quantity]*Table1[Unit_Price]</f>
        <v>407.81</v>
      </c>
      <c r="Q1936" s="1">
        <f>Table1[Profit]/Table1[Total_Sales]</f>
        <v>0.28362804130452551</v>
      </c>
      <c r="R1936" s="14">
        <f>Table1[Total_Sales]+Table1[Shipping_Cost]</f>
        <v>405.65999999999997</v>
      </c>
    </row>
    <row r="1937" spans="1:18" x14ac:dyDescent="0.35">
      <c r="A1937" s="3" t="s">
        <v>3521</v>
      </c>
      <c r="B1937" s="2">
        <v>45991</v>
      </c>
      <c r="C1937" s="1" t="s">
        <v>3522</v>
      </c>
      <c r="D1937" s="1" t="s">
        <v>17</v>
      </c>
      <c r="E1937" s="1" t="s">
        <v>25</v>
      </c>
      <c r="F1937" s="1" t="s">
        <v>26</v>
      </c>
      <c r="G1937" s="1" t="s">
        <v>42</v>
      </c>
      <c r="H1937" s="1" t="s">
        <v>234</v>
      </c>
      <c r="I1937" s="1">
        <v>1</v>
      </c>
      <c r="J1937" s="1">
        <v>66.790000000000006</v>
      </c>
      <c r="K1937" s="1">
        <v>10</v>
      </c>
      <c r="L1937" s="1">
        <v>60.11</v>
      </c>
      <c r="M1937" s="1">
        <v>8.82</v>
      </c>
      <c r="N1937" s="1">
        <v>11.22</v>
      </c>
      <c r="O1937" s="6" t="s">
        <v>39</v>
      </c>
      <c r="P1937" s="8">
        <f>Table1[Quantity]*Table1[Unit_Price]</f>
        <v>66.790000000000006</v>
      </c>
      <c r="Q1937" s="1">
        <f>Table1[Profit]/Table1[Total_Sales]</f>
        <v>0.18665779404425223</v>
      </c>
      <c r="R1937" s="14">
        <f>Table1[Total_Sales]+Table1[Shipping_Cost]</f>
        <v>68.930000000000007</v>
      </c>
    </row>
    <row r="1938" spans="1:18" x14ac:dyDescent="0.35">
      <c r="A1938" s="3" t="s">
        <v>3523</v>
      </c>
      <c r="B1938" s="2">
        <v>45992</v>
      </c>
      <c r="C1938" s="1" t="s">
        <v>3524</v>
      </c>
      <c r="D1938" s="1" t="s">
        <v>30</v>
      </c>
      <c r="E1938" s="1" t="s">
        <v>148</v>
      </c>
      <c r="F1938" s="1" t="s">
        <v>60</v>
      </c>
      <c r="G1938" s="1" t="s">
        <v>32</v>
      </c>
      <c r="H1938" s="1" t="s">
        <v>132</v>
      </c>
      <c r="I1938" s="1">
        <v>1</v>
      </c>
      <c r="J1938" s="1">
        <v>17.12</v>
      </c>
      <c r="K1938" s="1">
        <v>15</v>
      </c>
      <c r="L1938" s="1">
        <v>14.55</v>
      </c>
      <c r="M1938" s="1">
        <v>10.37</v>
      </c>
      <c r="N1938" s="1">
        <v>-3.52</v>
      </c>
      <c r="O1938" s="6" t="s">
        <v>34</v>
      </c>
      <c r="P1938" s="8">
        <f>Table1[Quantity]*Table1[Unit_Price]</f>
        <v>17.12</v>
      </c>
      <c r="Q1938" s="1">
        <f>Table1[Profit]/Table1[Total_Sales]</f>
        <v>-0.24192439862542955</v>
      </c>
      <c r="R1938" s="14">
        <f>Table1[Total_Sales]+Table1[Shipping_Cost]</f>
        <v>24.92</v>
      </c>
    </row>
    <row r="1939" spans="1:18" x14ac:dyDescent="0.35">
      <c r="A1939" s="3" t="s">
        <v>3525</v>
      </c>
      <c r="B1939" s="2">
        <v>45992</v>
      </c>
      <c r="C1939" s="1" t="s">
        <v>3526</v>
      </c>
      <c r="D1939" s="1" t="s">
        <v>30</v>
      </c>
      <c r="E1939" s="1" t="s">
        <v>59</v>
      </c>
      <c r="F1939" s="1" t="s">
        <v>60</v>
      </c>
      <c r="G1939" s="1" t="s">
        <v>42</v>
      </c>
      <c r="H1939" s="1" t="s">
        <v>93</v>
      </c>
      <c r="I1939" s="1">
        <v>12</v>
      </c>
      <c r="J1939" s="1">
        <v>189.49</v>
      </c>
      <c r="K1939" s="1">
        <v>15</v>
      </c>
      <c r="L1939" s="1">
        <v>1932.8</v>
      </c>
      <c r="M1939" s="1">
        <v>34.81</v>
      </c>
      <c r="N1939" s="1">
        <v>533.66</v>
      </c>
      <c r="O1939" s="6" t="s">
        <v>34</v>
      </c>
      <c r="P1939" s="8">
        <f>Table1[Quantity]*Table1[Unit_Price]</f>
        <v>2273.88</v>
      </c>
      <c r="Q1939" s="1">
        <f>Table1[Profit]/Table1[Total_Sales]</f>
        <v>0.27610720198675498</v>
      </c>
      <c r="R1939" s="14">
        <f>Table1[Total_Sales]+Table1[Shipping_Cost]</f>
        <v>1967.61</v>
      </c>
    </row>
    <row r="1940" spans="1:18" x14ac:dyDescent="0.35">
      <c r="A1940" s="3" t="s">
        <v>3527</v>
      </c>
      <c r="B1940" s="2">
        <v>45993</v>
      </c>
      <c r="C1940" s="1" t="s">
        <v>1102</v>
      </c>
      <c r="D1940" s="1" t="s">
        <v>30</v>
      </c>
      <c r="E1940" s="1" t="s">
        <v>18</v>
      </c>
      <c r="F1940" s="1" t="s">
        <v>19</v>
      </c>
      <c r="G1940" s="1" t="s">
        <v>69</v>
      </c>
      <c r="H1940" s="1" t="s">
        <v>86</v>
      </c>
      <c r="I1940" s="1">
        <v>10</v>
      </c>
      <c r="J1940" s="1">
        <v>72.25</v>
      </c>
      <c r="K1940" s="1">
        <v>5</v>
      </c>
      <c r="L1940" s="1">
        <v>686.38</v>
      </c>
      <c r="M1940" s="1">
        <v>12.64</v>
      </c>
      <c r="N1940" s="1">
        <v>312.49</v>
      </c>
      <c r="O1940" s="6" t="s">
        <v>34</v>
      </c>
      <c r="P1940" s="8">
        <f>Table1[Quantity]*Table1[Unit_Price]</f>
        <v>722.5</v>
      </c>
      <c r="Q1940" s="1">
        <f>Table1[Profit]/Table1[Total_Sales]</f>
        <v>0.45527258952766692</v>
      </c>
      <c r="R1940" s="14">
        <f>Table1[Total_Sales]+Table1[Shipping_Cost]</f>
        <v>699.02</v>
      </c>
    </row>
    <row r="1941" spans="1:18" x14ac:dyDescent="0.35">
      <c r="A1941" s="3" t="s">
        <v>3528</v>
      </c>
      <c r="B1941" s="2">
        <v>45993</v>
      </c>
      <c r="C1941" s="1" t="s">
        <v>3529</v>
      </c>
      <c r="D1941" s="1" t="s">
        <v>49</v>
      </c>
      <c r="E1941" s="1" t="s">
        <v>18</v>
      </c>
      <c r="F1941" s="1" t="s">
        <v>19</v>
      </c>
      <c r="G1941" s="1" t="s">
        <v>32</v>
      </c>
      <c r="H1941" s="1" t="s">
        <v>149</v>
      </c>
      <c r="I1941" s="1">
        <v>3</v>
      </c>
      <c r="J1941" s="1">
        <v>12.71</v>
      </c>
      <c r="K1941" s="1">
        <v>10</v>
      </c>
      <c r="L1941" s="1">
        <v>34.32</v>
      </c>
      <c r="M1941" s="1">
        <v>9.81</v>
      </c>
      <c r="N1941" s="1">
        <v>7.35</v>
      </c>
      <c r="O1941" s="6" t="s">
        <v>56</v>
      </c>
      <c r="P1941" s="8">
        <f>Table1[Quantity]*Table1[Unit_Price]</f>
        <v>38.130000000000003</v>
      </c>
      <c r="Q1941" s="1">
        <f>Table1[Profit]/Table1[Total_Sales]</f>
        <v>0.21416083916083914</v>
      </c>
      <c r="R1941" s="14">
        <f>Table1[Total_Sales]+Table1[Shipping_Cost]</f>
        <v>44.13</v>
      </c>
    </row>
    <row r="1942" spans="1:18" x14ac:dyDescent="0.35">
      <c r="A1942" s="3" t="s">
        <v>3530</v>
      </c>
      <c r="B1942" s="2">
        <v>45993</v>
      </c>
      <c r="C1942" s="1" t="s">
        <v>2057</v>
      </c>
      <c r="D1942" s="1" t="s">
        <v>17</v>
      </c>
      <c r="E1942" s="1" t="s">
        <v>166</v>
      </c>
      <c r="F1942" s="1" t="s">
        <v>60</v>
      </c>
      <c r="G1942" s="1" t="s">
        <v>42</v>
      </c>
      <c r="H1942" s="1" t="s">
        <v>255</v>
      </c>
      <c r="I1942" s="1">
        <v>4</v>
      </c>
      <c r="J1942" s="1">
        <v>34.17</v>
      </c>
      <c r="K1942" s="1">
        <v>10</v>
      </c>
      <c r="L1942" s="1">
        <v>123.01</v>
      </c>
      <c r="M1942" s="1">
        <v>18.86</v>
      </c>
      <c r="N1942" s="1">
        <v>22.14</v>
      </c>
      <c r="O1942" s="6" t="s">
        <v>39</v>
      </c>
      <c r="P1942" s="8">
        <f>Table1[Quantity]*Table1[Unit_Price]</f>
        <v>136.68</v>
      </c>
      <c r="Q1942" s="1">
        <f>Table1[Profit]/Table1[Total_Sales]</f>
        <v>0.17998536704332982</v>
      </c>
      <c r="R1942" s="14">
        <f>Table1[Total_Sales]+Table1[Shipping_Cost]</f>
        <v>141.87</v>
      </c>
    </row>
    <row r="1943" spans="1:18" x14ac:dyDescent="0.35">
      <c r="A1943" s="3" t="s">
        <v>3531</v>
      </c>
      <c r="B1943" s="2">
        <v>45993</v>
      </c>
      <c r="C1943" s="1" t="s">
        <v>3532</v>
      </c>
      <c r="D1943" s="1" t="s">
        <v>17</v>
      </c>
      <c r="E1943" s="1" t="s">
        <v>67</v>
      </c>
      <c r="F1943" s="1" t="s">
        <v>68</v>
      </c>
      <c r="G1943" s="1" t="s">
        <v>32</v>
      </c>
      <c r="H1943" s="1" t="s">
        <v>115</v>
      </c>
      <c r="I1943" s="1">
        <v>2</v>
      </c>
      <c r="J1943" s="1">
        <v>12.44</v>
      </c>
      <c r="K1943" s="1">
        <v>10</v>
      </c>
      <c r="L1943" s="1">
        <v>22.39</v>
      </c>
      <c r="M1943" s="1">
        <v>11.74</v>
      </c>
      <c r="N1943" s="1">
        <v>-0.55000000000000004</v>
      </c>
      <c r="O1943" s="6" t="s">
        <v>39</v>
      </c>
      <c r="P1943" s="8">
        <f>Table1[Quantity]*Table1[Unit_Price]</f>
        <v>24.88</v>
      </c>
      <c r="Q1943" s="1">
        <f>Table1[Profit]/Table1[Total_Sales]</f>
        <v>-2.4564537740062529E-2</v>
      </c>
      <c r="R1943" s="14">
        <f>Table1[Total_Sales]+Table1[Shipping_Cost]</f>
        <v>34.130000000000003</v>
      </c>
    </row>
    <row r="1944" spans="1:18" x14ac:dyDescent="0.35">
      <c r="A1944" s="3" t="s">
        <v>3533</v>
      </c>
      <c r="B1944" s="2">
        <v>45994</v>
      </c>
      <c r="C1944" s="1" t="s">
        <v>3534</v>
      </c>
      <c r="D1944" s="1" t="s">
        <v>49</v>
      </c>
      <c r="E1944" s="1" t="s">
        <v>138</v>
      </c>
      <c r="F1944" s="1" t="s">
        <v>54</v>
      </c>
      <c r="G1944" s="1" t="s">
        <v>42</v>
      </c>
      <c r="H1944" s="1" t="s">
        <v>118</v>
      </c>
      <c r="I1944" s="1">
        <v>1</v>
      </c>
      <c r="J1944" s="1">
        <v>41.13</v>
      </c>
      <c r="K1944" s="1">
        <v>5</v>
      </c>
      <c r="L1944" s="1">
        <v>39.07</v>
      </c>
      <c r="M1944" s="1">
        <v>13.01</v>
      </c>
      <c r="N1944" s="1">
        <v>1.38</v>
      </c>
      <c r="O1944" s="6" t="s">
        <v>39</v>
      </c>
      <c r="P1944" s="8">
        <f>Table1[Quantity]*Table1[Unit_Price]</f>
        <v>41.13</v>
      </c>
      <c r="Q1944" s="1">
        <f>Table1[Profit]/Table1[Total_Sales]</f>
        <v>3.5321218326081393E-2</v>
      </c>
      <c r="R1944" s="14">
        <f>Table1[Total_Sales]+Table1[Shipping_Cost]</f>
        <v>52.08</v>
      </c>
    </row>
    <row r="1945" spans="1:18" x14ac:dyDescent="0.35">
      <c r="A1945" s="3" t="s">
        <v>3535</v>
      </c>
      <c r="B1945" s="2">
        <v>45995</v>
      </c>
      <c r="C1945" s="1" t="s">
        <v>2006</v>
      </c>
      <c r="D1945" s="1" t="s">
        <v>30</v>
      </c>
      <c r="E1945" s="1" t="s">
        <v>85</v>
      </c>
      <c r="F1945" s="1" t="s">
        <v>60</v>
      </c>
      <c r="G1945" s="1" t="s">
        <v>32</v>
      </c>
      <c r="H1945" s="1" t="s">
        <v>132</v>
      </c>
      <c r="I1945" s="1">
        <v>8</v>
      </c>
      <c r="J1945" s="1">
        <v>19.350000000000001</v>
      </c>
      <c r="K1945" s="1">
        <v>0</v>
      </c>
      <c r="L1945" s="1">
        <v>154.80000000000001</v>
      </c>
      <c r="M1945" s="1">
        <v>27.15</v>
      </c>
      <c r="N1945" s="1">
        <v>57.99</v>
      </c>
      <c r="O1945" s="6" t="s">
        <v>34</v>
      </c>
      <c r="P1945" s="8">
        <f>Table1[Quantity]*Table1[Unit_Price]</f>
        <v>154.80000000000001</v>
      </c>
      <c r="Q1945" s="1">
        <f>Table1[Profit]/Table1[Total_Sales]</f>
        <v>0.3746124031007752</v>
      </c>
      <c r="R1945" s="14">
        <f>Table1[Total_Sales]+Table1[Shipping_Cost]</f>
        <v>181.95000000000002</v>
      </c>
    </row>
    <row r="1946" spans="1:18" x14ac:dyDescent="0.35">
      <c r="A1946" s="3" t="s">
        <v>3536</v>
      </c>
      <c r="B1946" s="2">
        <v>45995</v>
      </c>
      <c r="C1946" s="1" t="s">
        <v>3537</v>
      </c>
      <c r="D1946" s="1" t="s">
        <v>17</v>
      </c>
      <c r="E1946" s="1" t="s">
        <v>18</v>
      </c>
      <c r="F1946" s="1" t="s">
        <v>19</v>
      </c>
      <c r="G1946" s="1" t="s">
        <v>69</v>
      </c>
      <c r="H1946" s="1" t="s">
        <v>98</v>
      </c>
      <c r="I1946" s="1">
        <v>2</v>
      </c>
      <c r="J1946" s="1">
        <v>41.19</v>
      </c>
      <c r="K1946" s="1">
        <v>0</v>
      </c>
      <c r="L1946" s="1">
        <v>82.38</v>
      </c>
      <c r="M1946" s="1">
        <v>9.35</v>
      </c>
      <c r="N1946" s="1">
        <v>31.84</v>
      </c>
      <c r="O1946" s="6" t="s">
        <v>34</v>
      </c>
      <c r="P1946" s="8">
        <f>Table1[Quantity]*Table1[Unit_Price]</f>
        <v>82.38</v>
      </c>
      <c r="Q1946" s="1">
        <f>Table1[Profit]/Table1[Total_Sales]</f>
        <v>0.38650157805292551</v>
      </c>
      <c r="R1946" s="14">
        <f>Table1[Total_Sales]+Table1[Shipping_Cost]</f>
        <v>91.72999999999999</v>
      </c>
    </row>
    <row r="1947" spans="1:18" x14ac:dyDescent="0.35">
      <c r="A1947" s="3" t="s">
        <v>3538</v>
      </c>
      <c r="B1947" s="2">
        <v>45997</v>
      </c>
      <c r="C1947" s="1" t="s">
        <v>2901</v>
      </c>
      <c r="D1947" s="1" t="s">
        <v>30</v>
      </c>
      <c r="E1947" s="1" t="s">
        <v>85</v>
      </c>
      <c r="F1947" s="1" t="s">
        <v>60</v>
      </c>
      <c r="G1947" s="1" t="s">
        <v>20</v>
      </c>
      <c r="H1947" s="1" t="s">
        <v>21</v>
      </c>
      <c r="I1947" s="1">
        <v>1</v>
      </c>
      <c r="J1947" s="1">
        <v>121.88</v>
      </c>
      <c r="K1947" s="1">
        <v>15</v>
      </c>
      <c r="L1947" s="1">
        <v>103.6</v>
      </c>
      <c r="M1947" s="1">
        <v>10.32</v>
      </c>
      <c r="N1947" s="1">
        <v>26.25</v>
      </c>
      <c r="O1947" s="6" t="s">
        <v>34</v>
      </c>
      <c r="P1947" s="8">
        <f>Table1[Quantity]*Table1[Unit_Price]</f>
        <v>121.88</v>
      </c>
      <c r="Q1947" s="1">
        <f>Table1[Profit]/Table1[Total_Sales]</f>
        <v>0.2533783783783784</v>
      </c>
      <c r="R1947" s="14">
        <f>Table1[Total_Sales]+Table1[Shipping_Cost]</f>
        <v>113.91999999999999</v>
      </c>
    </row>
    <row r="1948" spans="1:18" x14ac:dyDescent="0.35">
      <c r="A1948" s="3" t="s">
        <v>3539</v>
      </c>
      <c r="B1948" s="2">
        <v>45997</v>
      </c>
      <c r="C1948" s="1" t="s">
        <v>3540</v>
      </c>
      <c r="D1948" s="1" t="s">
        <v>30</v>
      </c>
      <c r="E1948" s="1" t="s">
        <v>85</v>
      </c>
      <c r="F1948" s="1" t="s">
        <v>60</v>
      </c>
      <c r="G1948" s="1" t="s">
        <v>20</v>
      </c>
      <c r="H1948" s="1" t="s">
        <v>38</v>
      </c>
      <c r="I1948" s="1">
        <v>2</v>
      </c>
      <c r="J1948" s="1">
        <v>48.3</v>
      </c>
      <c r="K1948" s="1">
        <v>0</v>
      </c>
      <c r="L1948" s="1">
        <v>96.6</v>
      </c>
      <c r="M1948" s="1">
        <v>10.11</v>
      </c>
      <c r="N1948" s="1">
        <v>33.36</v>
      </c>
      <c r="O1948" s="6" t="s">
        <v>34</v>
      </c>
      <c r="P1948" s="8">
        <f>Table1[Quantity]*Table1[Unit_Price]</f>
        <v>96.6</v>
      </c>
      <c r="Q1948" s="1">
        <f>Table1[Profit]/Table1[Total_Sales]</f>
        <v>0.34534161490683229</v>
      </c>
      <c r="R1948" s="14">
        <f>Table1[Total_Sales]+Table1[Shipping_Cost]</f>
        <v>106.71</v>
      </c>
    </row>
    <row r="1949" spans="1:18" x14ac:dyDescent="0.35">
      <c r="A1949" s="3" t="s">
        <v>3541</v>
      </c>
      <c r="B1949" s="2">
        <v>45997</v>
      </c>
      <c r="C1949" s="1" t="s">
        <v>1855</v>
      </c>
      <c r="D1949" s="1" t="s">
        <v>17</v>
      </c>
      <c r="E1949" s="1" t="s">
        <v>138</v>
      </c>
      <c r="F1949" s="1" t="s">
        <v>54</v>
      </c>
      <c r="G1949" s="1" t="s">
        <v>42</v>
      </c>
      <c r="H1949" s="1" t="s">
        <v>255</v>
      </c>
      <c r="I1949" s="1">
        <v>1</v>
      </c>
      <c r="J1949" s="1">
        <v>40.369999999999997</v>
      </c>
      <c r="K1949" s="1">
        <v>5</v>
      </c>
      <c r="L1949" s="1">
        <v>38.35</v>
      </c>
      <c r="M1949" s="1">
        <v>12.87</v>
      </c>
      <c r="N1949" s="1">
        <v>1.26</v>
      </c>
      <c r="O1949" s="6" t="s">
        <v>56</v>
      </c>
      <c r="P1949" s="8">
        <f>Table1[Quantity]*Table1[Unit_Price]</f>
        <v>40.369999999999997</v>
      </c>
      <c r="Q1949" s="1">
        <f>Table1[Profit]/Table1[Total_Sales]</f>
        <v>3.285528031290743E-2</v>
      </c>
      <c r="R1949" s="14">
        <f>Table1[Total_Sales]+Table1[Shipping_Cost]</f>
        <v>51.22</v>
      </c>
    </row>
    <row r="1950" spans="1:18" x14ac:dyDescent="0.35">
      <c r="A1950" s="3" t="s">
        <v>3542</v>
      </c>
      <c r="B1950" s="2">
        <v>45997</v>
      </c>
      <c r="C1950" s="1" t="s">
        <v>3543</v>
      </c>
      <c r="D1950" s="1" t="s">
        <v>30</v>
      </c>
      <c r="E1950" s="1" t="s">
        <v>31</v>
      </c>
      <c r="F1950" s="1" t="s">
        <v>19</v>
      </c>
      <c r="G1950" s="1" t="s">
        <v>32</v>
      </c>
      <c r="H1950" s="1" t="s">
        <v>115</v>
      </c>
      <c r="I1950" s="1">
        <v>1</v>
      </c>
      <c r="J1950" s="1">
        <v>9.9499999999999993</v>
      </c>
      <c r="K1950" s="1">
        <v>10</v>
      </c>
      <c r="L1950" s="1">
        <v>8.9600000000000009</v>
      </c>
      <c r="M1950" s="1">
        <v>5.73</v>
      </c>
      <c r="N1950" s="1">
        <v>-1.25</v>
      </c>
      <c r="O1950" s="6" t="s">
        <v>39</v>
      </c>
      <c r="P1950" s="8">
        <f>Table1[Quantity]*Table1[Unit_Price]</f>
        <v>9.9499999999999993</v>
      </c>
      <c r="Q1950" s="1">
        <f>Table1[Profit]/Table1[Total_Sales]</f>
        <v>-0.13950892857142855</v>
      </c>
      <c r="R1950" s="14">
        <f>Table1[Total_Sales]+Table1[Shipping_Cost]</f>
        <v>14.690000000000001</v>
      </c>
    </row>
    <row r="1951" spans="1:18" x14ac:dyDescent="0.35">
      <c r="A1951" s="3" t="s">
        <v>3544</v>
      </c>
      <c r="B1951" s="2">
        <v>45997</v>
      </c>
      <c r="C1951" s="1" t="s">
        <v>3545</v>
      </c>
      <c r="D1951" s="1" t="s">
        <v>30</v>
      </c>
      <c r="E1951" s="1" t="s">
        <v>59</v>
      </c>
      <c r="F1951" s="1" t="s">
        <v>60</v>
      </c>
      <c r="G1951" s="1" t="s">
        <v>69</v>
      </c>
      <c r="H1951" s="1" t="s">
        <v>196</v>
      </c>
      <c r="I1951" s="1">
        <v>3</v>
      </c>
      <c r="J1951" s="1">
        <v>26.38</v>
      </c>
      <c r="K1951" s="1">
        <v>10</v>
      </c>
      <c r="L1951" s="1">
        <v>71.23</v>
      </c>
      <c r="M1951" s="1">
        <v>16.45</v>
      </c>
      <c r="N1951" s="1">
        <v>15.21</v>
      </c>
      <c r="O1951" s="6" t="s">
        <v>39</v>
      </c>
      <c r="P1951" s="8">
        <f>Table1[Quantity]*Table1[Unit_Price]</f>
        <v>79.14</v>
      </c>
      <c r="Q1951" s="1">
        <f>Table1[Profit]/Table1[Total_Sales]</f>
        <v>0.21353362347325566</v>
      </c>
      <c r="R1951" s="14">
        <f>Table1[Total_Sales]+Table1[Shipping_Cost]</f>
        <v>87.68</v>
      </c>
    </row>
    <row r="1952" spans="1:18" x14ac:dyDescent="0.35">
      <c r="A1952" s="3" t="s">
        <v>3546</v>
      </c>
      <c r="B1952" s="2">
        <v>45998</v>
      </c>
      <c r="C1952" s="1" t="s">
        <v>1113</v>
      </c>
      <c r="D1952" s="1" t="s">
        <v>30</v>
      </c>
      <c r="E1952" s="1" t="s">
        <v>129</v>
      </c>
      <c r="F1952" s="1" t="s">
        <v>19</v>
      </c>
      <c r="G1952" s="1" t="s">
        <v>69</v>
      </c>
      <c r="H1952" s="1" t="s">
        <v>98</v>
      </c>
      <c r="I1952" s="1">
        <v>2</v>
      </c>
      <c r="J1952" s="1">
        <v>46.65</v>
      </c>
      <c r="K1952" s="1">
        <v>0</v>
      </c>
      <c r="L1952" s="1">
        <v>93.3</v>
      </c>
      <c r="M1952" s="1">
        <v>7.99</v>
      </c>
      <c r="N1952" s="1">
        <v>38.659999999999997</v>
      </c>
      <c r="O1952" s="6" t="s">
        <v>34</v>
      </c>
      <c r="P1952" s="8">
        <f>Table1[Quantity]*Table1[Unit_Price]</f>
        <v>93.3</v>
      </c>
      <c r="Q1952" s="1">
        <f>Table1[Profit]/Table1[Total_Sales]</f>
        <v>0.41436227224008571</v>
      </c>
      <c r="R1952" s="14">
        <f>Table1[Total_Sales]+Table1[Shipping_Cost]</f>
        <v>101.28999999999999</v>
      </c>
    </row>
    <row r="1953" spans="1:18" x14ac:dyDescent="0.35">
      <c r="A1953" s="3" t="s">
        <v>3547</v>
      </c>
      <c r="B1953" s="2">
        <v>45998</v>
      </c>
      <c r="C1953" s="1" t="s">
        <v>2442</v>
      </c>
      <c r="D1953" s="1" t="s">
        <v>30</v>
      </c>
      <c r="E1953" s="1" t="s">
        <v>76</v>
      </c>
      <c r="F1953" s="1" t="s">
        <v>26</v>
      </c>
      <c r="G1953" s="1" t="s">
        <v>69</v>
      </c>
      <c r="H1953" s="1" t="s">
        <v>243</v>
      </c>
      <c r="I1953" s="1">
        <v>3</v>
      </c>
      <c r="J1953" s="1">
        <v>28.76</v>
      </c>
      <c r="K1953" s="1">
        <v>0</v>
      </c>
      <c r="L1953" s="1">
        <v>86.28</v>
      </c>
      <c r="M1953" s="1">
        <v>14.03</v>
      </c>
      <c r="N1953" s="1">
        <v>29.11</v>
      </c>
      <c r="O1953" s="6" t="s">
        <v>22</v>
      </c>
      <c r="P1953" s="8">
        <f>Table1[Quantity]*Table1[Unit_Price]</f>
        <v>86.28</v>
      </c>
      <c r="Q1953" s="1">
        <f>Table1[Profit]/Table1[Total_Sales]</f>
        <v>0.33738989337042186</v>
      </c>
      <c r="R1953" s="14">
        <f>Table1[Total_Sales]+Table1[Shipping_Cost]</f>
        <v>100.31</v>
      </c>
    </row>
    <row r="1954" spans="1:18" x14ac:dyDescent="0.35">
      <c r="A1954" s="3" t="s">
        <v>3548</v>
      </c>
      <c r="B1954" s="2">
        <v>45998</v>
      </c>
      <c r="C1954" s="1" t="s">
        <v>3549</v>
      </c>
      <c r="D1954" s="1" t="s">
        <v>30</v>
      </c>
      <c r="E1954" s="1" t="s">
        <v>129</v>
      </c>
      <c r="F1954" s="1" t="s">
        <v>19</v>
      </c>
      <c r="G1954" s="1" t="s">
        <v>20</v>
      </c>
      <c r="H1954" s="1" t="s">
        <v>21</v>
      </c>
      <c r="I1954" s="1">
        <v>4</v>
      </c>
      <c r="J1954" s="1">
        <v>128.26</v>
      </c>
      <c r="K1954" s="1">
        <v>20</v>
      </c>
      <c r="L1954" s="1">
        <v>410.43</v>
      </c>
      <c r="M1954" s="1">
        <v>9.52</v>
      </c>
      <c r="N1954" s="1">
        <v>118.74</v>
      </c>
      <c r="O1954" s="6" t="s">
        <v>22</v>
      </c>
      <c r="P1954" s="8">
        <f>Table1[Quantity]*Table1[Unit_Price]</f>
        <v>513.04</v>
      </c>
      <c r="Q1954" s="1">
        <f>Table1[Profit]/Table1[Total_Sales]</f>
        <v>0.28930633725604854</v>
      </c>
      <c r="R1954" s="14">
        <f>Table1[Total_Sales]+Table1[Shipping_Cost]</f>
        <v>419.95</v>
      </c>
    </row>
    <row r="1955" spans="1:18" x14ac:dyDescent="0.35">
      <c r="A1955" s="3" t="s">
        <v>3550</v>
      </c>
      <c r="B1955" s="2">
        <v>45998</v>
      </c>
      <c r="C1955" s="1" t="s">
        <v>3551</v>
      </c>
      <c r="D1955" s="1" t="s">
        <v>49</v>
      </c>
      <c r="E1955" s="1" t="s">
        <v>148</v>
      </c>
      <c r="F1955" s="1" t="s">
        <v>60</v>
      </c>
      <c r="G1955" s="1" t="s">
        <v>32</v>
      </c>
      <c r="H1955" s="1" t="s">
        <v>149</v>
      </c>
      <c r="I1955" s="1">
        <v>1</v>
      </c>
      <c r="J1955" s="1">
        <v>11.64</v>
      </c>
      <c r="K1955" s="1">
        <v>15</v>
      </c>
      <c r="L1955" s="1">
        <v>9.89</v>
      </c>
      <c r="M1955" s="1">
        <v>10.8</v>
      </c>
      <c r="N1955" s="1">
        <v>-6.15</v>
      </c>
      <c r="O1955" s="6" t="s">
        <v>39</v>
      </c>
      <c r="P1955" s="8">
        <f>Table1[Quantity]*Table1[Unit_Price]</f>
        <v>11.64</v>
      </c>
      <c r="Q1955" s="1">
        <f>Table1[Profit]/Table1[Total_Sales]</f>
        <v>-0.621840242669363</v>
      </c>
      <c r="R1955" s="14">
        <f>Table1[Total_Sales]+Table1[Shipping_Cost]</f>
        <v>20.69</v>
      </c>
    </row>
    <row r="1956" spans="1:18" x14ac:dyDescent="0.35">
      <c r="A1956" s="3" t="s">
        <v>3552</v>
      </c>
      <c r="B1956" s="2">
        <v>45999</v>
      </c>
      <c r="C1956" s="1" t="s">
        <v>946</v>
      </c>
      <c r="D1956" s="1" t="s">
        <v>17</v>
      </c>
      <c r="E1956" s="1" t="s">
        <v>53</v>
      </c>
      <c r="F1956" s="1" t="s">
        <v>54</v>
      </c>
      <c r="G1956" s="1" t="s">
        <v>32</v>
      </c>
      <c r="H1956" s="1" t="s">
        <v>82</v>
      </c>
      <c r="I1956" s="1">
        <v>2</v>
      </c>
      <c r="J1956" s="1">
        <v>13.26</v>
      </c>
      <c r="K1956" s="1">
        <v>10</v>
      </c>
      <c r="L1956" s="1">
        <v>23.87</v>
      </c>
      <c r="M1956" s="1">
        <v>15.22</v>
      </c>
      <c r="N1956" s="1">
        <v>-3.28</v>
      </c>
      <c r="O1956" s="6" t="s">
        <v>39</v>
      </c>
      <c r="P1956" s="8">
        <f>Table1[Quantity]*Table1[Unit_Price]</f>
        <v>26.52</v>
      </c>
      <c r="Q1956" s="1">
        <f>Table1[Profit]/Table1[Total_Sales]</f>
        <v>-0.13741097612065353</v>
      </c>
      <c r="R1956" s="14">
        <f>Table1[Total_Sales]+Table1[Shipping_Cost]</f>
        <v>39.090000000000003</v>
      </c>
    </row>
    <row r="1957" spans="1:18" x14ac:dyDescent="0.35">
      <c r="A1957" s="3" t="s">
        <v>3553</v>
      </c>
      <c r="B1957" s="2">
        <v>45999</v>
      </c>
      <c r="C1957" s="1" t="s">
        <v>1056</v>
      </c>
      <c r="D1957" s="1" t="s">
        <v>17</v>
      </c>
      <c r="E1957" s="1" t="s">
        <v>53</v>
      </c>
      <c r="F1957" s="1" t="s">
        <v>54</v>
      </c>
      <c r="G1957" s="1" t="s">
        <v>42</v>
      </c>
      <c r="H1957" s="1" t="s">
        <v>255</v>
      </c>
      <c r="I1957" s="1">
        <v>4</v>
      </c>
      <c r="J1957" s="1">
        <v>56.46</v>
      </c>
      <c r="K1957" s="1">
        <v>0</v>
      </c>
      <c r="L1957" s="1">
        <v>225.84</v>
      </c>
      <c r="M1957" s="1">
        <v>20.67</v>
      </c>
      <c r="N1957" s="1">
        <v>69.67</v>
      </c>
      <c r="O1957" s="6" t="s">
        <v>34</v>
      </c>
      <c r="P1957" s="8">
        <f>Table1[Quantity]*Table1[Unit_Price]</f>
        <v>225.84</v>
      </c>
      <c r="Q1957" s="1">
        <f>Table1[Profit]/Table1[Total_Sales]</f>
        <v>0.30849273822174994</v>
      </c>
      <c r="R1957" s="14">
        <f>Table1[Total_Sales]+Table1[Shipping_Cost]</f>
        <v>246.51</v>
      </c>
    </row>
    <row r="1958" spans="1:18" x14ac:dyDescent="0.35">
      <c r="A1958" s="3" t="s">
        <v>3554</v>
      </c>
      <c r="B1958" s="2">
        <v>46000</v>
      </c>
      <c r="C1958" s="1" t="s">
        <v>672</v>
      </c>
      <c r="D1958" s="1" t="s">
        <v>49</v>
      </c>
      <c r="E1958" s="1" t="s">
        <v>18</v>
      </c>
      <c r="F1958" s="1" t="s">
        <v>19</v>
      </c>
      <c r="G1958" s="1" t="s">
        <v>20</v>
      </c>
      <c r="H1958" s="1" t="s">
        <v>27</v>
      </c>
      <c r="I1958" s="1">
        <v>2</v>
      </c>
      <c r="J1958" s="1">
        <v>130.57</v>
      </c>
      <c r="K1958" s="1">
        <v>5</v>
      </c>
      <c r="L1958" s="1">
        <v>248.08</v>
      </c>
      <c r="M1958" s="1">
        <v>9.18</v>
      </c>
      <c r="N1958" s="1">
        <v>95.27</v>
      </c>
      <c r="O1958" s="6" t="s">
        <v>34</v>
      </c>
      <c r="P1958" s="8">
        <f>Table1[Quantity]*Table1[Unit_Price]</f>
        <v>261.14</v>
      </c>
      <c r="Q1958" s="1">
        <f>Table1[Profit]/Table1[Total_Sales]</f>
        <v>0.38402934537246047</v>
      </c>
      <c r="R1958" s="14">
        <f>Table1[Total_Sales]+Table1[Shipping_Cost]</f>
        <v>257.26</v>
      </c>
    </row>
    <row r="1959" spans="1:18" x14ac:dyDescent="0.35">
      <c r="A1959" s="3" t="s">
        <v>3555</v>
      </c>
      <c r="B1959" s="2">
        <v>46000</v>
      </c>
      <c r="C1959" s="1" t="s">
        <v>3237</v>
      </c>
      <c r="D1959" s="1" t="s">
        <v>49</v>
      </c>
      <c r="E1959" s="1" t="s">
        <v>25</v>
      </c>
      <c r="F1959" s="1" t="s">
        <v>26</v>
      </c>
      <c r="G1959" s="1" t="s">
        <v>42</v>
      </c>
      <c r="H1959" s="1" t="s">
        <v>46</v>
      </c>
      <c r="I1959" s="1">
        <v>7</v>
      </c>
      <c r="J1959" s="1">
        <v>107.98</v>
      </c>
      <c r="K1959" s="1">
        <v>5</v>
      </c>
      <c r="L1959" s="1">
        <v>718.07</v>
      </c>
      <c r="M1959" s="1">
        <v>13.14</v>
      </c>
      <c r="N1959" s="1">
        <v>251.41</v>
      </c>
      <c r="O1959" s="6" t="s">
        <v>22</v>
      </c>
      <c r="P1959" s="8">
        <f>Table1[Quantity]*Table1[Unit_Price]</f>
        <v>755.86</v>
      </c>
      <c r="Q1959" s="1">
        <f>Table1[Profit]/Table1[Total_Sales]</f>
        <v>0.35011906917152918</v>
      </c>
      <c r="R1959" s="14">
        <f>Table1[Total_Sales]+Table1[Shipping_Cost]</f>
        <v>731.21</v>
      </c>
    </row>
    <row r="1960" spans="1:18" x14ac:dyDescent="0.35">
      <c r="A1960" s="3" t="s">
        <v>3556</v>
      </c>
      <c r="B1960" s="2">
        <v>46000</v>
      </c>
      <c r="C1960" s="1" t="s">
        <v>567</v>
      </c>
      <c r="D1960" s="1" t="s">
        <v>30</v>
      </c>
      <c r="E1960" s="1" t="s">
        <v>25</v>
      </c>
      <c r="F1960" s="1" t="s">
        <v>26</v>
      </c>
      <c r="G1960" s="1" t="s">
        <v>20</v>
      </c>
      <c r="H1960" s="1" t="s">
        <v>175</v>
      </c>
      <c r="I1960" s="1">
        <v>1</v>
      </c>
      <c r="J1960" s="1">
        <v>45.07</v>
      </c>
      <c r="K1960" s="1">
        <v>5</v>
      </c>
      <c r="L1960" s="1">
        <v>42.82</v>
      </c>
      <c r="M1960" s="1">
        <v>9.42</v>
      </c>
      <c r="N1960" s="1">
        <v>8.61</v>
      </c>
      <c r="O1960" s="6" t="s">
        <v>22</v>
      </c>
      <c r="P1960" s="8">
        <f>Table1[Quantity]*Table1[Unit_Price]</f>
        <v>45.07</v>
      </c>
      <c r="Q1960" s="1">
        <f>Table1[Profit]/Table1[Total_Sales]</f>
        <v>0.20107426436244744</v>
      </c>
      <c r="R1960" s="14">
        <f>Table1[Total_Sales]+Table1[Shipping_Cost]</f>
        <v>52.24</v>
      </c>
    </row>
    <row r="1961" spans="1:18" x14ac:dyDescent="0.35">
      <c r="A1961" s="3" t="s">
        <v>3557</v>
      </c>
      <c r="B1961" s="2">
        <v>46001</v>
      </c>
      <c r="C1961" s="1" t="s">
        <v>3558</v>
      </c>
      <c r="D1961" s="1" t="s">
        <v>17</v>
      </c>
      <c r="E1961" s="1" t="s">
        <v>138</v>
      </c>
      <c r="F1961" s="1" t="s">
        <v>54</v>
      </c>
      <c r="G1961" s="1" t="s">
        <v>20</v>
      </c>
      <c r="H1961" s="1" t="s">
        <v>122</v>
      </c>
      <c r="I1961" s="1">
        <v>1</v>
      </c>
      <c r="J1961" s="1">
        <v>87.05</v>
      </c>
      <c r="K1961" s="1">
        <v>25</v>
      </c>
      <c r="L1961" s="1">
        <v>65.290000000000006</v>
      </c>
      <c r="M1961" s="1">
        <v>12.28</v>
      </c>
      <c r="N1961" s="1">
        <v>5.13</v>
      </c>
      <c r="O1961" s="6" t="s">
        <v>34</v>
      </c>
      <c r="P1961" s="8">
        <f>Table1[Quantity]*Table1[Unit_Price]</f>
        <v>87.05</v>
      </c>
      <c r="Q1961" s="1">
        <f>Table1[Profit]/Table1[Total_Sales]</f>
        <v>7.8572522591514773E-2</v>
      </c>
      <c r="R1961" s="14">
        <f>Table1[Total_Sales]+Table1[Shipping_Cost]</f>
        <v>77.570000000000007</v>
      </c>
    </row>
    <row r="1962" spans="1:18" x14ac:dyDescent="0.35">
      <c r="A1962" s="3" t="s">
        <v>3559</v>
      </c>
      <c r="B1962" s="2">
        <v>46001</v>
      </c>
      <c r="C1962" s="1" t="s">
        <v>665</v>
      </c>
      <c r="D1962" s="1" t="s">
        <v>17</v>
      </c>
      <c r="E1962" s="1" t="s">
        <v>169</v>
      </c>
      <c r="F1962" s="1" t="s">
        <v>68</v>
      </c>
      <c r="G1962" s="1" t="s">
        <v>42</v>
      </c>
      <c r="H1962" s="1" t="s">
        <v>46</v>
      </c>
      <c r="I1962" s="1">
        <v>3</v>
      </c>
      <c r="J1962" s="1">
        <v>194.57</v>
      </c>
      <c r="K1962" s="1">
        <v>0</v>
      </c>
      <c r="L1962" s="1">
        <v>583.71</v>
      </c>
      <c r="M1962" s="1">
        <v>13.8</v>
      </c>
      <c r="N1962" s="1">
        <v>219.68</v>
      </c>
      <c r="O1962" s="6" t="s">
        <v>34</v>
      </c>
      <c r="P1962" s="8">
        <f>Table1[Quantity]*Table1[Unit_Price]</f>
        <v>583.71</v>
      </c>
      <c r="Q1962" s="1">
        <f>Table1[Profit]/Table1[Total_Sales]</f>
        <v>0.37635127032259169</v>
      </c>
      <c r="R1962" s="14">
        <f>Table1[Total_Sales]+Table1[Shipping_Cost]</f>
        <v>597.51</v>
      </c>
    </row>
    <row r="1963" spans="1:18" x14ac:dyDescent="0.35">
      <c r="A1963" s="3" t="s">
        <v>3560</v>
      </c>
      <c r="B1963" s="2">
        <v>46002</v>
      </c>
      <c r="C1963" s="1" t="s">
        <v>3561</v>
      </c>
      <c r="D1963" s="1" t="s">
        <v>49</v>
      </c>
      <c r="E1963" s="1" t="s">
        <v>135</v>
      </c>
      <c r="F1963" s="1" t="s">
        <v>26</v>
      </c>
      <c r="G1963" s="1" t="s">
        <v>42</v>
      </c>
      <c r="H1963" s="1" t="s">
        <v>89</v>
      </c>
      <c r="I1963" s="1">
        <v>1</v>
      </c>
      <c r="J1963" s="1">
        <v>416.05</v>
      </c>
      <c r="K1963" s="1">
        <v>20</v>
      </c>
      <c r="L1963" s="1">
        <v>332.84</v>
      </c>
      <c r="M1963" s="1">
        <v>8.18</v>
      </c>
      <c r="N1963" s="1">
        <v>75.03</v>
      </c>
      <c r="O1963" s="6" t="s">
        <v>34</v>
      </c>
      <c r="P1963" s="8">
        <f>Table1[Quantity]*Table1[Unit_Price]</f>
        <v>416.05</v>
      </c>
      <c r="Q1963" s="1">
        <f>Table1[Profit]/Table1[Total_Sales]</f>
        <v>0.22542362696791254</v>
      </c>
      <c r="R1963" s="14">
        <f>Table1[Total_Sales]+Table1[Shipping_Cost]</f>
        <v>341.02</v>
      </c>
    </row>
    <row r="1964" spans="1:18" x14ac:dyDescent="0.35">
      <c r="A1964" s="3" t="s">
        <v>3562</v>
      </c>
      <c r="B1964" s="2">
        <v>46002</v>
      </c>
      <c r="C1964" s="1" t="s">
        <v>3563</v>
      </c>
      <c r="D1964" s="1" t="s">
        <v>17</v>
      </c>
      <c r="E1964" s="1" t="s">
        <v>31</v>
      </c>
      <c r="F1964" s="1" t="s">
        <v>19</v>
      </c>
      <c r="G1964" s="1" t="s">
        <v>20</v>
      </c>
      <c r="H1964" s="1" t="s">
        <v>199</v>
      </c>
      <c r="I1964" s="1">
        <v>1</v>
      </c>
      <c r="J1964" s="1">
        <v>98.02</v>
      </c>
      <c r="K1964" s="1">
        <v>25</v>
      </c>
      <c r="L1964" s="1">
        <v>73.52</v>
      </c>
      <c r="M1964" s="1">
        <v>6.56</v>
      </c>
      <c r="N1964" s="1">
        <v>13.05</v>
      </c>
      <c r="O1964" s="6" t="s">
        <v>34</v>
      </c>
      <c r="P1964" s="8">
        <f>Table1[Quantity]*Table1[Unit_Price]</f>
        <v>98.02</v>
      </c>
      <c r="Q1964" s="1">
        <f>Table1[Profit]/Table1[Total_Sales]</f>
        <v>0.17750272034820458</v>
      </c>
      <c r="R1964" s="14">
        <f>Table1[Total_Sales]+Table1[Shipping_Cost]</f>
        <v>80.08</v>
      </c>
    </row>
    <row r="1965" spans="1:18" x14ac:dyDescent="0.35">
      <c r="A1965" s="3" t="s">
        <v>3564</v>
      </c>
      <c r="B1965" s="2">
        <v>46003</v>
      </c>
      <c r="C1965" s="1" t="s">
        <v>3565</v>
      </c>
      <c r="D1965" s="1" t="s">
        <v>30</v>
      </c>
      <c r="E1965" s="1" t="s">
        <v>85</v>
      </c>
      <c r="F1965" s="1" t="s">
        <v>60</v>
      </c>
      <c r="G1965" s="1" t="s">
        <v>42</v>
      </c>
      <c r="H1965" s="1" t="s">
        <v>255</v>
      </c>
      <c r="I1965" s="1">
        <v>3</v>
      </c>
      <c r="J1965" s="1">
        <v>18.510000000000002</v>
      </c>
      <c r="K1965" s="1">
        <v>0</v>
      </c>
      <c r="L1965" s="1">
        <v>55.53</v>
      </c>
      <c r="M1965" s="1">
        <v>13.79</v>
      </c>
      <c r="N1965" s="1">
        <v>8.42</v>
      </c>
      <c r="O1965" s="6" t="s">
        <v>39</v>
      </c>
      <c r="P1965" s="8">
        <f>Table1[Quantity]*Table1[Unit_Price]</f>
        <v>55.53</v>
      </c>
      <c r="Q1965" s="1">
        <f>Table1[Profit]/Table1[Total_Sales]</f>
        <v>0.15162974968485504</v>
      </c>
      <c r="R1965" s="14">
        <f>Table1[Total_Sales]+Table1[Shipping_Cost]</f>
        <v>69.319999999999993</v>
      </c>
    </row>
    <row r="1966" spans="1:18" x14ac:dyDescent="0.35">
      <c r="A1966" s="3" t="s">
        <v>3566</v>
      </c>
      <c r="B1966" s="2">
        <v>46005</v>
      </c>
      <c r="C1966" s="1" t="s">
        <v>3567</v>
      </c>
      <c r="D1966" s="1" t="s">
        <v>30</v>
      </c>
      <c r="E1966" s="1" t="s">
        <v>31</v>
      </c>
      <c r="F1966" s="1" t="s">
        <v>19</v>
      </c>
      <c r="G1966" s="1" t="s">
        <v>32</v>
      </c>
      <c r="H1966" s="1" t="s">
        <v>101</v>
      </c>
      <c r="I1966" s="1">
        <v>7</v>
      </c>
      <c r="J1966" s="1">
        <v>12.44</v>
      </c>
      <c r="K1966" s="1">
        <v>20</v>
      </c>
      <c r="L1966" s="1">
        <v>69.66</v>
      </c>
      <c r="M1966" s="1">
        <v>16.3</v>
      </c>
      <c r="N1966" s="1">
        <v>14.17</v>
      </c>
      <c r="O1966" s="6" t="s">
        <v>22</v>
      </c>
      <c r="P1966" s="8">
        <f>Table1[Quantity]*Table1[Unit_Price]</f>
        <v>87.08</v>
      </c>
      <c r="Q1966" s="1">
        <f>Table1[Profit]/Table1[Total_Sales]</f>
        <v>0.20341659488946312</v>
      </c>
      <c r="R1966" s="14">
        <f>Table1[Total_Sales]+Table1[Shipping_Cost]</f>
        <v>85.96</v>
      </c>
    </row>
    <row r="1967" spans="1:18" x14ac:dyDescent="0.35">
      <c r="A1967" s="3" t="s">
        <v>3568</v>
      </c>
      <c r="B1967" s="2">
        <v>46006</v>
      </c>
      <c r="C1967" s="1" t="s">
        <v>1356</v>
      </c>
      <c r="D1967" s="1" t="s">
        <v>30</v>
      </c>
      <c r="E1967" s="1" t="s">
        <v>92</v>
      </c>
      <c r="F1967" s="1" t="s">
        <v>60</v>
      </c>
      <c r="G1967" s="1" t="s">
        <v>32</v>
      </c>
      <c r="H1967" s="1" t="s">
        <v>50</v>
      </c>
      <c r="I1967" s="1">
        <v>12</v>
      </c>
      <c r="J1967" s="1">
        <v>11.75</v>
      </c>
      <c r="K1967" s="1">
        <v>0</v>
      </c>
      <c r="L1967" s="1">
        <v>141</v>
      </c>
      <c r="M1967" s="1">
        <v>19.91</v>
      </c>
      <c r="N1967" s="1">
        <v>57.64</v>
      </c>
      <c r="O1967" s="6" t="s">
        <v>22</v>
      </c>
      <c r="P1967" s="8">
        <f>Table1[Quantity]*Table1[Unit_Price]</f>
        <v>141</v>
      </c>
      <c r="Q1967" s="1">
        <f>Table1[Profit]/Table1[Total_Sales]</f>
        <v>0.40879432624113476</v>
      </c>
      <c r="R1967" s="14">
        <f>Table1[Total_Sales]+Table1[Shipping_Cost]</f>
        <v>160.91</v>
      </c>
    </row>
    <row r="1968" spans="1:18" x14ac:dyDescent="0.35">
      <c r="A1968" s="3" t="s">
        <v>3569</v>
      </c>
      <c r="B1968" s="2">
        <v>46006</v>
      </c>
      <c r="C1968" s="1" t="s">
        <v>481</v>
      </c>
      <c r="D1968" s="1" t="s">
        <v>30</v>
      </c>
      <c r="E1968" s="1" t="s">
        <v>138</v>
      </c>
      <c r="F1968" s="1" t="s">
        <v>54</v>
      </c>
      <c r="G1968" s="1" t="s">
        <v>42</v>
      </c>
      <c r="H1968" s="1" t="s">
        <v>371</v>
      </c>
      <c r="I1968" s="1">
        <v>3</v>
      </c>
      <c r="J1968" s="1">
        <v>242.14</v>
      </c>
      <c r="K1968" s="1">
        <v>15</v>
      </c>
      <c r="L1968" s="1">
        <v>617.46</v>
      </c>
      <c r="M1968" s="1">
        <v>15.04</v>
      </c>
      <c r="N1968" s="1">
        <v>166.57</v>
      </c>
      <c r="O1968" s="6" t="s">
        <v>56</v>
      </c>
      <c r="P1968" s="8">
        <f>Table1[Quantity]*Table1[Unit_Price]</f>
        <v>726.42</v>
      </c>
      <c r="Q1968" s="1">
        <f>Table1[Profit]/Table1[Total_Sales]</f>
        <v>0.26976646260486509</v>
      </c>
      <c r="R1968" s="14">
        <f>Table1[Total_Sales]+Table1[Shipping_Cost]</f>
        <v>632.5</v>
      </c>
    </row>
    <row r="1969" spans="1:18" x14ac:dyDescent="0.35">
      <c r="A1969" s="3" t="s">
        <v>3570</v>
      </c>
      <c r="B1969" s="2">
        <v>46006</v>
      </c>
      <c r="C1969" s="1" t="s">
        <v>3571</v>
      </c>
      <c r="D1969" s="1" t="s">
        <v>49</v>
      </c>
      <c r="E1969" s="1" t="s">
        <v>31</v>
      </c>
      <c r="F1969" s="1" t="s">
        <v>19</v>
      </c>
      <c r="G1969" s="1" t="s">
        <v>32</v>
      </c>
      <c r="H1969" s="1" t="s">
        <v>110</v>
      </c>
      <c r="I1969" s="1">
        <v>1</v>
      </c>
      <c r="J1969" s="1">
        <v>9.32</v>
      </c>
      <c r="K1969" s="1">
        <v>0</v>
      </c>
      <c r="L1969" s="1">
        <v>9.32</v>
      </c>
      <c r="M1969" s="1">
        <v>6.23</v>
      </c>
      <c r="N1969" s="1">
        <v>-1.1000000000000001</v>
      </c>
      <c r="O1969" s="6" t="s">
        <v>22</v>
      </c>
      <c r="P1969" s="8">
        <f>Table1[Quantity]*Table1[Unit_Price]</f>
        <v>9.32</v>
      </c>
      <c r="Q1969" s="1">
        <f>Table1[Profit]/Table1[Total_Sales]</f>
        <v>-0.11802575107296139</v>
      </c>
      <c r="R1969" s="14">
        <f>Table1[Total_Sales]+Table1[Shipping_Cost]</f>
        <v>15.55</v>
      </c>
    </row>
    <row r="1970" spans="1:18" x14ac:dyDescent="0.35">
      <c r="A1970" s="3" t="s">
        <v>3572</v>
      </c>
      <c r="B1970" s="2">
        <v>46007</v>
      </c>
      <c r="C1970" s="1" t="s">
        <v>3573</v>
      </c>
      <c r="D1970" s="1" t="s">
        <v>17</v>
      </c>
      <c r="E1970" s="1" t="s">
        <v>135</v>
      </c>
      <c r="F1970" s="1" t="s">
        <v>26</v>
      </c>
      <c r="G1970" s="1" t="s">
        <v>32</v>
      </c>
      <c r="H1970" s="1" t="s">
        <v>73</v>
      </c>
      <c r="I1970" s="1">
        <v>4</v>
      </c>
      <c r="J1970" s="1">
        <v>6.29</v>
      </c>
      <c r="K1970" s="1">
        <v>10</v>
      </c>
      <c r="L1970" s="1">
        <v>22.64</v>
      </c>
      <c r="M1970" s="1">
        <v>14.16</v>
      </c>
      <c r="N1970" s="1">
        <v>-2.84</v>
      </c>
      <c r="O1970" s="6" t="s">
        <v>34</v>
      </c>
      <c r="P1970" s="8">
        <f>Table1[Quantity]*Table1[Unit_Price]</f>
        <v>25.16</v>
      </c>
      <c r="Q1970" s="1">
        <f>Table1[Profit]/Table1[Total_Sales]</f>
        <v>-0.12544169611307421</v>
      </c>
      <c r="R1970" s="14">
        <f>Table1[Total_Sales]+Table1[Shipping_Cost]</f>
        <v>36.799999999999997</v>
      </c>
    </row>
    <row r="1971" spans="1:18" x14ac:dyDescent="0.35">
      <c r="A1971" s="3" t="s">
        <v>3574</v>
      </c>
      <c r="B1971" s="2">
        <v>46007</v>
      </c>
      <c r="C1971" s="1" t="s">
        <v>678</v>
      </c>
      <c r="D1971" s="1" t="s">
        <v>30</v>
      </c>
      <c r="E1971" s="1" t="s">
        <v>92</v>
      </c>
      <c r="F1971" s="1" t="s">
        <v>60</v>
      </c>
      <c r="G1971" s="1" t="s">
        <v>32</v>
      </c>
      <c r="H1971" s="1" t="s">
        <v>33</v>
      </c>
      <c r="I1971" s="1">
        <v>2</v>
      </c>
      <c r="J1971" s="1">
        <v>14.78</v>
      </c>
      <c r="K1971" s="1">
        <v>0</v>
      </c>
      <c r="L1971" s="1">
        <v>29.56</v>
      </c>
      <c r="M1971" s="1">
        <v>12.49</v>
      </c>
      <c r="N1971" s="1">
        <v>3.77</v>
      </c>
      <c r="O1971" s="6" t="s">
        <v>34</v>
      </c>
      <c r="P1971" s="8">
        <f>Table1[Quantity]*Table1[Unit_Price]</f>
        <v>29.56</v>
      </c>
      <c r="Q1971" s="1">
        <f>Table1[Profit]/Table1[Total_Sales]</f>
        <v>0.12753721244925575</v>
      </c>
      <c r="R1971" s="14">
        <f>Table1[Total_Sales]+Table1[Shipping_Cost]</f>
        <v>42.05</v>
      </c>
    </row>
    <row r="1972" spans="1:18" x14ac:dyDescent="0.35">
      <c r="A1972" s="3" t="s">
        <v>3575</v>
      </c>
      <c r="B1972" s="2">
        <v>46007</v>
      </c>
      <c r="C1972" s="1" t="s">
        <v>3576</v>
      </c>
      <c r="D1972" s="1" t="s">
        <v>17</v>
      </c>
      <c r="E1972" s="1" t="s">
        <v>148</v>
      </c>
      <c r="F1972" s="1" t="s">
        <v>60</v>
      </c>
      <c r="G1972" s="1" t="s">
        <v>42</v>
      </c>
      <c r="H1972" s="1" t="s">
        <v>46</v>
      </c>
      <c r="I1972" s="1">
        <v>5</v>
      </c>
      <c r="J1972" s="1">
        <v>183.87</v>
      </c>
      <c r="K1972" s="1">
        <v>10</v>
      </c>
      <c r="L1972" s="1">
        <v>827.42</v>
      </c>
      <c r="M1972" s="1">
        <v>14.56</v>
      </c>
      <c r="N1972" s="1">
        <v>261.25</v>
      </c>
      <c r="O1972" s="6" t="s">
        <v>22</v>
      </c>
      <c r="P1972" s="8">
        <f>Table1[Quantity]*Table1[Unit_Price]</f>
        <v>919.35</v>
      </c>
      <c r="Q1972" s="1">
        <f>Table1[Profit]/Table1[Total_Sales]</f>
        <v>0.31574049454932201</v>
      </c>
      <c r="R1972" s="14">
        <f>Table1[Total_Sales]+Table1[Shipping_Cost]</f>
        <v>841.9799999999999</v>
      </c>
    </row>
    <row r="1973" spans="1:18" x14ac:dyDescent="0.35">
      <c r="A1973" s="3" t="s">
        <v>3577</v>
      </c>
      <c r="B1973" s="2">
        <v>46008</v>
      </c>
      <c r="C1973" s="1" t="s">
        <v>3578</v>
      </c>
      <c r="D1973" s="1" t="s">
        <v>30</v>
      </c>
      <c r="E1973" s="1" t="s">
        <v>25</v>
      </c>
      <c r="F1973" s="1" t="s">
        <v>26</v>
      </c>
      <c r="G1973" s="1" t="s">
        <v>20</v>
      </c>
      <c r="H1973" s="1" t="s">
        <v>175</v>
      </c>
      <c r="I1973" s="1">
        <v>1</v>
      </c>
      <c r="J1973" s="1">
        <v>52.93</v>
      </c>
      <c r="K1973" s="1">
        <v>0</v>
      </c>
      <c r="L1973" s="1">
        <v>52.93</v>
      </c>
      <c r="M1973" s="1">
        <v>8.1300000000000008</v>
      </c>
      <c r="N1973" s="1">
        <v>15.69</v>
      </c>
      <c r="O1973" s="6" t="s">
        <v>34</v>
      </c>
      <c r="P1973" s="8">
        <f>Table1[Quantity]*Table1[Unit_Price]</f>
        <v>52.93</v>
      </c>
      <c r="Q1973" s="1">
        <f>Table1[Profit]/Table1[Total_Sales]</f>
        <v>0.29642924617419231</v>
      </c>
      <c r="R1973" s="14">
        <f>Table1[Total_Sales]+Table1[Shipping_Cost]</f>
        <v>61.06</v>
      </c>
    </row>
    <row r="1974" spans="1:18" x14ac:dyDescent="0.35">
      <c r="A1974" s="3" t="s">
        <v>3579</v>
      </c>
      <c r="B1974" s="2">
        <v>46008</v>
      </c>
      <c r="C1974" s="1" t="s">
        <v>3580</v>
      </c>
      <c r="D1974" s="1" t="s">
        <v>30</v>
      </c>
      <c r="E1974" s="1" t="s">
        <v>53</v>
      </c>
      <c r="F1974" s="1" t="s">
        <v>54</v>
      </c>
      <c r="G1974" s="1" t="s">
        <v>20</v>
      </c>
      <c r="H1974" s="1" t="s">
        <v>199</v>
      </c>
      <c r="I1974" s="1">
        <v>5</v>
      </c>
      <c r="J1974" s="1">
        <v>68.790000000000006</v>
      </c>
      <c r="K1974" s="1">
        <v>0</v>
      </c>
      <c r="L1974" s="1">
        <v>343.95</v>
      </c>
      <c r="M1974" s="1">
        <v>20.77</v>
      </c>
      <c r="N1974" s="1">
        <v>134.01</v>
      </c>
      <c r="O1974" s="6" t="s">
        <v>22</v>
      </c>
      <c r="P1974" s="8">
        <f>Table1[Quantity]*Table1[Unit_Price]</f>
        <v>343.95000000000005</v>
      </c>
      <c r="Q1974" s="1">
        <f>Table1[Profit]/Table1[Total_Sales]</f>
        <v>0.3896205843872656</v>
      </c>
      <c r="R1974" s="14">
        <f>Table1[Total_Sales]+Table1[Shipping_Cost]</f>
        <v>364.71999999999997</v>
      </c>
    </row>
    <row r="1975" spans="1:18" x14ac:dyDescent="0.35">
      <c r="A1975" s="3" t="s">
        <v>3581</v>
      </c>
      <c r="B1975" s="2">
        <v>46009</v>
      </c>
      <c r="C1975" s="1" t="s">
        <v>3582</v>
      </c>
      <c r="D1975" s="1" t="s">
        <v>49</v>
      </c>
      <c r="E1975" s="1" t="s">
        <v>18</v>
      </c>
      <c r="F1975" s="1" t="s">
        <v>19</v>
      </c>
      <c r="G1975" s="1" t="s">
        <v>20</v>
      </c>
      <c r="H1975" s="1" t="s">
        <v>170</v>
      </c>
      <c r="I1975" s="1">
        <v>10</v>
      </c>
      <c r="J1975" s="1">
        <v>26.45</v>
      </c>
      <c r="K1975" s="1">
        <v>0</v>
      </c>
      <c r="L1975" s="1">
        <v>264.5</v>
      </c>
      <c r="M1975" s="1">
        <v>23.7</v>
      </c>
      <c r="N1975" s="1">
        <v>95.32</v>
      </c>
      <c r="O1975" s="6" t="s">
        <v>39</v>
      </c>
      <c r="P1975" s="8">
        <f>Table1[Quantity]*Table1[Unit_Price]</f>
        <v>264.5</v>
      </c>
      <c r="Q1975" s="1">
        <f>Table1[Profit]/Table1[Total_Sales]</f>
        <v>0.36037807183364839</v>
      </c>
      <c r="R1975" s="14">
        <f>Table1[Total_Sales]+Table1[Shipping_Cost]</f>
        <v>288.2</v>
      </c>
    </row>
    <row r="1976" spans="1:18" x14ac:dyDescent="0.35">
      <c r="A1976" s="3" t="s">
        <v>3583</v>
      </c>
      <c r="B1976" s="2">
        <v>46010</v>
      </c>
      <c r="C1976" s="1" t="s">
        <v>3584</v>
      </c>
      <c r="D1976" s="1" t="s">
        <v>17</v>
      </c>
      <c r="E1976" s="1" t="s">
        <v>129</v>
      </c>
      <c r="F1976" s="1" t="s">
        <v>19</v>
      </c>
      <c r="G1976" s="1" t="s">
        <v>69</v>
      </c>
      <c r="H1976" s="1" t="s">
        <v>163</v>
      </c>
      <c r="I1976" s="1">
        <v>3</v>
      </c>
      <c r="J1976" s="1">
        <v>54.8</v>
      </c>
      <c r="K1976" s="1">
        <v>10</v>
      </c>
      <c r="L1976" s="1">
        <v>147.96</v>
      </c>
      <c r="M1976" s="1">
        <v>10.130000000000001</v>
      </c>
      <c r="N1976" s="1">
        <v>55.63</v>
      </c>
      <c r="O1976" s="6" t="s">
        <v>56</v>
      </c>
      <c r="P1976" s="8">
        <f>Table1[Quantity]*Table1[Unit_Price]</f>
        <v>164.39999999999998</v>
      </c>
      <c r="Q1976" s="1">
        <f>Table1[Profit]/Table1[Total_Sales]</f>
        <v>0.37597999459313325</v>
      </c>
      <c r="R1976" s="14">
        <f>Table1[Total_Sales]+Table1[Shipping_Cost]</f>
        <v>158.09</v>
      </c>
    </row>
    <row r="1977" spans="1:18" x14ac:dyDescent="0.35">
      <c r="A1977" s="3" t="s">
        <v>3585</v>
      </c>
      <c r="B1977" s="2">
        <v>46010</v>
      </c>
      <c r="C1977" s="1" t="s">
        <v>3586</v>
      </c>
      <c r="D1977" s="1" t="s">
        <v>30</v>
      </c>
      <c r="E1977" s="1" t="s">
        <v>37</v>
      </c>
      <c r="F1977" s="1" t="s">
        <v>26</v>
      </c>
      <c r="G1977" s="1" t="s">
        <v>42</v>
      </c>
      <c r="H1977" s="1" t="s">
        <v>64</v>
      </c>
      <c r="I1977" s="1">
        <v>2</v>
      </c>
      <c r="J1977" s="1">
        <v>46.63</v>
      </c>
      <c r="K1977" s="1">
        <v>5</v>
      </c>
      <c r="L1977" s="1">
        <v>88.6</v>
      </c>
      <c r="M1977" s="1">
        <v>11.27</v>
      </c>
      <c r="N1977" s="1">
        <v>21.37</v>
      </c>
      <c r="O1977" s="6" t="s">
        <v>22</v>
      </c>
      <c r="P1977" s="8">
        <f>Table1[Quantity]*Table1[Unit_Price]</f>
        <v>93.26</v>
      </c>
      <c r="Q1977" s="1">
        <f>Table1[Profit]/Table1[Total_Sales]</f>
        <v>0.24119638826185105</v>
      </c>
      <c r="R1977" s="14">
        <f>Table1[Total_Sales]+Table1[Shipping_Cost]</f>
        <v>99.86999999999999</v>
      </c>
    </row>
    <row r="1978" spans="1:18" x14ac:dyDescent="0.35">
      <c r="A1978" s="3" t="s">
        <v>3587</v>
      </c>
      <c r="B1978" s="2">
        <v>46012</v>
      </c>
      <c r="C1978" s="1" t="s">
        <v>1131</v>
      </c>
      <c r="D1978" s="1" t="s">
        <v>49</v>
      </c>
      <c r="E1978" s="1" t="s">
        <v>37</v>
      </c>
      <c r="F1978" s="1" t="s">
        <v>26</v>
      </c>
      <c r="G1978" s="1" t="s">
        <v>20</v>
      </c>
      <c r="H1978" s="1" t="s">
        <v>21</v>
      </c>
      <c r="I1978" s="1">
        <v>1</v>
      </c>
      <c r="J1978" s="1">
        <v>223.52</v>
      </c>
      <c r="K1978" s="1">
        <v>20</v>
      </c>
      <c r="L1978" s="1">
        <v>178.82</v>
      </c>
      <c r="M1978" s="1">
        <v>8.19</v>
      </c>
      <c r="N1978" s="1">
        <v>47.69</v>
      </c>
      <c r="O1978" s="6" t="s">
        <v>22</v>
      </c>
      <c r="P1978" s="8">
        <f>Table1[Quantity]*Table1[Unit_Price]</f>
        <v>223.52</v>
      </c>
      <c r="Q1978" s="1">
        <f>Table1[Profit]/Table1[Total_Sales]</f>
        <v>0.26669276367296724</v>
      </c>
      <c r="R1978" s="14">
        <f>Table1[Total_Sales]+Table1[Shipping_Cost]</f>
        <v>187.01</v>
      </c>
    </row>
    <row r="1979" spans="1:18" x14ac:dyDescent="0.35">
      <c r="A1979" s="3" t="s">
        <v>3588</v>
      </c>
      <c r="B1979" s="2">
        <v>46012</v>
      </c>
      <c r="C1979" s="1" t="s">
        <v>3589</v>
      </c>
      <c r="D1979" s="1" t="s">
        <v>30</v>
      </c>
      <c r="E1979" s="1" t="s">
        <v>31</v>
      </c>
      <c r="F1979" s="1" t="s">
        <v>19</v>
      </c>
      <c r="G1979" s="1" t="s">
        <v>69</v>
      </c>
      <c r="H1979" s="1" t="s">
        <v>70</v>
      </c>
      <c r="I1979" s="1">
        <v>1</v>
      </c>
      <c r="J1979" s="1">
        <v>63.87</v>
      </c>
      <c r="K1979" s="1">
        <v>20</v>
      </c>
      <c r="L1979" s="1">
        <v>51.1</v>
      </c>
      <c r="M1979" s="1">
        <v>6.15</v>
      </c>
      <c r="N1979" s="1">
        <v>13.02</v>
      </c>
      <c r="O1979" s="6" t="s">
        <v>39</v>
      </c>
      <c r="P1979" s="8">
        <f>Table1[Quantity]*Table1[Unit_Price]</f>
        <v>63.87</v>
      </c>
      <c r="Q1979" s="1">
        <f>Table1[Profit]/Table1[Total_Sales]</f>
        <v>0.25479452054794521</v>
      </c>
      <c r="R1979" s="14">
        <f>Table1[Total_Sales]+Table1[Shipping_Cost]</f>
        <v>57.25</v>
      </c>
    </row>
    <row r="1980" spans="1:18" x14ac:dyDescent="0.35">
      <c r="A1980" s="3" t="s">
        <v>3590</v>
      </c>
      <c r="B1980" s="2">
        <v>46013</v>
      </c>
      <c r="C1980" s="1" t="s">
        <v>1317</v>
      </c>
      <c r="D1980" s="1" t="s">
        <v>17</v>
      </c>
      <c r="E1980" s="1" t="s">
        <v>85</v>
      </c>
      <c r="F1980" s="1" t="s">
        <v>60</v>
      </c>
      <c r="G1980" s="1" t="s">
        <v>20</v>
      </c>
      <c r="H1980" s="1" t="s">
        <v>199</v>
      </c>
      <c r="I1980" s="1">
        <v>2</v>
      </c>
      <c r="J1980" s="1">
        <v>130.38999999999999</v>
      </c>
      <c r="K1980" s="1">
        <v>15</v>
      </c>
      <c r="L1980" s="1">
        <v>221.66</v>
      </c>
      <c r="M1980" s="1">
        <v>10.61</v>
      </c>
      <c r="N1980" s="1">
        <v>67.62</v>
      </c>
      <c r="O1980" s="6" t="s">
        <v>39</v>
      </c>
      <c r="P1980" s="8">
        <f>Table1[Quantity]*Table1[Unit_Price]</f>
        <v>260.77999999999997</v>
      </c>
      <c r="Q1980" s="1">
        <f>Table1[Profit]/Table1[Total_Sales]</f>
        <v>0.30506180637011643</v>
      </c>
      <c r="R1980" s="14">
        <f>Table1[Total_Sales]+Table1[Shipping_Cost]</f>
        <v>232.26999999999998</v>
      </c>
    </row>
    <row r="1981" spans="1:18" x14ac:dyDescent="0.35">
      <c r="A1981" s="3" t="s">
        <v>3591</v>
      </c>
      <c r="B1981" s="2">
        <v>46013</v>
      </c>
      <c r="C1981" s="1" t="s">
        <v>3592</v>
      </c>
      <c r="D1981" s="1" t="s">
        <v>30</v>
      </c>
      <c r="E1981" s="1" t="s">
        <v>63</v>
      </c>
      <c r="F1981" s="1" t="s">
        <v>54</v>
      </c>
      <c r="G1981" s="1" t="s">
        <v>20</v>
      </c>
      <c r="H1981" s="1" t="s">
        <v>122</v>
      </c>
      <c r="I1981" s="1">
        <v>1</v>
      </c>
      <c r="J1981" s="1">
        <v>85.33</v>
      </c>
      <c r="K1981" s="1">
        <v>0</v>
      </c>
      <c r="L1981" s="1">
        <v>85.33</v>
      </c>
      <c r="M1981" s="1">
        <v>12.49</v>
      </c>
      <c r="N1981" s="1">
        <v>25.91</v>
      </c>
      <c r="O1981" s="6" t="s">
        <v>22</v>
      </c>
      <c r="P1981" s="8">
        <f>Table1[Quantity]*Table1[Unit_Price]</f>
        <v>85.33</v>
      </c>
      <c r="Q1981" s="1">
        <f>Table1[Profit]/Table1[Total_Sales]</f>
        <v>0.30364467362006331</v>
      </c>
      <c r="R1981" s="14">
        <f>Table1[Total_Sales]+Table1[Shipping_Cost]</f>
        <v>97.82</v>
      </c>
    </row>
    <row r="1982" spans="1:18" x14ac:dyDescent="0.35">
      <c r="A1982" s="3" t="s">
        <v>3593</v>
      </c>
      <c r="B1982" s="2">
        <v>46014</v>
      </c>
      <c r="C1982" s="1" t="s">
        <v>3166</v>
      </c>
      <c r="D1982" s="1" t="s">
        <v>30</v>
      </c>
      <c r="E1982" s="1" t="s">
        <v>248</v>
      </c>
      <c r="F1982" s="1" t="s">
        <v>26</v>
      </c>
      <c r="G1982" s="1" t="s">
        <v>42</v>
      </c>
      <c r="H1982" s="1" t="s">
        <v>234</v>
      </c>
      <c r="I1982" s="1">
        <v>2</v>
      </c>
      <c r="J1982" s="1">
        <v>70.680000000000007</v>
      </c>
      <c r="K1982" s="1">
        <v>15</v>
      </c>
      <c r="L1982" s="1">
        <v>120.16</v>
      </c>
      <c r="M1982" s="1">
        <v>9.93</v>
      </c>
      <c r="N1982" s="1">
        <v>25.41</v>
      </c>
      <c r="O1982" s="6" t="s">
        <v>56</v>
      </c>
      <c r="P1982" s="8">
        <f>Table1[Quantity]*Table1[Unit_Price]</f>
        <v>141.36000000000001</v>
      </c>
      <c r="Q1982" s="1">
        <f>Table1[Profit]/Table1[Total_Sales]</f>
        <v>0.21146804260985352</v>
      </c>
      <c r="R1982" s="14">
        <f>Table1[Total_Sales]+Table1[Shipping_Cost]</f>
        <v>130.09</v>
      </c>
    </row>
    <row r="1983" spans="1:18" x14ac:dyDescent="0.35">
      <c r="A1983" s="3" t="s">
        <v>3594</v>
      </c>
      <c r="B1983" s="2">
        <v>46014</v>
      </c>
      <c r="C1983" s="1" t="s">
        <v>3595</v>
      </c>
      <c r="D1983" s="1" t="s">
        <v>30</v>
      </c>
      <c r="E1983" s="1" t="s">
        <v>248</v>
      </c>
      <c r="F1983" s="1" t="s">
        <v>26</v>
      </c>
      <c r="G1983" s="1" t="s">
        <v>69</v>
      </c>
      <c r="H1983" s="1" t="s">
        <v>86</v>
      </c>
      <c r="I1983" s="1">
        <v>5</v>
      </c>
      <c r="J1983" s="1">
        <v>55.45</v>
      </c>
      <c r="K1983" s="1">
        <v>15</v>
      </c>
      <c r="L1983" s="1">
        <v>235.66</v>
      </c>
      <c r="M1983" s="1">
        <v>16.489999999999998</v>
      </c>
      <c r="N1983" s="1">
        <v>80.55</v>
      </c>
      <c r="O1983" s="6" t="s">
        <v>56</v>
      </c>
      <c r="P1983" s="8">
        <f>Table1[Quantity]*Table1[Unit_Price]</f>
        <v>277.25</v>
      </c>
      <c r="Q1983" s="1">
        <f>Table1[Profit]/Table1[Total_Sales]</f>
        <v>0.34180599168293302</v>
      </c>
      <c r="R1983" s="14">
        <f>Table1[Total_Sales]+Table1[Shipping_Cost]</f>
        <v>252.15</v>
      </c>
    </row>
    <row r="1984" spans="1:18" x14ac:dyDescent="0.35">
      <c r="A1984" s="3" t="s">
        <v>3596</v>
      </c>
      <c r="B1984" s="2">
        <v>46014</v>
      </c>
      <c r="C1984" s="1" t="s">
        <v>3597</v>
      </c>
      <c r="D1984" s="1" t="s">
        <v>30</v>
      </c>
      <c r="E1984" s="1" t="s">
        <v>129</v>
      </c>
      <c r="F1984" s="1" t="s">
        <v>19</v>
      </c>
      <c r="G1984" s="1" t="s">
        <v>32</v>
      </c>
      <c r="H1984" s="1" t="s">
        <v>149</v>
      </c>
      <c r="I1984" s="1">
        <v>2</v>
      </c>
      <c r="J1984" s="1">
        <v>9.4499999999999993</v>
      </c>
      <c r="K1984" s="1">
        <v>15</v>
      </c>
      <c r="L1984" s="1">
        <v>16.059999999999999</v>
      </c>
      <c r="M1984" s="1">
        <v>9.31</v>
      </c>
      <c r="N1984" s="1">
        <v>-1.76</v>
      </c>
      <c r="O1984" s="6" t="s">
        <v>39</v>
      </c>
      <c r="P1984" s="8">
        <f>Table1[Quantity]*Table1[Unit_Price]</f>
        <v>18.899999999999999</v>
      </c>
      <c r="Q1984" s="1">
        <f>Table1[Profit]/Table1[Total_Sales]</f>
        <v>-0.10958904109589042</v>
      </c>
      <c r="R1984" s="14">
        <f>Table1[Total_Sales]+Table1[Shipping_Cost]</f>
        <v>25.369999999999997</v>
      </c>
    </row>
    <row r="1985" spans="1:18" x14ac:dyDescent="0.35">
      <c r="A1985" s="3" t="s">
        <v>3598</v>
      </c>
      <c r="B1985" s="2">
        <v>46015</v>
      </c>
      <c r="C1985" s="1" t="s">
        <v>3599</v>
      </c>
      <c r="D1985" s="1" t="s">
        <v>49</v>
      </c>
      <c r="E1985" s="1" t="s">
        <v>166</v>
      </c>
      <c r="F1985" s="1" t="s">
        <v>60</v>
      </c>
      <c r="G1985" s="1" t="s">
        <v>20</v>
      </c>
      <c r="H1985" s="1" t="s">
        <v>27</v>
      </c>
      <c r="I1985" s="1">
        <v>1</v>
      </c>
      <c r="J1985" s="1">
        <v>83.9</v>
      </c>
      <c r="K1985" s="1">
        <v>15</v>
      </c>
      <c r="L1985" s="1">
        <v>71.31</v>
      </c>
      <c r="M1985" s="1">
        <v>11.12</v>
      </c>
      <c r="N1985" s="1">
        <v>14.04</v>
      </c>
      <c r="O1985" s="6" t="s">
        <v>34</v>
      </c>
      <c r="P1985" s="8">
        <f>Table1[Quantity]*Table1[Unit_Price]</f>
        <v>83.9</v>
      </c>
      <c r="Q1985" s="1">
        <f>Table1[Profit]/Table1[Total_Sales]</f>
        <v>0.19688683214135463</v>
      </c>
      <c r="R1985" s="14">
        <f>Table1[Total_Sales]+Table1[Shipping_Cost]</f>
        <v>82.43</v>
      </c>
    </row>
    <row r="1986" spans="1:18" x14ac:dyDescent="0.35">
      <c r="A1986" s="3" t="s">
        <v>3600</v>
      </c>
      <c r="B1986" s="2">
        <v>46015</v>
      </c>
      <c r="C1986" s="1" t="s">
        <v>3601</v>
      </c>
      <c r="D1986" s="1" t="s">
        <v>30</v>
      </c>
      <c r="E1986" s="1" t="s">
        <v>53</v>
      </c>
      <c r="F1986" s="1" t="s">
        <v>54</v>
      </c>
      <c r="G1986" s="1" t="s">
        <v>69</v>
      </c>
      <c r="H1986" s="1" t="s">
        <v>160</v>
      </c>
      <c r="I1986" s="1">
        <v>4</v>
      </c>
      <c r="J1986" s="1">
        <v>30.28</v>
      </c>
      <c r="K1986" s="1">
        <v>0</v>
      </c>
      <c r="L1986" s="1">
        <v>121.12</v>
      </c>
      <c r="M1986" s="1">
        <v>16.89</v>
      </c>
      <c r="N1986" s="1">
        <v>43.67</v>
      </c>
      <c r="O1986" s="6" t="s">
        <v>34</v>
      </c>
      <c r="P1986" s="8">
        <f>Table1[Quantity]*Table1[Unit_Price]</f>
        <v>121.12</v>
      </c>
      <c r="Q1986" s="1">
        <f>Table1[Profit]/Table1[Total_Sales]</f>
        <v>0.36055151915455746</v>
      </c>
      <c r="R1986" s="14">
        <f>Table1[Total_Sales]+Table1[Shipping_Cost]</f>
        <v>138.01</v>
      </c>
    </row>
    <row r="1987" spans="1:18" x14ac:dyDescent="0.35">
      <c r="A1987" s="3" t="s">
        <v>3602</v>
      </c>
      <c r="B1987" s="2">
        <v>46016</v>
      </c>
      <c r="C1987" s="1" t="s">
        <v>2076</v>
      </c>
      <c r="D1987" s="1" t="s">
        <v>30</v>
      </c>
      <c r="E1987" s="1" t="s">
        <v>109</v>
      </c>
      <c r="F1987" s="1" t="s">
        <v>54</v>
      </c>
      <c r="G1987" s="1" t="s">
        <v>20</v>
      </c>
      <c r="H1987" s="1" t="s">
        <v>21</v>
      </c>
      <c r="I1987" s="1">
        <v>1</v>
      </c>
      <c r="J1987" s="1">
        <v>101.37</v>
      </c>
      <c r="K1987" s="1">
        <v>15</v>
      </c>
      <c r="L1987" s="1">
        <v>86.16</v>
      </c>
      <c r="M1987" s="1">
        <v>13.18</v>
      </c>
      <c r="N1987" s="1">
        <v>17.23</v>
      </c>
      <c r="O1987" s="6" t="s">
        <v>39</v>
      </c>
      <c r="P1987" s="8">
        <f>Table1[Quantity]*Table1[Unit_Price]</f>
        <v>101.37</v>
      </c>
      <c r="Q1987" s="1">
        <f>Table1[Profit]/Table1[Total_Sales]</f>
        <v>0.19997678737233057</v>
      </c>
      <c r="R1987" s="14">
        <f>Table1[Total_Sales]+Table1[Shipping_Cost]</f>
        <v>99.34</v>
      </c>
    </row>
    <row r="1988" spans="1:18" x14ac:dyDescent="0.35">
      <c r="A1988" s="3" t="s">
        <v>3603</v>
      </c>
      <c r="B1988" s="2">
        <v>46016</v>
      </c>
      <c r="C1988" s="1" t="s">
        <v>3604</v>
      </c>
      <c r="D1988" s="1" t="s">
        <v>49</v>
      </c>
      <c r="E1988" s="1" t="s">
        <v>148</v>
      </c>
      <c r="F1988" s="1" t="s">
        <v>60</v>
      </c>
      <c r="G1988" s="1" t="s">
        <v>69</v>
      </c>
      <c r="H1988" s="1" t="s">
        <v>79</v>
      </c>
      <c r="I1988" s="1">
        <v>5</v>
      </c>
      <c r="J1988" s="1">
        <v>88.14</v>
      </c>
      <c r="K1988" s="1">
        <v>10</v>
      </c>
      <c r="L1988" s="1">
        <v>396.63</v>
      </c>
      <c r="M1988" s="1">
        <v>15.38</v>
      </c>
      <c r="N1988" s="1">
        <v>160.9</v>
      </c>
      <c r="O1988" s="6" t="s">
        <v>39</v>
      </c>
      <c r="P1988" s="8">
        <f>Table1[Quantity]*Table1[Unit_Price]</f>
        <v>440.7</v>
      </c>
      <c r="Q1988" s="1">
        <f>Table1[Profit]/Table1[Total_Sales]</f>
        <v>0.40566775080049416</v>
      </c>
      <c r="R1988" s="14">
        <f>Table1[Total_Sales]+Table1[Shipping_Cost]</f>
        <v>412.01</v>
      </c>
    </row>
    <row r="1989" spans="1:18" x14ac:dyDescent="0.35">
      <c r="A1989" s="3" t="s">
        <v>3605</v>
      </c>
      <c r="B1989" s="2">
        <v>46018</v>
      </c>
      <c r="C1989" s="1" t="s">
        <v>669</v>
      </c>
      <c r="D1989" s="1" t="s">
        <v>49</v>
      </c>
      <c r="E1989" s="1" t="s">
        <v>31</v>
      </c>
      <c r="F1989" s="1" t="s">
        <v>19</v>
      </c>
      <c r="G1989" s="1" t="s">
        <v>32</v>
      </c>
      <c r="H1989" s="1" t="s">
        <v>82</v>
      </c>
      <c r="I1989" s="1">
        <v>1</v>
      </c>
      <c r="J1989" s="1">
        <v>23.01</v>
      </c>
      <c r="K1989" s="1">
        <v>5</v>
      </c>
      <c r="L1989" s="1">
        <v>21.86</v>
      </c>
      <c r="M1989" s="1">
        <v>6.85</v>
      </c>
      <c r="N1989" s="1">
        <v>4.66</v>
      </c>
      <c r="O1989" s="6" t="s">
        <v>39</v>
      </c>
      <c r="P1989" s="8">
        <f>Table1[Quantity]*Table1[Unit_Price]</f>
        <v>23.01</v>
      </c>
      <c r="Q1989" s="1">
        <f>Table1[Profit]/Table1[Total_Sales]</f>
        <v>0.2131747483989021</v>
      </c>
      <c r="R1989" s="14">
        <f>Table1[Total_Sales]+Table1[Shipping_Cost]</f>
        <v>28.71</v>
      </c>
    </row>
    <row r="1990" spans="1:18" x14ac:dyDescent="0.35">
      <c r="A1990" s="3" t="s">
        <v>3606</v>
      </c>
      <c r="B1990" s="2">
        <v>46019</v>
      </c>
      <c r="C1990" s="1" t="s">
        <v>3607</v>
      </c>
      <c r="D1990" s="1" t="s">
        <v>30</v>
      </c>
      <c r="E1990" s="1" t="s">
        <v>135</v>
      </c>
      <c r="F1990" s="1" t="s">
        <v>26</v>
      </c>
      <c r="G1990" s="1" t="s">
        <v>20</v>
      </c>
      <c r="H1990" s="1" t="s">
        <v>264</v>
      </c>
      <c r="I1990" s="1">
        <v>1</v>
      </c>
      <c r="J1990" s="1">
        <v>48.39</v>
      </c>
      <c r="K1990" s="1">
        <v>15</v>
      </c>
      <c r="L1990" s="1">
        <v>41.13</v>
      </c>
      <c r="M1990" s="1">
        <v>8.9</v>
      </c>
      <c r="N1990" s="1">
        <v>5.62</v>
      </c>
      <c r="O1990" s="6" t="s">
        <v>34</v>
      </c>
      <c r="P1990" s="8">
        <f>Table1[Quantity]*Table1[Unit_Price]</f>
        <v>48.39</v>
      </c>
      <c r="Q1990" s="1">
        <f>Table1[Profit]/Table1[Total_Sales]</f>
        <v>0.13663992219790908</v>
      </c>
      <c r="R1990" s="14">
        <f>Table1[Total_Sales]+Table1[Shipping_Cost]</f>
        <v>50.03</v>
      </c>
    </row>
    <row r="1991" spans="1:18" x14ac:dyDescent="0.35">
      <c r="A1991" s="3" t="s">
        <v>3608</v>
      </c>
      <c r="B1991" s="2">
        <v>46019</v>
      </c>
      <c r="C1991" s="1" t="s">
        <v>2446</v>
      </c>
      <c r="D1991" s="1" t="s">
        <v>30</v>
      </c>
      <c r="E1991" s="1" t="s">
        <v>169</v>
      </c>
      <c r="F1991" s="1" t="s">
        <v>68</v>
      </c>
      <c r="G1991" s="1" t="s">
        <v>69</v>
      </c>
      <c r="H1991" s="1" t="s">
        <v>86</v>
      </c>
      <c r="I1991" s="1">
        <v>1</v>
      </c>
      <c r="J1991" s="1">
        <v>77.11</v>
      </c>
      <c r="K1991" s="1">
        <v>5</v>
      </c>
      <c r="L1991" s="1">
        <v>73.25</v>
      </c>
      <c r="M1991" s="1">
        <v>12.16</v>
      </c>
      <c r="N1991" s="1">
        <v>22.54</v>
      </c>
      <c r="O1991" s="6" t="s">
        <v>39</v>
      </c>
      <c r="P1991" s="8">
        <f>Table1[Quantity]*Table1[Unit_Price]</f>
        <v>77.11</v>
      </c>
      <c r="Q1991" s="1">
        <f>Table1[Profit]/Table1[Total_Sales]</f>
        <v>0.30771331058020479</v>
      </c>
      <c r="R1991" s="14">
        <f>Table1[Total_Sales]+Table1[Shipping_Cost]</f>
        <v>85.41</v>
      </c>
    </row>
    <row r="1992" spans="1:18" x14ac:dyDescent="0.35">
      <c r="A1992" s="3" t="s">
        <v>3609</v>
      </c>
      <c r="B1992" s="2">
        <v>46020</v>
      </c>
      <c r="C1992" s="1" t="s">
        <v>3610</v>
      </c>
      <c r="D1992" s="1" t="s">
        <v>30</v>
      </c>
      <c r="E1992" s="1" t="s">
        <v>135</v>
      </c>
      <c r="F1992" s="1" t="s">
        <v>26</v>
      </c>
      <c r="G1992" s="1" t="s">
        <v>69</v>
      </c>
      <c r="H1992" s="1" t="s">
        <v>70</v>
      </c>
      <c r="I1992" s="1">
        <v>7</v>
      </c>
      <c r="J1992" s="1">
        <v>61.68</v>
      </c>
      <c r="K1992" s="1">
        <v>10</v>
      </c>
      <c r="L1992" s="1">
        <v>388.58</v>
      </c>
      <c r="M1992" s="1">
        <v>24.46</v>
      </c>
      <c r="N1992" s="1">
        <v>148.24</v>
      </c>
      <c r="O1992" s="6" t="s">
        <v>56</v>
      </c>
      <c r="P1992" s="8">
        <f>Table1[Quantity]*Table1[Unit_Price]</f>
        <v>431.76</v>
      </c>
      <c r="Q1992" s="1">
        <f>Table1[Profit]/Table1[Total_Sales]</f>
        <v>0.38149158474445422</v>
      </c>
      <c r="R1992" s="14">
        <f>Table1[Total_Sales]+Table1[Shipping_Cost]</f>
        <v>413.03999999999996</v>
      </c>
    </row>
    <row r="1993" spans="1:18" x14ac:dyDescent="0.35">
      <c r="A1993" s="3" t="s">
        <v>3611</v>
      </c>
      <c r="B1993" s="2">
        <v>46020</v>
      </c>
      <c r="C1993" s="1" t="s">
        <v>1022</v>
      </c>
      <c r="D1993" s="1" t="s">
        <v>30</v>
      </c>
      <c r="E1993" s="1" t="s">
        <v>121</v>
      </c>
      <c r="F1993" s="1" t="s">
        <v>68</v>
      </c>
      <c r="G1993" s="1" t="s">
        <v>42</v>
      </c>
      <c r="H1993" s="1" t="s">
        <v>64</v>
      </c>
      <c r="I1993" s="1">
        <v>2</v>
      </c>
      <c r="J1993" s="1">
        <v>84.14</v>
      </c>
      <c r="K1993" s="1">
        <v>20</v>
      </c>
      <c r="L1993" s="1">
        <v>134.62</v>
      </c>
      <c r="M1993" s="1">
        <v>14.99</v>
      </c>
      <c r="N1993" s="1">
        <v>18.66</v>
      </c>
      <c r="O1993" s="6" t="s">
        <v>39</v>
      </c>
      <c r="P1993" s="8">
        <f>Table1[Quantity]*Table1[Unit_Price]</f>
        <v>168.28</v>
      </c>
      <c r="Q1993" s="1">
        <f>Table1[Profit]/Table1[Total_Sales]</f>
        <v>0.13861239043232804</v>
      </c>
      <c r="R1993" s="14">
        <f>Table1[Total_Sales]+Table1[Shipping_Cost]</f>
        <v>149.61000000000001</v>
      </c>
    </row>
    <row r="1994" spans="1:18" x14ac:dyDescent="0.35">
      <c r="A1994" s="3" t="s">
        <v>3612</v>
      </c>
      <c r="B1994" s="2">
        <v>46021</v>
      </c>
      <c r="C1994" s="1" t="s">
        <v>3613</v>
      </c>
      <c r="D1994" s="1" t="s">
        <v>49</v>
      </c>
      <c r="E1994" s="1" t="s">
        <v>37</v>
      </c>
      <c r="F1994" s="1" t="s">
        <v>26</v>
      </c>
      <c r="G1994" s="1" t="s">
        <v>42</v>
      </c>
      <c r="H1994" s="1" t="s">
        <v>294</v>
      </c>
      <c r="I1994" s="1">
        <v>5</v>
      </c>
      <c r="J1994" s="1">
        <v>204.17</v>
      </c>
      <c r="K1994" s="1">
        <v>5</v>
      </c>
      <c r="L1994" s="1">
        <v>969.81</v>
      </c>
      <c r="M1994" s="1">
        <v>18.46</v>
      </c>
      <c r="N1994" s="1">
        <v>338.84</v>
      </c>
      <c r="O1994" s="6" t="s">
        <v>39</v>
      </c>
      <c r="P1994" s="8">
        <f>Table1[Quantity]*Table1[Unit_Price]</f>
        <v>1020.8499999999999</v>
      </c>
      <c r="Q1994" s="1">
        <f>Table1[Profit]/Table1[Total_Sales]</f>
        <v>0.34938802445839906</v>
      </c>
      <c r="R1994" s="14">
        <f>Table1[Total_Sales]+Table1[Shipping_Cost]</f>
        <v>988.27</v>
      </c>
    </row>
    <row r="1995" spans="1:18" x14ac:dyDescent="0.35">
      <c r="A1995" s="3" t="s">
        <v>3614</v>
      </c>
      <c r="B1995" s="2">
        <v>46021</v>
      </c>
      <c r="C1995" s="1" t="s">
        <v>1509</v>
      </c>
      <c r="D1995" s="1" t="s">
        <v>30</v>
      </c>
      <c r="E1995" s="1" t="s">
        <v>92</v>
      </c>
      <c r="F1995" s="1" t="s">
        <v>60</v>
      </c>
      <c r="G1995" s="1" t="s">
        <v>32</v>
      </c>
      <c r="H1995" s="1" t="s">
        <v>132</v>
      </c>
      <c r="I1995" s="1">
        <v>1</v>
      </c>
      <c r="J1995" s="1">
        <v>15.08</v>
      </c>
      <c r="K1995" s="1">
        <v>10</v>
      </c>
      <c r="L1995" s="1">
        <v>13.57</v>
      </c>
      <c r="M1995" s="1">
        <v>11.07</v>
      </c>
      <c r="N1995" s="1">
        <v>-4.29</v>
      </c>
      <c r="O1995" s="6" t="s">
        <v>39</v>
      </c>
      <c r="P1995" s="8">
        <f>Table1[Quantity]*Table1[Unit_Price]</f>
        <v>15.08</v>
      </c>
      <c r="Q1995" s="1">
        <f>Table1[Profit]/Table1[Total_Sales]</f>
        <v>-0.31613854089904198</v>
      </c>
      <c r="R1995" s="14">
        <f>Table1[Total_Sales]+Table1[Shipping_Cost]</f>
        <v>24.64</v>
      </c>
    </row>
    <row r="1996" spans="1:18" x14ac:dyDescent="0.35">
      <c r="A1996" s="3" t="s">
        <v>3615</v>
      </c>
      <c r="B1996" s="2">
        <v>46021</v>
      </c>
      <c r="C1996" s="1" t="s">
        <v>3616</v>
      </c>
      <c r="D1996" s="1" t="s">
        <v>30</v>
      </c>
      <c r="E1996" s="1" t="s">
        <v>166</v>
      </c>
      <c r="F1996" s="1" t="s">
        <v>60</v>
      </c>
      <c r="G1996" s="1" t="s">
        <v>42</v>
      </c>
      <c r="H1996" s="1" t="s">
        <v>371</v>
      </c>
      <c r="I1996" s="1">
        <v>1</v>
      </c>
      <c r="J1996" s="1">
        <v>177.9</v>
      </c>
      <c r="K1996" s="1">
        <v>10</v>
      </c>
      <c r="L1996" s="1">
        <v>160.11000000000001</v>
      </c>
      <c r="M1996" s="1">
        <v>10.23</v>
      </c>
      <c r="N1996" s="1">
        <v>43.14</v>
      </c>
      <c r="O1996" s="6" t="s">
        <v>39</v>
      </c>
      <c r="P1996" s="8">
        <f>Table1[Quantity]*Table1[Unit_Price]</f>
        <v>177.9</v>
      </c>
      <c r="Q1996" s="1">
        <f>Table1[Profit]/Table1[Total_Sales]</f>
        <v>0.26943976016488663</v>
      </c>
      <c r="R1996" s="14">
        <f>Table1[Total_Sales]+Table1[Shipping_Cost]</f>
        <v>170.34</v>
      </c>
    </row>
    <row r="1997" spans="1:18" x14ac:dyDescent="0.35">
      <c r="A1997" s="3" t="s">
        <v>3617</v>
      </c>
      <c r="B1997" s="2">
        <v>46022</v>
      </c>
      <c r="C1997" s="1" t="s">
        <v>3618</v>
      </c>
      <c r="D1997" s="1" t="s">
        <v>30</v>
      </c>
      <c r="E1997" s="1" t="s">
        <v>248</v>
      </c>
      <c r="F1997" s="1" t="s">
        <v>26</v>
      </c>
      <c r="G1997" s="1" t="s">
        <v>42</v>
      </c>
      <c r="H1997" s="1" t="s">
        <v>64</v>
      </c>
      <c r="I1997" s="1">
        <v>5</v>
      </c>
      <c r="J1997" s="1">
        <v>104.73</v>
      </c>
      <c r="K1997" s="1">
        <v>0</v>
      </c>
      <c r="L1997" s="1">
        <v>523.65</v>
      </c>
      <c r="M1997" s="1">
        <v>19.100000000000001</v>
      </c>
      <c r="N1997" s="1">
        <v>190.36</v>
      </c>
      <c r="O1997" s="6" t="s">
        <v>39</v>
      </c>
      <c r="P1997" s="8">
        <f>Table1[Quantity]*Table1[Unit_Price]</f>
        <v>523.65</v>
      </c>
      <c r="Q1997" s="1">
        <f>Table1[Profit]/Table1[Total_Sales]</f>
        <v>0.36352525541869574</v>
      </c>
      <c r="R1997" s="14">
        <f>Table1[Total_Sales]+Table1[Shipping_Cost]</f>
        <v>542.75</v>
      </c>
    </row>
    <row r="1998" spans="1:18" x14ac:dyDescent="0.35">
      <c r="A1998" s="3" t="s">
        <v>3619</v>
      </c>
      <c r="B1998" s="2">
        <v>46022</v>
      </c>
      <c r="C1998" s="1" t="s">
        <v>3620</v>
      </c>
      <c r="D1998" s="1" t="s">
        <v>30</v>
      </c>
      <c r="E1998" s="1" t="s">
        <v>248</v>
      </c>
      <c r="F1998" s="1" t="s">
        <v>26</v>
      </c>
      <c r="G1998" s="1" t="s">
        <v>69</v>
      </c>
      <c r="H1998" s="1" t="s">
        <v>163</v>
      </c>
      <c r="I1998" s="1">
        <v>11</v>
      </c>
      <c r="J1998" s="1">
        <v>59.27</v>
      </c>
      <c r="K1998" s="1">
        <v>5</v>
      </c>
      <c r="L1998" s="1">
        <v>619.37</v>
      </c>
      <c r="M1998" s="1">
        <v>20.94</v>
      </c>
      <c r="N1998" s="1">
        <v>272.44</v>
      </c>
      <c r="O1998" s="6" t="s">
        <v>39</v>
      </c>
      <c r="P1998" s="8">
        <f>Table1[Quantity]*Table1[Unit_Price]</f>
        <v>651.97</v>
      </c>
      <c r="Q1998" s="1">
        <f>Table1[Profit]/Table1[Total_Sales]</f>
        <v>0.43986631577247848</v>
      </c>
      <c r="R1998" s="14">
        <f>Table1[Total_Sales]+Table1[Shipping_Cost]</f>
        <v>640.31000000000006</v>
      </c>
    </row>
    <row r="1999" spans="1:18" x14ac:dyDescent="0.35">
      <c r="A1999" s="3" t="s">
        <v>3621</v>
      </c>
      <c r="B1999" s="2">
        <v>46022</v>
      </c>
      <c r="C1999" s="1" t="s">
        <v>873</v>
      </c>
      <c r="D1999" s="1" t="s">
        <v>30</v>
      </c>
      <c r="E1999" s="1" t="s">
        <v>25</v>
      </c>
      <c r="F1999" s="1" t="s">
        <v>26</v>
      </c>
      <c r="G1999" s="1" t="s">
        <v>20</v>
      </c>
      <c r="H1999" s="1" t="s">
        <v>38</v>
      </c>
      <c r="I1999" s="1">
        <v>6</v>
      </c>
      <c r="J1999" s="1">
        <v>31.79</v>
      </c>
      <c r="K1999" s="1">
        <v>15</v>
      </c>
      <c r="L1999" s="1">
        <v>162.13</v>
      </c>
      <c r="M1999" s="1">
        <v>15.19</v>
      </c>
      <c r="N1999" s="1">
        <v>42.03</v>
      </c>
      <c r="O1999" s="6" t="s">
        <v>56</v>
      </c>
      <c r="P1999" s="8">
        <f>Table1[Quantity]*Table1[Unit_Price]</f>
        <v>190.74</v>
      </c>
      <c r="Q1999" s="1">
        <f>Table1[Profit]/Table1[Total_Sales]</f>
        <v>0.25923641522235247</v>
      </c>
      <c r="R1999" s="14">
        <f>Table1[Total_Sales]+Table1[Shipping_Cost]</f>
        <v>177.32</v>
      </c>
    </row>
    <row r="2000" spans="1:18" x14ac:dyDescent="0.35">
      <c r="A2000" s="3" t="s">
        <v>3622</v>
      </c>
      <c r="B2000" s="2">
        <v>46022</v>
      </c>
      <c r="C2000" s="1" t="s">
        <v>2426</v>
      </c>
      <c r="D2000" s="1" t="s">
        <v>49</v>
      </c>
      <c r="E2000" s="1" t="s">
        <v>25</v>
      </c>
      <c r="F2000" s="1" t="s">
        <v>26</v>
      </c>
      <c r="G2000" s="1" t="s">
        <v>69</v>
      </c>
      <c r="H2000" s="1" t="s">
        <v>196</v>
      </c>
      <c r="I2000" s="1">
        <v>5</v>
      </c>
      <c r="J2000" s="1">
        <v>9.5</v>
      </c>
      <c r="K2000" s="1">
        <v>5</v>
      </c>
      <c r="L2000" s="1">
        <v>45.12</v>
      </c>
      <c r="M2000" s="1">
        <v>14.25</v>
      </c>
      <c r="N2000" s="1">
        <v>7.12</v>
      </c>
      <c r="O2000" s="6" t="s">
        <v>34</v>
      </c>
      <c r="P2000" s="8">
        <f>Table1[Quantity]*Table1[Unit_Price]</f>
        <v>47.5</v>
      </c>
      <c r="Q2000" s="1">
        <f>Table1[Profit]/Table1[Total_Sales]</f>
        <v>0.15780141843971632</v>
      </c>
      <c r="R2000" s="14">
        <f>Table1[Total_Sales]+Table1[Shipping_Cost]</f>
        <v>59.37</v>
      </c>
    </row>
    <row r="2001" spans="1:18" x14ac:dyDescent="0.35">
      <c r="A2001" s="10" t="s">
        <v>3623</v>
      </c>
      <c r="B2001" s="11">
        <v>46022</v>
      </c>
      <c r="C2001" s="12" t="s">
        <v>3624</v>
      </c>
      <c r="D2001" s="12" t="s">
        <v>49</v>
      </c>
      <c r="E2001" s="12" t="s">
        <v>148</v>
      </c>
      <c r="F2001" s="12" t="s">
        <v>60</v>
      </c>
      <c r="G2001" s="12" t="s">
        <v>69</v>
      </c>
      <c r="H2001" s="12" t="s">
        <v>196</v>
      </c>
      <c r="I2001" s="12">
        <v>11</v>
      </c>
      <c r="J2001" s="12">
        <v>28.27</v>
      </c>
      <c r="K2001" s="12">
        <v>0</v>
      </c>
      <c r="L2001" s="12">
        <v>310.97000000000003</v>
      </c>
      <c r="M2001" s="12">
        <v>36.229999999999997</v>
      </c>
      <c r="N2001" s="12">
        <v>119.26</v>
      </c>
      <c r="O2001" s="13" t="s">
        <v>34</v>
      </c>
      <c r="P2001" s="8">
        <f>Table1[Quantity]*Table1[Unit_Price]</f>
        <v>310.96999999999997</v>
      </c>
      <c r="Q2001" s="12">
        <f>Table1[Profit]/Table1[Total_Sales]</f>
        <v>0.38350966331157343</v>
      </c>
      <c r="R2001" s="14">
        <f>Table1[Total_Sales]+Table1[Shipping_Cost]</f>
        <v>347.20000000000005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opLeftCell="A2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6.6328125" bestFit="1" customWidth="1"/>
  </cols>
  <sheetData>
    <row r="1" spans="1:2" ht="18.5" hidden="1" x14ac:dyDescent="0.35">
      <c r="A1" s="25"/>
      <c r="B1" s="25"/>
    </row>
    <row r="3" spans="1:2" x14ac:dyDescent="0.35">
      <c r="A3" s="15" t="s">
        <v>3628</v>
      </c>
      <c r="B3" t="s">
        <v>3630</v>
      </c>
    </row>
    <row r="4" spans="1:2" x14ac:dyDescent="0.35">
      <c r="A4" s="16" t="s">
        <v>30</v>
      </c>
      <c r="B4" s="17">
        <v>256287.74</v>
      </c>
    </row>
    <row r="5" spans="1:2" x14ac:dyDescent="0.35">
      <c r="A5" s="16" t="s">
        <v>17</v>
      </c>
      <c r="B5" s="17">
        <v>146050.38999999996</v>
      </c>
    </row>
    <row r="6" spans="1:2" x14ac:dyDescent="0.35">
      <c r="A6" s="16" t="s">
        <v>49</v>
      </c>
      <c r="B6" s="17">
        <v>82221.209999999977</v>
      </c>
    </row>
    <row r="7" spans="1:2" x14ac:dyDescent="0.35">
      <c r="A7" s="16" t="s">
        <v>3629</v>
      </c>
      <c r="B7" s="17">
        <v>484559.33999999991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>
      <selection activeCell="A2" sqref="A2"/>
    </sheetView>
  </sheetViews>
  <sheetFormatPr defaultRowHeight="14.5" x14ac:dyDescent="0.35"/>
  <cols>
    <col min="1" max="1" width="17.81640625" bestFit="1" customWidth="1"/>
    <col min="2" max="2" width="16.6328125" bestFit="1" customWidth="1"/>
  </cols>
  <sheetData>
    <row r="2" spans="1:2" x14ac:dyDescent="0.35">
      <c r="A2" s="15" t="s">
        <v>3628</v>
      </c>
      <c r="B2" t="s">
        <v>3630</v>
      </c>
    </row>
    <row r="3" spans="1:2" x14ac:dyDescent="0.35">
      <c r="A3" s="16" t="s">
        <v>26</v>
      </c>
      <c r="B3" s="17">
        <v>137006.19999999998</v>
      </c>
    </row>
    <row r="4" spans="1:2" x14ac:dyDescent="0.35">
      <c r="A4" s="16" t="s">
        <v>19</v>
      </c>
      <c r="B4" s="17">
        <v>133876.37999999986</v>
      </c>
    </row>
    <row r="5" spans="1:2" x14ac:dyDescent="0.35">
      <c r="A5" s="16" t="s">
        <v>60</v>
      </c>
      <c r="B5" s="17">
        <v>121707.51000000013</v>
      </c>
    </row>
    <row r="6" spans="1:2" x14ac:dyDescent="0.35">
      <c r="A6" s="16" t="s">
        <v>68</v>
      </c>
      <c r="B6" s="17">
        <v>46051.12999999999</v>
      </c>
    </row>
    <row r="7" spans="1:2" x14ac:dyDescent="0.35">
      <c r="A7" s="16" t="s">
        <v>54</v>
      </c>
      <c r="B7" s="17">
        <v>45918.119999999988</v>
      </c>
    </row>
    <row r="8" spans="1:2" x14ac:dyDescent="0.35">
      <c r="A8" s="16" t="s">
        <v>3629</v>
      </c>
      <c r="B8" s="17">
        <v>484559.33999999997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2" sqref="A2"/>
    </sheetView>
  </sheetViews>
  <sheetFormatPr defaultRowHeight="14.5" x14ac:dyDescent="0.35"/>
  <cols>
    <col min="1" max="1" width="19.6328125" bestFit="1" customWidth="1"/>
    <col min="2" max="2" width="11.81640625" bestFit="1" customWidth="1"/>
  </cols>
  <sheetData>
    <row r="2" spans="1:2" x14ac:dyDescent="0.35">
      <c r="A2" s="15" t="s">
        <v>3628</v>
      </c>
      <c r="B2" t="s">
        <v>3631</v>
      </c>
    </row>
    <row r="3" spans="1:2" x14ac:dyDescent="0.35">
      <c r="A3" s="16" t="s">
        <v>42</v>
      </c>
      <c r="B3" s="17">
        <v>81171.570000000051</v>
      </c>
    </row>
    <row r="4" spans="1:2" x14ac:dyDescent="0.35">
      <c r="A4" s="16" t="s">
        <v>20</v>
      </c>
      <c r="B4" s="17">
        <v>48268.650000000038</v>
      </c>
    </row>
    <row r="5" spans="1:2" x14ac:dyDescent="0.35">
      <c r="A5" s="16" t="s">
        <v>69</v>
      </c>
      <c r="B5" s="17">
        <v>26112.940000000006</v>
      </c>
    </row>
    <row r="6" spans="1:2" x14ac:dyDescent="0.35">
      <c r="A6" s="16" t="s">
        <v>32</v>
      </c>
      <c r="B6" s="17">
        <v>3319.1599999999953</v>
      </c>
    </row>
    <row r="7" spans="1:2" x14ac:dyDescent="0.35">
      <c r="A7" s="16" t="s">
        <v>3629</v>
      </c>
      <c r="B7" s="17">
        <v>158872.32000000007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4"/>
  <sheetViews>
    <sheetView workbookViewId="0">
      <selection activeCell="A37" sqref="A37"/>
    </sheetView>
  </sheetViews>
  <sheetFormatPr defaultRowHeight="14.5" x14ac:dyDescent="0.35"/>
  <cols>
    <col min="1" max="1" width="12.36328125" bestFit="1" customWidth="1"/>
    <col min="2" max="2" width="11.81640625" customWidth="1"/>
  </cols>
  <sheetData>
    <row r="2" spans="1:2" x14ac:dyDescent="0.35">
      <c r="A2" s="15" t="s">
        <v>3628</v>
      </c>
      <c r="B2" t="s">
        <v>3631</v>
      </c>
    </row>
    <row r="3" spans="1:2" x14ac:dyDescent="0.35">
      <c r="A3" s="16" t="s">
        <v>3632</v>
      </c>
      <c r="B3" s="17"/>
    </row>
    <row r="4" spans="1:2" x14ac:dyDescent="0.35">
      <c r="A4" s="18" t="s">
        <v>3633</v>
      </c>
      <c r="B4" s="17"/>
    </row>
    <row r="5" spans="1:2" x14ac:dyDescent="0.35">
      <c r="A5" s="19" t="s">
        <v>3634</v>
      </c>
      <c r="B5" s="17">
        <v>3573.0100000000007</v>
      </c>
    </row>
    <row r="6" spans="1:2" x14ac:dyDescent="0.35">
      <c r="A6" s="19" t="s">
        <v>3635</v>
      </c>
      <c r="B6" s="17">
        <v>5980.0600000000022</v>
      </c>
    </row>
    <row r="7" spans="1:2" x14ac:dyDescent="0.35">
      <c r="A7" s="19" t="s">
        <v>3636</v>
      </c>
      <c r="B7" s="17">
        <v>5718.77</v>
      </c>
    </row>
    <row r="8" spans="1:2" x14ac:dyDescent="0.35">
      <c r="A8" s="18" t="s">
        <v>3637</v>
      </c>
      <c r="B8" s="17"/>
    </row>
    <row r="9" spans="1:2" x14ac:dyDescent="0.35">
      <c r="A9" s="19" t="s">
        <v>3638</v>
      </c>
      <c r="B9" s="17">
        <v>3994.2500000000009</v>
      </c>
    </row>
    <row r="10" spans="1:2" x14ac:dyDescent="0.35">
      <c r="A10" s="19" t="s">
        <v>3639</v>
      </c>
      <c r="B10" s="17">
        <v>2591.8599999999997</v>
      </c>
    </row>
    <row r="11" spans="1:2" x14ac:dyDescent="0.35">
      <c r="A11" s="19" t="s">
        <v>3640</v>
      </c>
      <c r="B11" s="17">
        <v>5240.3400000000011</v>
      </c>
    </row>
    <row r="12" spans="1:2" x14ac:dyDescent="0.35">
      <c r="A12" s="18" t="s">
        <v>3641</v>
      </c>
      <c r="B12" s="17"/>
    </row>
    <row r="13" spans="1:2" x14ac:dyDescent="0.35">
      <c r="A13" s="19" t="s">
        <v>3642</v>
      </c>
      <c r="B13" s="17">
        <v>5195.9700000000021</v>
      </c>
    </row>
    <row r="14" spans="1:2" x14ac:dyDescent="0.35">
      <c r="A14" s="19" t="s">
        <v>3643</v>
      </c>
      <c r="B14" s="17">
        <v>4216.3200000000024</v>
      </c>
    </row>
    <row r="15" spans="1:2" x14ac:dyDescent="0.35">
      <c r="A15" s="19" t="s">
        <v>3644</v>
      </c>
      <c r="B15" s="17">
        <v>3577.0000000000005</v>
      </c>
    </row>
    <row r="16" spans="1:2" x14ac:dyDescent="0.35">
      <c r="A16" s="18" t="s">
        <v>3645</v>
      </c>
      <c r="B16" s="17"/>
    </row>
    <row r="17" spans="1:2" x14ac:dyDescent="0.35">
      <c r="A17" s="19" t="s">
        <v>3646</v>
      </c>
      <c r="B17" s="17">
        <v>5573.0500000000011</v>
      </c>
    </row>
    <row r="18" spans="1:2" x14ac:dyDescent="0.35">
      <c r="A18" s="19" t="s">
        <v>3647</v>
      </c>
      <c r="B18" s="17">
        <v>2469.77</v>
      </c>
    </row>
    <row r="19" spans="1:2" x14ac:dyDescent="0.35">
      <c r="A19" s="19" t="s">
        <v>3648</v>
      </c>
      <c r="B19" s="17">
        <v>5023.34</v>
      </c>
    </row>
    <row r="20" spans="1:2" x14ac:dyDescent="0.35">
      <c r="A20" s="16" t="s">
        <v>3649</v>
      </c>
      <c r="B20" s="17"/>
    </row>
    <row r="21" spans="1:2" x14ac:dyDescent="0.35">
      <c r="A21" s="18" t="s">
        <v>3633</v>
      </c>
      <c r="B21" s="17"/>
    </row>
    <row r="22" spans="1:2" x14ac:dyDescent="0.35">
      <c r="A22" s="19" t="s">
        <v>3634</v>
      </c>
      <c r="B22" s="17">
        <v>2490.1399999999994</v>
      </c>
    </row>
    <row r="23" spans="1:2" x14ac:dyDescent="0.35">
      <c r="A23" s="19" t="s">
        <v>3635</v>
      </c>
      <c r="B23" s="17">
        <v>4131.2599999999984</v>
      </c>
    </row>
    <row r="24" spans="1:2" x14ac:dyDescent="0.35">
      <c r="A24" s="19" t="s">
        <v>3636</v>
      </c>
      <c r="B24" s="17">
        <v>3583.3099999999995</v>
      </c>
    </row>
    <row r="25" spans="1:2" x14ac:dyDescent="0.35">
      <c r="A25" s="18" t="s">
        <v>3637</v>
      </c>
      <c r="B25" s="17"/>
    </row>
    <row r="26" spans="1:2" x14ac:dyDescent="0.35">
      <c r="A26" s="19" t="s">
        <v>3638</v>
      </c>
      <c r="B26" s="17">
        <v>4900.6500000000005</v>
      </c>
    </row>
    <row r="27" spans="1:2" x14ac:dyDescent="0.35">
      <c r="A27" s="19" t="s">
        <v>3639</v>
      </c>
      <c r="B27" s="17">
        <v>5909.2999999999993</v>
      </c>
    </row>
    <row r="28" spans="1:2" x14ac:dyDescent="0.35">
      <c r="A28" s="19" t="s">
        <v>3640</v>
      </c>
      <c r="B28" s="17">
        <v>3051.84</v>
      </c>
    </row>
    <row r="29" spans="1:2" x14ac:dyDescent="0.35">
      <c r="A29" s="18" t="s">
        <v>3641</v>
      </c>
      <c r="B29" s="17"/>
    </row>
    <row r="30" spans="1:2" x14ac:dyDescent="0.35">
      <c r="A30" s="19" t="s">
        <v>3642</v>
      </c>
      <c r="B30" s="17">
        <v>5137.37</v>
      </c>
    </row>
    <row r="31" spans="1:2" x14ac:dyDescent="0.35">
      <c r="A31" s="19" t="s">
        <v>3643</v>
      </c>
      <c r="B31" s="17">
        <v>3198.940000000001</v>
      </c>
    </row>
    <row r="32" spans="1:2" x14ac:dyDescent="0.35">
      <c r="A32" s="19" t="s">
        <v>3644</v>
      </c>
      <c r="B32" s="17">
        <v>3094.8400000000006</v>
      </c>
    </row>
    <row r="33" spans="1:2" x14ac:dyDescent="0.35">
      <c r="A33" s="18" t="s">
        <v>3645</v>
      </c>
      <c r="B33" s="17"/>
    </row>
    <row r="34" spans="1:2" x14ac:dyDescent="0.35">
      <c r="A34" s="19" t="s">
        <v>3646</v>
      </c>
      <c r="B34" s="17">
        <v>5443.33</v>
      </c>
    </row>
    <row r="35" spans="1:2" x14ac:dyDescent="0.35">
      <c r="A35" s="19" t="s">
        <v>3647</v>
      </c>
      <c r="B35" s="17">
        <v>5630.7800000000016</v>
      </c>
    </row>
    <row r="36" spans="1:2" x14ac:dyDescent="0.35">
      <c r="A36" s="19" t="s">
        <v>3648</v>
      </c>
      <c r="B36" s="17">
        <v>5044.3499999999995</v>
      </c>
    </row>
    <row r="37" spans="1:2" x14ac:dyDescent="0.35">
      <c r="A37" s="16" t="s">
        <v>3650</v>
      </c>
      <c r="B37" s="17"/>
    </row>
    <row r="38" spans="1:2" x14ac:dyDescent="0.35">
      <c r="A38" s="18" t="s">
        <v>3633</v>
      </c>
      <c r="B38" s="17"/>
    </row>
    <row r="39" spans="1:2" x14ac:dyDescent="0.35">
      <c r="A39" s="19" t="s">
        <v>3634</v>
      </c>
      <c r="B39" s="17">
        <v>4309.7699999999995</v>
      </c>
    </row>
    <row r="40" spans="1:2" x14ac:dyDescent="0.35">
      <c r="A40" s="19" t="s">
        <v>3635</v>
      </c>
      <c r="B40" s="17">
        <v>2430.75</v>
      </c>
    </row>
    <row r="41" spans="1:2" x14ac:dyDescent="0.35">
      <c r="A41" s="19" t="s">
        <v>3636</v>
      </c>
      <c r="B41" s="17">
        <v>2489.6</v>
      </c>
    </row>
    <row r="42" spans="1:2" x14ac:dyDescent="0.35">
      <c r="A42" s="18" t="s">
        <v>3637</v>
      </c>
      <c r="B42" s="17"/>
    </row>
    <row r="43" spans="1:2" x14ac:dyDescent="0.35">
      <c r="A43" s="19" t="s">
        <v>3638</v>
      </c>
      <c r="B43" s="17">
        <v>5761.6099999999988</v>
      </c>
    </row>
    <row r="44" spans="1:2" x14ac:dyDescent="0.35">
      <c r="A44" s="19" t="s">
        <v>3639</v>
      </c>
      <c r="B44" s="17">
        <v>5697.409999999998</v>
      </c>
    </row>
    <row r="45" spans="1:2" x14ac:dyDescent="0.35">
      <c r="A45" s="19" t="s">
        <v>3640</v>
      </c>
      <c r="B45" s="17">
        <v>5477.02</v>
      </c>
    </row>
    <row r="46" spans="1:2" x14ac:dyDescent="0.35">
      <c r="A46" s="18" t="s">
        <v>3641</v>
      </c>
      <c r="B46" s="17"/>
    </row>
    <row r="47" spans="1:2" x14ac:dyDescent="0.35">
      <c r="A47" s="19" t="s">
        <v>3642</v>
      </c>
      <c r="B47" s="17">
        <v>4791.4900000000007</v>
      </c>
    </row>
    <row r="48" spans="1:2" x14ac:dyDescent="0.35">
      <c r="A48" s="19" t="s">
        <v>3643</v>
      </c>
      <c r="B48" s="17">
        <v>3822.1099999999997</v>
      </c>
    </row>
    <row r="49" spans="1:2" x14ac:dyDescent="0.35">
      <c r="A49" s="19" t="s">
        <v>3644</v>
      </c>
      <c r="B49" s="17">
        <v>4722.0900000000011</v>
      </c>
    </row>
    <row r="50" spans="1:2" x14ac:dyDescent="0.35">
      <c r="A50" s="18" t="s">
        <v>3645</v>
      </c>
      <c r="B50" s="17"/>
    </row>
    <row r="51" spans="1:2" x14ac:dyDescent="0.35">
      <c r="A51" s="19" t="s">
        <v>3646</v>
      </c>
      <c r="B51" s="17">
        <v>5580.52</v>
      </c>
    </row>
    <row r="52" spans="1:2" x14ac:dyDescent="0.35">
      <c r="A52" s="19" t="s">
        <v>3647</v>
      </c>
      <c r="B52" s="17">
        <v>4534.7599999999993</v>
      </c>
    </row>
    <row r="53" spans="1:2" x14ac:dyDescent="0.35">
      <c r="A53" s="19" t="s">
        <v>3648</v>
      </c>
      <c r="B53" s="17">
        <v>4485.34</v>
      </c>
    </row>
    <row r="54" spans="1:2" x14ac:dyDescent="0.35">
      <c r="A54" s="16" t="s">
        <v>3629</v>
      </c>
      <c r="B54" s="17">
        <v>158872.31999999998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A2" sqref="A2"/>
    </sheetView>
  </sheetViews>
  <sheetFormatPr defaultRowHeight="14.5" x14ac:dyDescent="0.35"/>
  <cols>
    <col min="1" max="1" width="27.90625" bestFit="1" customWidth="1"/>
    <col min="2" max="2" width="16.6328125" bestFit="1" customWidth="1"/>
  </cols>
  <sheetData>
    <row r="2" spans="1:2" x14ac:dyDescent="0.35">
      <c r="A2" s="15" t="s">
        <v>3628</v>
      </c>
      <c r="B2" t="s">
        <v>3630</v>
      </c>
    </row>
    <row r="3" spans="1:2" x14ac:dyDescent="0.35">
      <c r="A3" s="16" t="s">
        <v>43</v>
      </c>
      <c r="B3" s="17">
        <v>46614.219999999972</v>
      </c>
    </row>
    <row r="4" spans="1:2" x14ac:dyDescent="0.35">
      <c r="A4" s="16" t="s">
        <v>93</v>
      </c>
      <c r="B4" s="17">
        <v>45405.15</v>
      </c>
    </row>
    <row r="5" spans="1:2" x14ac:dyDescent="0.35">
      <c r="A5" s="16" t="s">
        <v>89</v>
      </c>
      <c r="B5" s="17">
        <v>41070.479999999989</v>
      </c>
    </row>
    <row r="6" spans="1:2" x14ac:dyDescent="0.35">
      <c r="A6" s="16" t="s">
        <v>294</v>
      </c>
      <c r="B6" s="17">
        <v>38179.76999999999</v>
      </c>
    </row>
    <row r="7" spans="1:2" x14ac:dyDescent="0.35">
      <c r="A7" s="16" t="s">
        <v>21</v>
      </c>
      <c r="B7" s="17">
        <v>28258.700000000008</v>
      </c>
    </row>
    <row r="8" spans="1:2" x14ac:dyDescent="0.35">
      <c r="A8" s="16" t="s">
        <v>27</v>
      </c>
      <c r="B8" s="17">
        <v>24072.42</v>
      </c>
    </row>
    <row r="9" spans="1:2" x14ac:dyDescent="0.35">
      <c r="A9" s="16" t="s">
        <v>371</v>
      </c>
      <c r="B9" s="17">
        <v>23108.010000000002</v>
      </c>
    </row>
    <row r="10" spans="1:2" x14ac:dyDescent="0.35">
      <c r="A10" s="16" t="s">
        <v>64</v>
      </c>
      <c r="B10" s="17">
        <v>18663.129999999997</v>
      </c>
    </row>
    <row r="11" spans="1:2" x14ac:dyDescent="0.35">
      <c r="A11" s="16" t="s">
        <v>122</v>
      </c>
      <c r="B11" s="17">
        <v>18065.3</v>
      </c>
    </row>
    <row r="12" spans="1:2" x14ac:dyDescent="0.35">
      <c r="A12" s="16" t="s">
        <v>46</v>
      </c>
      <c r="B12" s="17">
        <v>17741.589999999997</v>
      </c>
    </row>
    <row r="13" spans="1:2" x14ac:dyDescent="0.35">
      <c r="A13" s="16" t="s">
        <v>3629</v>
      </c>
      <c r="B13" s="17">
        <v>301178.76999999996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2" sqref="A2"/>
    </sheetView>
  </sheetViews>
  <sheetFormatPr defaultRowHeight="14.5" x14ac:dyDescent="0.35"/>
  <cols>
    <col min="1" max="1" width="14.7265625" customWidth="1"/>
    <col min="2" max="2" width="16.6328125" bestFit="1" customWidth="1"/>
  </cols>
  <sheetData>
    <row r="2" spans="1:2" x14ac:dyDescent="0.35">
      <c r="A2" s="15" t="s">
        <v>3628</v>
      </c>
      <c r="B2" t="s">
        <v>3630</v>
      </c>
    </row>
    <row r="3" spans="1:2" x14ac:dyDescent="0.35">
      <c r="A3" s="16" t="s">
        <v>34</v>
      </c>
      <c r="B3" s="17">
        <v>192717.8899999999</v>
      </c>
    </row>
    <row r="4" spans="1:2" x14ac:dyDescent="0.35">
      <c r="A4" s="16" t="s">
        <v>39</v>
      </c>
      <c r="B4" s="17">
        <v>143112.87000000005</v>
      </c>
    </row>
    <row r="5" spans="1:2" x14ac:dyDescent="0.35">
      <c r="A5" s="16" t="s">
        <v>22</v>
      </c>
      <c r="B5" s="17">
        <v>77129.539999999979</v>
      </c>
    </row>
    <row r="6" spans="1:2" x14ac:dyDescent="0.35">
      <c r="A6" s="16" t="s">
        <v>56</v>
      </c>
      <c r="B6" s="17">
        <v>71599.040000000052</v>
      </c>
    </row>
    <row r="7" spans="1:2" x14ac:dyDescent="0.35">
      <c r="A7" s="16" t="s">
        <v>3629</v>
      </c>
      <c r="B7" s="17">
        <v>484559.33999999997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topLeftCell="A5" workbookViewId="0">
      <selection activeCell="A2" sqref="A2:B2001"/>
    </sheetView>
  </sheetViews>
  <sheetFormatPr defaultRowHeight="14.5" x14ac:dyDescent="0.35"/>
  <cols>
    <col min="1" max="1" width="17.6328125" customWidth="1"/>
  </cols>
  <sheetData>
    <row r="1" spans="1:2" x14ac:dyDescent="0.35">
      <c r="A1" t="s">
        <v>10</v>
      </c>
      <c r="B1" t="s">
        <v>13</v>
      </c>
    </row>
    <row r="2" spans="1:2" x14ac:dyDescent="0.35">
      <c r="A2" s="4">
        <v>0</v>
      </c>
      <c r="B2" s="5">
        <v>25.91</v>
      </c>
    </row>
    <row r="3" spans="1:2" x14ac:dyDescent="0.35">
      <c r="A3" s="5">
        <v>20</v>
      </c>
      <c r="B3" s="4">
        <v>25.41</v>
      </c>
    </row>
    <row r="4" spans="1:2" x14ac:dyDescent="0.35">
      <c r="A4" s="4">
        <v>0</v>
      </c>
      <c r="B4" s="5">
        <v>80.55</v>
      </c>
    </row>
    <row r="5" spans="1:2" x14ac:dyDescent="0.35">
      <c r="A5" s="5">
        <v>15</v>
      </c>
      <c r="B5" s="4">
        <v>-1.76</v>
      </c>
    </row>
    <row r="6" spans="1:2" x14ac:dyDescent="0.35">
      <c r="A6" s="4">
        <v>20</v>
      </c>
      <c r="B6" s="5">
        <v>14.04</v>
      </c>
    </row>
    <row r="7" spans="1:2" x14ac:dyDescent="0.35">
      <c r="A7" s="5">
        <v>10</v>
      </c>
      <c r="B7" s="4">
        <v>43.67</v>
      </c>
    </row>
    <row r="8" spans="1:2" x14ac:dyDescent="0.35">
      <c r="A8" s="4">
        <v>5</v>
      </c>
      <c r="B8" s="5">
        <v>17.23</v>
      </c>
    </row>
    <row r="9" spans="1:2" x14ac:dyDescent="0.35">
      <c r="A9" s="5">
        <v>10</v>
      </c>
      <c r="B9" s="4">
        <v>160.9</v>
      </c>
    </row>
    <row r="10" spans="1:2" x14ac:dyDescent="0.35">
      <c r="A10" s="4">
        <v>5</v>
      </c>
      <c r="B10" s="5">
        <v>4.66</v>
      </c>
    </row>
    <row r="11" spans="1:2" x14ac:dyDescent="0.35">
      <c r="A11" s="5">
        <v>5</v>
      </c>
      <c r="B11" s="4">
        <v>5.62</v>
      </c>
    </row>
    <row r="12" spans="1:2" x14ac:dyDescent="0.35">
      <c r="A12" s="4">
        <v>15</v>
      </c>
      <c r="B12" s="5">
        <v>22.54</v>
      </c>
    </row>
    <row r="13" spans="1:2" x14ac:dyDescent="0.35">
      <c r="A13" s="5">
        <v>10</v>
      </c>
      <c r="B13" s="4">
        <v>148.24</v>
      </c>
    </row>
    <row r="14" spans="1:2" x14ac:dyDescent="0.35">
      <c r="A14" s="4">
        <v>10</v>
      </c>
      <c r="B14" s="5">
        <v>18.66</v>
      </c>
    </row>
    <row r="15" spans="1:2" x14ac:dyDescent="0.35">
      <c r="A15" s="5">
        <v>0</v>
      </c>
      <c r="B15" s="4">
        <v>338.84</v>
      </c>
    </row>
    <row r="16" spans="1:2" x14ac:dyDescent="0.35">
      <c r="A16" s="4">
        <v>0</v>
      </c>
      <c r="B16" s="5">
        <v>-4.29</v>
      </c>
    </row>
    <row r="17" spans="1:2" x14ac:dyDescent="0.35">
      <c r="A17" s="5">
        <v>30</v>
      </c>
      <c r="B17" s="4">
        <v>43.14</v>
      </c>
    </row>
    <row r="18" spans="1:2" x14ac:dyDescent="0.35">
      <c r="A18" s="4">
        <v>15</v>
      </c>
      <c r="B18" s="5">
        <v>190.36</v>
      </c>
    </row>
    <row r="19" spans="1:2" x14ac:dyDescent="0.35">
      <c r="A19" s="5">
        <v>5</v>
      </c>
      <c r="B19" s="4">
        <v>272.44</v>
      </c>
    </row>
    <row r="20" spans="1:2" x14ac:dyDescent="0.35">
      <c r="A20" s="4">
        <v>0</v>
      </c>
      <c r="B20" s="5">
        <v>42.03</v>
      </c>
    </row>
    <row r="21" spans="1:2" x14ac:dyDescent="0.35">
      <c r="A21" s="5">
        <v>5</v>
      </c>
      <c r="B21" s="4">
        <v>7.12</v>
      </c>
    </row>
    <row r="22" spans="1:2" x14ac:dyDescent="0.35">
      <c r="A22" s="4">
        <v>25</v>
      </c>
      <c r="B22" s="5">
        <v>119.26</v>
      </c>
    </row>
    <row r="23" spans="1:2" x14ac:dyDescent="0.35">
      <c r="A23" s="5">
        <v>10</v>
      </c>
    </row>
    <row r="24" spans="1:2" x14ac:dyDescent="0.35">
      <c r="A24" s="4">
        <v>0</v>
      </c>
    </row>
    <row r="25" spans="1:2" x14ac:dyDescent="0.35">
      <c r="A25" s="5">
        <v>5</v>
      </c>
    </row>
    <row r="26" spans="1:2" x14ac:dyDescent="0.35">
      <c r="A26" s="4">
        <v>10</v>
      </c>
    </row>
    <row r="27" spans="1:2" x14ac:dyDescent="0.35">
      <c r="A27" s="5">
        <v>20</v>
      </c>
    </row>
    <row r="28" spans="1:2" x14ac:dyDescent="0.35">
      <c r="A28" s="4">
        <v>5</v>
      </c>
    </row>
    <row r="29" spans="1:2" x14ac:dyDescent="0.35">
      <c r="A29" s="5">
        <v>0</v>
      </c>
    </row>
    <row r="30" spans="1:2" x14ac:dyDescent="0.35">
      <c r="A30" s="4">
        <v>0</v>
      </c>
    </row>
    <row r="31" spans="1:2" x14ac:dyDescent="0.35">
      <c r="A31" s="5">
        <v>5</v>
      </c>
    </row>
    <row r="32" spans="1:2" x14ac:dyDescent="0.35">
      <c r="A32" s="4">
        <v>5</v>
      </c>
    </row>
    <row r="33" spans="1:1" x14ac:dyDescent="0.35">
      <c r="A33" s="5">
        <v>15</v>
      </c>
    </row>
    <row r="34" spans="1:1" x14ac:dyDescent="0.35">
      <c r="A34" s="4">
        <v>5</v>
      </c>
    </row>
    <row r="35" spans="1:1" x14ac:dyDescent="0.35">
      <c r="A35" s="5">
        <v>20</v>
      </c>
    </row>
    <row r="36" spans="1:1" x14ac:dyDescent="0.35">
      <c r="A36" s="4">
        <v>10</v>
      </c>
    </row>
    <row r="37" spans="1:1" x14ac:dyDescent="0.35">
      <c r="A37" s="5">
        <v>5</v>
      </c>
    </row>
    <row r="38" spans="1:1" x14ac:dyDescent="0.35">
      <c r="A38" s="4">
        <v>0</v>
      </c>
    </row>
    <row r="39" spans="1:1" x14ac:dyDescent="0.35">
      <c r="A39" s="5">
        <v>15</v>
      </c>
    </row>
    <row r="40" spans="1:1" x14ac:dyDescent="0.35">
      <c r="A40" s="4">
        <v>0</v>
      </c>
    </row>
    <row r="41" spans="1:1" x14ac:dyDescent="0.35">
      <c r="A41" s="5">
        <v>0</v>
      </c>
    </row>
    <row r="42" spans="1:1" x14ac:dyDescent="0.35">
      <c r="A42" s="4">
        <v>0</v>
      </c>
    </row>
    <row r="43" spans="1:1" x14ac:dyDescent="0.35">
      <c r="A43" s="5">
        <v>5</v>
      </c>
    </row>
    <row r="44" spans="1:1" x14ac:dyDescent="0.35">
      <c r="A44" s="4">
        <v>0</v>
      </c>
    </row>
    <row r="45" spans="1:1" x14ac:dyDescent="0.35">
      <c r="A45" s="5">
        <v>0</v>
      </c>
    </row>
    <row r="46" spans="1:1" x14ac:dyDescent="0.35">
      <c r="A46" s="4">
        <v>5</v>
      </c>
    </row>
    <row r="47" spans="1:1" x14ac:dyDescent="0.35">
      <c r="A47" s="5">
        <v>10</v>
      </c>
    </row>
    <row r="48" spans="1:1" x14ac:dyDescent="0.35">
      <c r="A48" s="4">
        <v>5</v>
      </c>
    </row>
    <row r="49" spans="1:1" x14ac:dyDescent="0.35">
      <c r="A49" s="5">
        <v>0</v>
      </c>
    </row>
    <row r="50" spans="1:1" x14ac:dyDescent="0.35">
      <c r="A50" s="4">
        <v>5</v>
      </c>
    </row>
    <row r="51" spans="1:1" x14ac:dyDescent="0.35">
      <c r="A51" s="5">
        <v>5</v>
      </c>
    </row>
    <row r="52" spans="1:1" x14ac:dyDescent="0.35">
      <c r="A52" s="4">
        <v>10</v>
      </c>
    </row>
    <row r="53" spans="1:1" x14ac:dyDescent="0.35">
      <c r="A53" s="5">
        <v>15</v>
      </c>
    </row>
    <row r="54" spans="1:1" x14ac:dyDescent="0.35">
      <c r="A54" s="4">
        <v>15</v>
      </c>
    </row>
    <row r="55" spans="1:1" x14ac:dyDescent="0.35">
      <c r="A55" s="5">
        <v>10</v>
      </c>
    </row>
    <row r="56" spans="1:1" x14ac:dyDescent="0.35">
      <c r="A56" s="4">
        <v>15</v>
      </c>
    </row>
    <row r="57" spans="1:1" x14ac:dyDescent="0.35">
      <c r="A57" s="5">
        <v>5</v>
      </c>
    </row>
    <row r="58" spans="1:1" x14ac:dyDescent="0.35">
      <c r="A58" s="4">
        <v>15</v>
      </c>
    </row>
    <row r="59" spans="1:1" x14ac:dyDescent="0.35">
      <c r="A59" s="5">
        <v>0</v>
      </c>
    </row>
    <row r="60" spans="1:1" x14ac:dyDescent="0.35">
      <c r="A60" s="4">
        <v>0</v>
      </c>
    </row>
    <row r="61" spans="1:1" x14ac:dyDescent="0.35">
      <c r="A61" s="5">
        <v>10</v>
      </c>
    </row>
    <row r="62" spans="1:1" x14ac:dyDescent="0.35">
      <c r="A62" s="4">
        <v>10</v>
      </c>
    </row>
    <row r="63" spans="1:1" x14ac:dyDescent="0.35">
      <c r="A63" s="5">
        <v>5</v>
      </c>
    </row>
    <row r="64" spans="1:1" x14ac:dyDescent="0.35">
      <c r="A64" s="4">
        <v>10</v>
      </c>
    </row>
    <row r="65" spans="1:1" x14ac:dyDescent="0.35">
      <c r="A65" s="5">
        <v>0</v>
      </c>
    </row>
    <row r="66" spans="1:1" x14ac:dyDescent="0.35">
      <c r="A66" s="4">
        <v>0</v>
      </c>
    </row>
    <row r="67" spans="1:1" x14ac:dyDescent="0.35">
      <c r="A67" s="5">
        <v>10</v>
      </c>
    </row>
    <row r="68" spans="1:1" x14ac:dyDescent="0.35">
      <c r="A68" s="4">
        <v>15</v>
      </c>
    </row>
    <row r="69" spans="1:1" x14ac:dyDescent="0.35">
      <c r="A69" s="5">
        <v>5</v>
      </c>
    </row>
    <row r="70" spans="1:1" x14ac:dyDescent="0.35">
      <c r="A70" s="4">
        <v>0</v>
      </c>
    </row>
    <row r="71" spans="1:1" x14ac:dyDescent="0.35">
      <c r="A71" s="5">
        <v>10</v>
      </c>
    </row>
    <row r="72" spans="1:1" x14ac:dyDescent="0.35">
      <c r="A72" s="4">
        <v>25</v>
      </c>
    </row>
    <row r="73" spans="1:1" x14ac:dyDescent="0.35">
      <c r="A73" s="5">
        <v>5</v>
      </c>
    </row>
    <row r="74" spans="1:1" x14ac:dyDescent="0.35">
      <c r="A74" s="4">
        <v>5</v>
      </c>
    </row>
    <row r="75" spans="1:1" x14ac:dyDescent="0.35">
      <c r="A75" s="5">
        <v>10</v>
      </c>
    </row>
    <row r="76" spans="1:1" x14ac:dyDescent="0.35">
      <c r="A76" s="4">
        <v>0</v>
      </c>
    </row>
    <row r="77" spans="1:1" x14ac:dyDescent="0.35">
      <c r="A77" s="5">
        <v>5</v>
      </c>
    </row>
    <row r="78" spans="1:1" x14ac:dyDescent="0.35">
      <c r="A78" s="4">
        <v>15</v>
      </c>
    </row>
    <row r="79" spans="1:1" x14ac:dyDescent="0.35">
      <c r="A79" s="5">
        <v>10</v>
      </c>
    </row>
    <row r="80" spans="1:1" x14ac:dyDescent="0.35">
      <c r="A80" s="4">
        <v>20</v>
      </c>
    </row>
    <row r="81" spans="1:1" x14ac:dyDescent="0.35">
      <c r="A81" s="5">
        <v>5</v>
      </c>
    </row>
    <row r="82" spans="1:1" x14ac:dyDescent="0.35">
      <c r="A82" s="4">
        <v>15</v>
      </c>
    </row>
    <row r="83" spans="1:1" x14ac:dyDescent="0.35">
      <c r="A83" s="5">
        <v>0</v>
      </c>
    </row>
    <row r="84" spans="1:1" x14ac:dyDescent="0.35">
      <c r="A84" s="4">
        <v>5</v>
      </c>
    </row>
    <row r="85" spans="1:1" x14ac:dyDescent="0.35">
      <c r="A85" s="5">
        <v>0</v>
      </c>
    </row>
    <row r="86" spans="1:1" x14ac:dyDescent="0.35">
      <c r="A86" s="4">
        <v>0</v>
      </c>
    </row>
    <row r="87" spans="1:1" x14ac:dyDescent="0.35">
      <c r="A87" s="5">
        <v>0</v>
      </c>
    </row>
    <row r="88" spans="1:1" x14ac:dyDescent="0.35">
      <c r="A88" s="4">
        <v>0</v>
      </c>
    </row>
    <row r="89" spans="1:1" x14ac:dyDescent="0.35">
      <c r="A89" s="5">
        <v>0</v>
      </c>
    </row>
    <row r="90" spans="1:1" x14ac:dyDescent="0.35">
      <c r="A90" s="4">
        <v>15</v>
      </c>
    </row>
    <row r="91" spans="1:1" x14ac:dyDescent="0.35">
      <c r="A91" s="5">
        <v>10</v>
      </c>
    </row>
    <row r="92" spans="1:1" x14ac:dyDescent="0.35">
      <c r="A92" s="4">
        <v>0</v>
      </c>
    </row>
    <row r="93" spans="1:1" x14ac:dyDescent="0.35">
      <c r="A93" s="5">
        <v>0</v>
      </c>
    </row>
    <row r="94" spans="1:1" x14ac:dyDescent="0.35">
      <c r="A94" s="4">
        <v>15</v>
      </c>
    </row>
    <row r="95" spans="1:1" x14ac:dyDescent="0.35">
      <c r="A95" s="5">
        <v>5</v>
      </c>
    </row>
    <row r="96" spans="1:1" x14ac:dyDescent="0.35">
      <c r="A96" s="4">
        <v>0</v>
      </c>
    </row>
    <row r="97" spans="1:1" x14ac:dyDescent="0.35">
      <c r="A97" s="5">
        <v>0</v>
      </c>
    </row>
    <row r="98" spans="1:1" x14ac:dyDescent="0.35">
      <c r="A98" s="4">
        <v>0</v>
      </c>
    </row>
    <row r="99" spans="1:1" x14ac:dyDescent="0.35">
      <c r="A99" s="5">
        <v>5</v>
      </c>
    </row>
    <row r="100" spans="1:1" x14ac:dyDescent="0.35">
      <c r="A100" s="4">
        <v>10</v>
      </c>
    </row>
    <row r="101" spans="1:1" x14ac:dyDescent="0.35">
      <c r="A101" s="5">
        <v>0</v>
      </c>
    </row>
    <row r="102" spans="1:1" x14ac:dyDescent="0.35">
      <c r="A102" s="4">
        <v>0</v>
      </c>
    </row>
    <row r="103" spans="1:1" x14ac:dyDescent="0.35">
      <c r="A103" s="5">
        <v>5</v>
      </c>
    </row>
    <row r="104" spans="1:1" x14ac:dyDescent="0.35">
      <c r="A104" s="4">
        <v>25</v>
      </c>
    </row>
    <row r="105" spans="1:1" x14ac:dyDescent="0.35">
      <c r="A105" s="5">
        <v>10</v>
      </c>
    </row>
    <row r="106" spans="1:1" x14ac:dyDescent="0.35">
      <c r="A106" s="4">
        <v>20</v>
      </c>
    </row>
    <row r="107" spans="1:1" x14ac:dyDescent="0.35">
      <c r="A107" s="5">
        <v>0</v>
      </c>
    </row>
    <row r="108" spans="1:1" x14ac:dyDescent="0.35">
      <c r="A108" s="4">
        <v>10</v>
      </c>
    </row>
    <row r="109" spans="1:1" x14ac:dyDescent="0.35">
      <c r="A109" s="5">
        <v>0</v>
      </c>
    </row>
    <row r="110" spans="1:1" x14ac:dyDescent="0.35">
      <c r="A110" s="4">
        <v>10</v>
      </c>
    </row>
    <row r="111" spans="1:1" x14ac:dyDescent="0.35">
      <c r="A111" s="5">
        <v>20</v>
      </c>
    </row>
    <row r="112" spans="1:1" x14ac:dyDescent="0.35">
      <c r="A112" s="4">
        <v>0</v>
      </c>
    </row>
    <row r="113" spans="1:1" x14ac:dyDescent="0.35">
      <c r="A113" s="5">
        <v>10</v>
      </c>
    </row>
    <row r="114" spans="1:1" x14ac:dyDescent="0.35">
      <c r="A114" s="4">
        <v>20</v>
      </c>
    </row>
    <row r="115" spans="1:1" x14ac:dyDescent="0.35">
      <c r="A115" s="5">
        <v>0</v>
      </c>
    </row>
    <row r="116" spans="1:1" x14ac:dyDescent="0.35">
      <c r="A116" s="4">
        <v>5</v>
      </c>
    </row>
    <row r="117" spans="1:1" x14ac:dyDescent="0.35">
      <c r="A117" s="5">
        <v>0</v>
      </c>
    </row>
    <row r="118" spans="1:1" x14ac:dyDescent="0.35">
      <c r="A118" s="4">
        <v>5</v>
      </c>
    </row>
    <row r="119" spans="1:1" x14ac:dyDescent="0.35">
      <c r="A119" s="5">
        <v>10</v>
      </c>
    </row>
    <row r="120" spans="1:1" x14ac:dyDescent="0.35">
      <c r="A120" s="4">
        <v>0</v>
      </c>
    </row>
    <row r="121" spans="1:1" x14ac:dyDescent="0.35">
      <c r="A121" s="5">
        <v>10</v>
      </c>
    </row>
    <row r="122" spans="1:1" x14ac:dyDescent="0.35">
      <c r="A122" s="4">
        <v>0</v>
      </c>
    </row>
    <row r="123" spans="1:1" x14ac:dyDescent="0.35">
      <c r="A123" s="5">
        <v>0</v>
      </c>
    </row>
    <row r="124" spans="1:1" x14ac:dyDescent="0.35">
      <c r="A124" s="4">
        <v>10</v>
      </c>
    </row>
    <row r="125" spans="1:1" x14ac:dyDescent="0.35">
      <c r="A125" s="5">
        <v>0</v>
      </c>
    </row>
    <row r="126" spans="1:1" x14ac:dyDescent="0.35">
      <c r="A126" s="4">
        <v>10</v>
      </c>
    </row>
    <row r="127" spans="1:1" x14ac:dyDescent="0.35">
      <c r="A127" s="5">
        <v>0</v>
      </c>
    </row>
    <row r="128" spans="1:1" x14ac:dyDescent="0.35">
      <c r="A128" s="4">
        <v>0</v>
      </c>
    </row>
    <row r="129" spans="1:1" x14ac:dyDescent="0.35">
      <c r="A129" s="5">
        <v>15</v>
      </c>
    </row>
    <row r="130" spans="1:1" x14ac:dyDescent="0.35">
      <c r="A130" s="4">
        <v>15</v>
      </c>
    </row>
    <row r="131" spans="1:1" x14ac:dyDescent="0.35">
      <c r="A131" s="5">
        <v>0</v>
      </c>
    </row>
    <row r="132" spans="1:1" x14ac:dyDescent="0.35">
      <c r="A132" s="4">
        <v>5</v>
      </c>
    </row>
    <row r="133" spans="1:1" x14ac:dyDescent="0.35">
      <c r="A133" s="5">
        <v>0</v>
      </c>
    </row>
    <row r="134" spans="1:1" x14ac:dyDescent="0.35">
      <c r="A134" s="4">
        <v>0</v>
      </c>
    </row>
    <row r="135" spans="1:1" x14ac:dyDescent="0.35">
      <c r="A135" s="5">
        <v>5</v>
      </c>
    </row>
    <row r="136" spans="1:1" x14ac:dyDescent="0.35">
      <c r="A136" s="4">
        <v>0</v>
      </c>
    </row>
    <row r="137" spans="1:1" x14ac:dyDescent="0.35">
      <c r="A137" s="5">
        <v>0</v>
      </c>
    </row>
    <row r="138" spans="1:1" x14ac:dyDescent="0.35">
      <c r="A138" s="4">
        <v>0</v>
      </c>
    </row>
    <row r="139" spans="1:1" x14ac:dyDescent="0.35">
      <c r="A139" s="5">
        <v>0</v>
      </c>
    </row>
    <row r="140" spans="1:1" x14ac:dyDescent="0.35">
      <c r="A140" s="4">
        <v>5</v>
      </c>
    </row>
    <row r="141" spans="1:1" x14ac:dyDescent="0.35">
      <c r="A141" s="5">
        <v>5</v>
      </c>
    </row>
    <row r="142" spans="1:1" x14ac:dyDescent="0.35">
      <c r="A142" s="4">
        <v>0</v>
      </c>
    </row>
    <row r="143" spans="1:1" x14ac:dyDescent="0.35">
      <c r="A143" s="5">
        <v>10</v>
      </c>
    </row>
    <row r="144" spans="1:1" x14ac:dyDescent="0.35">
      <c r="A144" s="4">
        <v>10</v>
      </c>
    </row>
    <row r="145" spans="1:1" x14ac:dyDescent="0.35">
      <c r="A145" s="5">
        <v>0</v>
      </c>
    </row>
    <row r="146" spans="1:1" x14ac:dyDescent="0.35">
      <c r="A146" s="4">
        <v>15</v>
      </c>
    </row>
    <row r="147" spans="1:1" x14ac:dyDescent="0.35">
      <c r="A147" s="5">
        <v>5</v>
      </c>
    </row>
    <row r="148" spans="1:1" x14ac:dyDescent="0.35">
      <c r="A148" s="4">
        <v>15</v>
      </c>
    </row>
    <row r="149" spans="1:1" x14ac:dyDescent="0.35">
      <c r="A149" s="5">
        <v>10</v>
      </c>
    </row>
    <row r="150" spans="1:1" x14ac:dyDescent="0.35">
      <c r="A150" s="4">
        <v>5</v>
      </c>
    </row>
    <row r="151" spans="1:1" x14ac:dyDescent="0.35">
      <c r="A151" s="5">
        <v>20</v>
      </c>
    </row>
    <row r="152" spans="1:1" x14ac:dyDescent="0.35">
      <c r="A152" s="4">
        <v>0</v>
      </c>
    </row>
    <row r="153" spans="1:1" x14ac:dyDescent="0.35">
      <c r="A153" s="5">
        <v>30</v>
      </c>
    </row>
    <row r="154" spans="1:1" x14ac:dyDescent="0.35">
      <c r="A154" s="4">
        <v>5</v>
      </c>
    </row>
    <row r="155" spans="1:1" x14ac:dyDescent="0.35">
      <c r="A155" s="5">
        <v>15</v>
      </c>
    </row>
    <row r="156" spans="1:1" x14ac:dyDescent="0.35">
      <c r="A156" s="4">
        <v>0</v>
      </c>
    </row>
    <row r="157" spans="1:1" x14ac:dyDescent="0.35">
      <c r="A157" s="5">
        <v>0</v>
      </c>
    </row>
    <row r="158" spans="1:1" x14ac:dyDescent="0.35">
      <c r="A158" s="4">
        <v>0</v>
      </c>
    </row>
    <row r="159" spans="1:1" x14ac:dyDescent="0.35">
      <c r="A159" s="5">
        <v>5</v>
      </c>
    </row>
    <row r="160" spans="1:1" x14ac:dyDescent="0.35">
      <c r="A160" s="4">
        <v>5</v>
      </c>
    </row>
    <row r="161" spans="1:1" x14ac:dyDescent="0.35">
      <c r="A161" s="5">
        <v>10</v>
      </c>
    </row>
    <row r="162" spans="1:1" x14ac:dyDescent="0.35">
      <c r="A162" s="4">
        <v>15</v>
      </c>
    </row>
    <row r="163" spans="1:1" x14ac:dyDescent="0.35">
      <c r="A163" s="5">
        <v>5</v>
      </c>
    </row>
    <row r="164" spans="1:1" x14ac:dyDescent="0.35">
      <c r="A164" s="4">
        <v>0</v>
      </c>
    </row>
    <row r="165" spans="1:1" x14ac:dyDescent="0.35">
      <c r="A165" s="5">
        <v>0</v>
      </c>
    </row>
    <row r="166" spans="1:1" x14ac:dyDescent="0.35">
      <c r="A166" s="4">
        <v>15</v>
      </c>
    </row>
    <row r="167" spans="1:1" x14ac:dyDescent="0.35">
      <c r="A167" s="5">
        <v>0</v>
      </c>
    </row>
    <row r="168" spans="1:1" x14ac:dyDescent="0.35">
      <c r="A168" s="4">
        <v>5</v>
      </c>
    </row>
    <row r="169" spans="1:1" x14ac:dyDescent="0.35">
      <c r="A169" s="5">
        <v>0</v>
      </c>
    </row>
    <row r="170" spans="1:1" x14ac:dyDescent="0.35">
      <c r="A170" s="4">
        <v>5</v>
      </c>
    </row>
    <row r="171" spans="1:1" x14ac:dyDescent="0.35">
      <c r="A171" s="5">
        <v>5</v>
      </c>
    </row>
    <row r="172" spans="1:1" x14ac:dyDescent="0.35">
      <c r="A172" s="4">
        <v>10</v>
      </c>
    </row>
    <row r="173" spans="1:1" x14ac:dyDescent="0.35">
      <c r="A173" s="5">
        <v>20</v>
      </c>
    </row>
    <row r="174" spans="1:1" x14ac:dyDescent="0.35">
      <c r="A174" s="4">
        <v>10</v>
      </c>
    </row>
    <row r="175" spans="1:1" x14ac:dyDescent="0.35">
      <c r="A175" s="5">
        <v>10</v>
      </c>
    </row>
    <row r="176" spans="1:1" x14ac:dyDescent="0.35">
      <c r="A176" s="4">
        <v>0</v>
      </c>
    </row>
    <row r="177" spans="1:1" x14ac:dyDescent="0.35">
      <c r="A177" s="5">
        <v>0</v>
      </c>
    </row>
    <row r="178" spans="1:1" x14ac:dyDescent="0.35">
      <c r="A178" s="4">
        <v>25</v>
      </c>
    </row>
    <row r="179" spans="1:1" x14ac:dyDescent="0.35">
      <c r="A179" s="5">
        <v>5</v>
      </c>
    </row>
    <row r="180" spans="1:1" x14ac:dyDescent="0.35">
      <c r="A180" s="4">
        <v>5</v>
      </c>
    </row>
    <row r="181" spans="1:1" x14ac:dyDescent="0.35">
      <c r="A181" s="5">
        <v>10</v>
      </c>
    </row>
    <row r="182" spans="1:1" x14ac:dyDescent="0.35">
      <c r="A182" s="4">
        <v>5</v>
      </c>
    </row>
    <row r="183" spans="1:1" x14ac:dyDescent="0.35">
      <c r="A183" s="5">
        <v>0</v>
      </c>
    </row>
    <row r="184" spans="1:1" x14ac:dyDescent="0.35">
      <c r="A184" s="4">
        <v>15</v>
      </c>
    </row>
    <row r="185" spans="1:1" x14ac:dyDescent="0.35">
      <c r="A185" s="5">
        <v>20</v>
      </c>
    </row>
    <row r="186" spans="1:1" x14ac:dyDescent="0.35">
      <c r="A186" s="4">
        <v>15</v>
      </c>
    </row>
    <row r="187" spans="1:1" x14ac:dyDescent="0.35">
      <c r="A187" s="5">
        <v>0</v>
      </c>
    </row>
    <row r="188" spans="1:1" x14ac:dyDescent="0.35">
      <c r="A188" s="4">
        <v>15</v>
      </c>
    </row>
    <row r="189" spans="1:1" x14ac:dyDescent="0.35">
      <c r="A189" s="5">
        <v>0</v>
      </c>
    </row>
    <row r="190" spans="1:1" x14ac:dyDescent="0.35">
      <c r="A190" s="4">
        <v>20</v>
      </c>
    </row>
    <row r="191" spans="1:1" x14ac:dyDescent="0.35">
      <c r="A191" s="5">
        <v>10</v>
      </c>
    </row>
    <row r="192" spans="1:1" x14ac:dyDescent="0.35">
      <c r="A192" s="4">
        <v>10</v>
      </c>
    </row>
    <row r="193" spans="1:1" x14ac:dyDescent="0.35">
      <c r="A193" s="5">
        <v>10</v>
      </c>
    </row>
    <row r="194" spans="1:1" x14ac:dyDescent="0.35">
      <c r="A194" s="4">
        <v>5</v>
      </c>
    </row>
    <row r="195" spans="1:1" x14ac:dyDescent="0.35">
      <c r="A195" s="5">
        <v>5</v>
      </c>
    </row>
    <row r="196" spans="1:1" x14ac:dyDescent="0.35">
      <c r="A196" s="4">
        <v>0</v>
      </c>
    </row>
    <row r="197" spans="1:1" x14ac:dyDescent="0.35">
      <c r="A197" s="5">
        <v>0</v>
      </c>
    </row>
    <row r="198" spans="1:1" x14ac:dyDescent="0.35">
      <c r="A198" s="4">
        <v>5</v>
      </c>
    </row>
    <row r="199" spans="1:1" x14ac:dyDescent="0.35">
      <c r="A199" s="5">
        <v>5</v>
      </c>
    </row>
    <row r="200" spans="1:1" x14ac:dyDescent="0.35">
      <c r="A200" s="4">
        <v>0</v>
      </c>
    </row>
    <row r="201" spans="1:1" x14ac:dyDescent="0.35">
      <c r="A201" s="5">
        <v>5</v>
      </c>
    </row>
    <row r="202" spans="1:1" x14ac:dyDescent="0.35">
      <c r="A202" s="4">
        <v>0</v>
      </c>
    </row>
    <row r="203" spans="1:1" x14ac:dyDescent="0.35">
      <c r="A203" s="5">
        <v>20</v>
      </c>
    </row>
    <row r="204" spans="1:1" x14ac:dyDescent="0.35">
      <c r="A204" s="4">
        <v>10</v>
      </c>
    </row>
    <row r="205" spans="1:1" x14ac:dyDescent="0.35">
      <c r="A205" s="5">
        <v>15</v>
      </c>
    </row>
    <row r="206" spans="1:1" x14ac:dyDescent="0.35">
      <c r="A206" s="4">
        <v>0</v>
      </c>
    </row>
    <row r="207" spans="1:1" x14ac:dyDescent="0.35">
      <c r="A207" s="5">
        <v>15</v>
      </c>
    </row>
    <row r="208" spans="1:1" x14ac:dyDescent="0.35">
      <c r="A208" s="4">
        <v>5</v>
      </c>
    </row>
    <row r="209" spans="1:1" x14ac:dyDescent="0.35">
      <c r="A209" s="5">
        <v>15</v>
      </c>
    </row>
    <row r="210" spans="1:1" x14ac:dyDescent="0.35">
      <c r="A210" s="4">
        <v>30</v>
      </c>
    </row>
    <row r="211" spans="1:1" x14ac:dyDescent="0.35">
      <c r="A211" s="5">
        <v>15</v>
      </c>
    </row>
    <row r="212" spans="1:1" x14ac:dyDescent="0.35">
      <c r="A212" s="4">
        <v>15</v>
      </c>
    </row>
    <row r="213" spans="1:1" x14ac:dyDescent="0.35">
      <c r="A213" s="5">
        <v>20</v>
      </c>
    </row>
    <row r="214" spans="1:1" x14ac:dyDescent="0.35">
      <c r="A214" s="4">
        <v>20</v>
      </c>
    </row>
    <row r="215" spans="1:1" x14ac:dyDescent="0.35">
      <c r="A215" s="5">
        <v>10</v>
      </c>
    </row>
    <row r="216" spans="1:1" x14ac:dyDescent="0.35">
      <c r="A216" s="4">
        <v>5</v>
      </c>
    </row>
    <row r="217" spans="1:1" x14ac:dyDescent="0.35">
      <c r="A217" s="5">
        <v>5</v>
      </c>
    </row>
    <row r="218" spans="1:1" x14ac:dyDescent="0.35">
      <c r="A218" s="4">
        <v>15</v>
      </c>
    </row>
    <row r="219" spans="1:1" x14ac:dyDescent="0.35">
      <c r="A219" s="5">
        <v>5</v>
      </c>
    </row>
    <row r="220" spans="1:1" x14ac:dyDescent="0.35">
      <c r="A220" s="4">
        <v>25</v>
      </c>
    </row>
    <row r="221" spans="1:1" x14ac:dyDescent="0.35">
      <c r="A221" s="5">
        <v>10</v>
      </c>
    </row>
    <row r="222" spans="1:1" x14ac:dyDescent="0.35">
      <c r="A222" s="4">
        <v>10</v>
      </c>
    </row>
    <row r="223" spans="1:1" x14ac:dyDescent="0.35">
      <c r="A223" s="5">
        <v>15</v>
      </c>
    </row>
    <row r="224" spans="1:1" x14ac:dyDescent="0.35">
      <c r="A224" s="4">
        <v>10</v>
      </c>
    </row>
    <row r="225" spans="1:1" x14ac:dyDescent="0.35">
      <c r="A225" s="5">
        <v>0</v>
      </c>
    </row>
    <row r="226" spans="1:1" x14ac:dyDescent="0.35">
      <c r="A226" s="4">
        <v>0</v>
      </c>
    </row>
    <row r="227" spans="1:1" x14ac:dyDescent="0.35">
      <c r="A227" s="5">
        <v>15</v>
      </c>
    </row>
    <row r="228" spans="1:1" x14ac:dyDescent="0.35">
      <c r="A228" s="4">
        <v>25</v>
      </c>
    </row>
    <row r="229" spans="1:1" x14ac:dyDescent="0.35">
      <c r="A229" s="5">
        <v>25</v>
      </c>
    </row>
    <row r="230" spans="1:1" x14ac:dyDescent="0.35">
      <c r="A230" s="4">
        <v>0</v>
      </c>
    </row>
    <row r="231" spans="1:1" x14ac:dyDescent="0.35">
      <c r="A231" s="5">
        <v>5</v>
      </c>
    </row>
    <row r="232" spans="1:1" x14ac:dyDescent="0.35">
      <c r="A232" s="4">
        <v>0</v>
      </c>
    </row>
    <row r="233" spans="1:1" x14ac:dyDescent="0.35">
      <c r="A233" s="5">
        <v>10</v>
      </c>
    </row>
    <row r="234" spans="1:1" x14ac:dyDescent="0.35">
      <c r="A234" s="4">
        <v>5</v>
      </c>
    </row>
    <row r="235" spans="1:1" x14ac:dyDescent="0.35">
      <c r="A235" s="5">
        <v>20</v>
      </c>
    </row>
    <row r="236" spans="1:1" x14ac:dyDescent="0.35">
      <c r="A236" s="4">
        <v>15</v>
      </c>
    </row>
    <row r="237" spans="1:1" x14ac:dyDescent="0.35">
      <c r="A237" s="5">
        <v>5</v>
      </c>
    </row>
    <row r="238" spans="1:1" x14ac:dyDescent="0.35">
      <c r="A238" s="4">
        <v>0</v>
      </c>
    </row>
    <row r="239" spans="1:1" x14ac:dyDescent="0.35">
      <c r="A239" s="5">
        <v>15</v>
      </c>
    </row>
    <row r="240" spans="1:1" x14ac:dyDescent="0.35">
      <c r="A240" s="4">
        <v>15</v>
      </c>
    </row>
    <row r="241" spans="1:1" x14ac:dyDescent="0.35">
      <c r="A241" s="5">
        <v>5</v>
      </c>
    </row>
    <row r="242" spans="1:1" x14ac:dyDescent="0.35">
      <c r="A242" s="4">
        <v>0</v>
      </c>
    </row>
    <row r="243" spans="1:1" x14ac:dyDescent="0.35">
      <c r="A243" s="5">
        <v>10</v>
      </c>
    </row>
    <row r="244" spans="1:1" x14ac:dyDescent="0.35">
      <c r="A244" s="4">
        <v>20</v>
      </c>
    </row>
    <row r="245" spans="1:1" x14ac:dyDescent="0.35">
      <c r="A245" s="5">
        <v>15</v>
      </c>
    </row>
    <row r="246" spans="1:1" x14ac:dyDescent="0.35">
      <c r="A246" s="4">
        <v>10</v>
      </c>
    </row>
    <row r="247" spans="1:1" x14ac:dyDescent="0.35">
      <c r="A247" s="5">
        <v>15</v>
      </c>
    </row>
    <row r="248" spans="1:1" x14ac:dyDescent="0.35">
      <c r="A248" s="4">
        <v>15</v>
      </c>
    </row>
    <row r="249" spans="1:1" x14ac:dyDescent="0.35">
      <c r="A249" s="5">
        <v>15</v>
      </c>
    </row>
    <row r="250" spans="1:1" x14ac:dyDescent="0.35">
      <c r="A250" s="4">
        <v>5</v>
      </c>
    </row>
    <row r="251" spans="1:1" x14ac:dyDescent="0.35">
      <c r="A251" s="5">
        <v>0</v>
      </c>
    </row>
    <row r="252" spans="1:1" x14ac:dyDescent="0.35">
      <c r="A252" s="4">
        <v>20</v>
      </c>
    </row>
    <row r="253" spans="1:1" x14ac:dyDescent="0.35">
      <c r="A253" s="5">
        <v>5</v>
      </c>
    </row>
    <row r="254" spans="1:1" x14ac:dyDescent="0.35">
      <c r="A254" s="4">
        <v>0</v>
      </c>
    </row>
    <row r="255" spans="1:1" x14ac:dyDescent="0.35">
      <c r="A255" s="5">
        <v>5</v>
      </c>
    </row>
    <row r="256" spans="1:1" x14ac:dyDescent="0.35">
      <c r="A256" s="4">
        <v>20</v>
      </c>
    </row>
    <row r="257" spans="1:1" x14ac:dyDescent="0.35">
      <c r="A257" s="5">
        <v>10</v>
      </c>
    </row>
    <row r="258" spans="1:1" x14ac:dyDescent="0.35">
      <c r="A258" s="4">
        <v>15</v>
      </c>
    </row>
    <row r="259" spans="1:1" x14ac:dyDescent="0.35">
      <c r="A259" s="5">
        <v>5</v>
      </c>
    </row>
    <row r="260" spans="1:1" x14ac:dyDescent="0.35">
      <c r="A260" s="4">
        <v>0</v>
      </c>
    </row>
    <row r="261" spans="1:1" x14ac:dyDescent="0.35">
      <c r="A261" s="5">
        <v>5</v>
      </c>
    </row>
    <row r="262" spans="1:1" x14ac:dyDescent="0.35">
      <c r="A262" s="4">
        <v>5</v>
      </c>
    </row>
    <row r="263" spans="1:1" x14ac:dyDescent="0.35">
      <c r="A263" s="5">
        <v>15</v>
      </c>
    </row>
    <row r="264" spans="1:1" x14ac:dyDescent="0.35">
      <c r="A264" s="4">
        <v>15</v>
      </c>
    </row>
    <row r="265" spans="1:1" x14ac:dyDescent="0.35">
      <c r="A265" s="5">
        <v>0</v>
      </c>
    </row>
    <row r="266" spans="1:1" x14ac:dyDescent="0.35">
      <c r="A266" s="4">
        <v>0</v>
      </c>
    </row>
    <row r="267" spans="1:1" x14ac:dyDescent="0.35">
      <c r="A267" s="5">
        <v>15</v>
      </c>
    </row>
    <row r="268" spans="1:1" x14ac:dyDescent="0.35">
      <c r="A268" s="4">
        <v>0</v>
      </c>
    </row>
    <row r="269" spans="1:1" x14ac:dyDescent="0.35">
      <c r="A269" s="5">
        <v>10</v>
      </c>
    </row>
    <row r="270" spans="1:1" x14ac:dyDescent="0.35">
      <c r="A270" s="4">
        <v>15</v>
      </c>
    </row>
    <row r="271" spans="1:1" x14ac:dyDescent="0.35">
      <c r="A271" s="5">
        <v>15</v>
      </c>
    </row>
    <row r="272" spans="1:1" x14ac:dyDescent="0.35">
      <c r="A272" s="4">
        <v>0</v>
      </c>
    </row>
    <row r="273" spans="1:1" x14ac:dyDescent="0.35">
      <c r="A273" s="5">
        <v>15</v>
      </c>
    </row>
    <row r="274" spans="1:1" x14ac:dyDescent="0.35">
      <c r="A274" s="4">
        <v>10</v>
      </c>
    </row>
    <row r="275" spans="1:1" x14ac:dyDescent="0.35">
      <c r="A275" s="5">
        <v>0</v>
      </c>
    </row>
    <row r="276" spans="1:1" x14ac:dyDescent="0.35">
      <c r="A276" s="4">
        <v>15</v>
      </c>
    </row>
    <row r="277" spans="1:1" x14ac:dyDescent="0.35">
      <c r="A277" s="5">
        <v>5</v>
      </c>
    </row>
    <row r="278" spans="1:1" x14ac:dyDescent="0.35">
      <c r="A278" s="4">
        <v>5</v>
      </c>
    </row>
    <row r="279" spans="1:1" x14ac:dyDescent="0.35">
      <c r="A279" s="5">
        <v>5</v>
      </c>
    </row>
    <row r="280" spans="1:1" x14ac:dyDescent="0.35">
      <c r="A280" s="4">
        <v>0</v>
      </c>
    </row>
    <row r="281" spans="1:1" x14ac:dyDescent="0.35">
      <c r="A281" s="5">
        <v>20</v>
      </c>
    </row>
    <row r="282" spans="1:1" x14ac:dyDescent="0.35">
      <c r="A282" s="4">
        <v>15</v>
      </c>
    </row>
    <row r="283" spans="1:1" x14ac:dyDescent="0.35">
      <c r="A283" s="5">
        <v>15</v>
      </c>
    </row>
    <row r="284" spans="1:1" x14ac:dyDescent="0.35">
      <c r="A284" s="4">
        <v>15</v>
      </c>
    </row>
    <row r="285" spans="1:1" x14ac:dyDescent="0.35">
      <c r="A285" s="5">
        <v>10</v>
      </c>
    </row>
    <row r="286" spans="1:1" x14ac:dyDescent="0.35">
      <c r="A286" s="4">
        <v>10</v>
      </c>
    </row>
    <row r="287" spans="1:1" x14ac:dyDescent="0.35">
      <c r="A287" s="5">
        <v>5</v>
      </c>
    </row>
    <row r="288" spans="1:1" x14ac:dyDescent="0.35">
      <c r="A288" s="4">
        <v>5</v>
      </c>
    </row>
    <row r="289" spans="1:1" x14ac:dyDescent="0.35">
      <c r="A289" s="5">
        <v>15</v>
      </c>
    </row>
    <row r="290" spans="1:1" x14ac:dyDescent="0.35">
      <c r="A290" s="4">
        <v>10</v>
      </c>
    </row>
    <row r="291" spans="1:1" x14ac:dyDescent="0.35">
      <c r="A291" s="5">
        <v>10</v>
      </c>
    </row>
    <row r="292" spans="1:1" x14ac:dyDescent="0.35">
      <c r="A292" s="4">
        <v>10</v>
      </c>
    </row>
    <row r="293" spans="1:1" x14ac:dyDescent="0.35">
      <c r="A293" s="5">
        <v>0</v>
      </c>
    </row>
    <row r="294" spans="1:1" x14ac:dyDescent="0.35">
      <c r="A294" s="4">
        <v>0</v>
      </c>
    </row>
    <row r="295" spans="1:1" x14ac:dyDescent="0.35">
      <c r="A295" s="5">
        <v>10</v>
      </c>
    </row>
    <row r="296" spans="1:1" x14ac:dyDescent="0.35">
      <c r="A296" s="4">
        <v>0</v>
      </c>
    </row>
    <row r="297" spans="1:1" x14ac:dyDescent="0.35">
      <c r="A297" s="5">
        <v>10</v>
      </c>
    </row>
    <row r="298" spans="1:1" x14ac:dyDescent="0.35">
      <c r="A298" s="4">
        <v>20</v>
      </c>
    </row>
    <row r="299" spans="1:1" x14ac:dyDescent="0.35">
      <c r="A299" s="5">
        <v>10</v>
      </c>
    </row>
    <row r="300" spans="1:1" x14ac:dyDescent="0.35">
      <c r="A300" s="4">
        <v>10</v>
      </c>
    </row>
    <row r="301" spans="1:1" x14ac:dyDescent="0.35">
      <c r="A301" s="5">
        <v>10</v>
      </c>
    </row>
    <row r="302" spans="1:1" x14ac:dyDescent="0.35">
      <c r="A302" s="4">
        <v>20</v>
      </c>
    </row>
    <row r="303" spans="1:1" x14ac:dyDescent="0.35">
      <c r="A303" s="5">
        <v>15</v>
      </c>
    </row>
    <row r="304" spans="1:1" x14ac:dyDescent="0.35">
      <c r="A304" s="4">
        <v>5</v>
      </c>
    </row>
    <row r="305" spans="1:1" x14ac:dyDescent="0.35">
      <c r="A305" s="5">
        <v>20</v>
      </c>
    </row>
    <row r="306" spans="1:1" x14ac:dyDescent="0.35">
      <c r="A306" s="4">
        <v>0</v>
      </c>
    </row>
    <row r="307" spans="1:1" x14ac:dyDescent="0.35">
      <c r="A307" s="5">
        <v>15</v>
      </c>
    </row>
    <row r="308" spans="1:1" x14ac:dyDescent="0.35">
      <c r="A308" s="4">
        <v>10</v>
      </c>
    </row>
    <row r="309" spans="1:1" x14ac:dyDescent="0.35">
      <c r="A309" s="5">
        <v>10</v>
      </c>
    </row>
    <row r="310" spans="1:1" x14ac:dyDescent="0.35">
      <c r="A310" s="4">
        <v>0</v>
      </c>
    </row>
    <row r="311" spans="1:1" x14ac:dyDescent="0.35">
      <c r="A311" s="5">
        <v>15</v>
      </c>
    </row>
    <row r="312" spans="1:1" x14ac:dyDescent="0.35">
      <c r="A312" s="4">
        <v>5</v>
      </c>
    </row>
    <row r="313" spans="1:1" x14ac:dyDescent="0.35">
      <c r="A313" s="5">
        <v>20</v>
      </c>
    </row>
    <row r="314" spans="1:1" x14ac:dyDescent="0.35">
      <c r="A314" s="4">
        <v>0</v>
      </c>
    </row>
    <row r="315" spans="1:1" x14ac:dyDescent="0.35">
      <c r="A315" s="5">
        <v>15</v>
      </c>
    </row>
    <row r="316" spans="1:1" x14ac:dyDescent="0.35">
      <c r="A316" s="4">
        <v>0</v>
      </c>
    </row>
    <row r="317" spans="1:1" x14ac:dyDescent="0.35">
      <c r="A317" s="5">
        <v>0</v>
      </c>
    </row>
    <row r="318" spans="1:1" x14ac:dyDescent="0.35">
      <c r="A318" s="4">
        <v>5</v>
      </c>
    </row>
    <row r="319" spans="1:1" x14ac:dyDescent="0.35">
      <c r="A319" s="5">
        <v>10</v>
      </c>
    </row>
    <row r="320" spans="1:1" x14ac:dyDescent="0.35">
      <c r="A320" s="4">
        <v>5</v>
      </c>
    </row>
    <row r="321" spans="1:1" x14ac:dyDescent="0.35">
      <c r="A321" s="5">
        <v>0</v>
      </c>
    </row>
    <row r="322" spans="1:1" x14ac:dyDescent="0.35">
      <c r="A322" s="4">
        <v>0</v>
      </c>
    </row>
    <row r="323" spans="1:1" x14ac:dyDescent="0.35">
      <c r="A323" s="5">
        <v>20</v>
      </c>
    </row>
    <row r="324" spans="1:1" x14ac:dyDescent="0.35">
      <c r="A324" s="4">
        <v>10</v>
      </c>
    </row>
    <row r="325" spans="1:1" x14ac:dyDescent="0.35">
      <c r="A325" s="5">
        <v>15</v>
      </c>
    </row>
    <row r="326" spans="1:1" x14ac:dyDescent="0.35">
      <c r="A326" s="4">
        <v>5</v>
      </c>
    </row>
    <row r="327" spans="1:1" x14ac:dyDescent="0.35">
      <c r="A327" s="5">
        <v>5</v>
      </c>
    </row>
    <row r="328" spans="1:1" x14ac:dyDescent="0.35">
      <c r="A328" s="4">
        <v>10</v>
      </c>
    </row>
    <row r="329" spans="1:1" x14ac:dyDescent="0.35">
      <c r="A329" s="5">
        <v>0</v>
      </c>
    </row>
    <row r="330" spans="1:1" x14ac:dyDescent="0.35">
      <c r="A330" s="4">
        <v>10</v>
      </c>
    </row>
    <row r="331" spans="1:1" x14ac:dyDescent="0.35">
      <c r="A331" s="5">
        <v>0</v>
      </c>
    </row>
    <row r="332" spans="1:1" x14ac:dyDescent="0.35">
      <c r="A332" s="4">
        <v>10</v>
      </c>
    </row>
    <row r="333" spans="1:1" x14ac:dyDescent="0.35">
      <c r="A333" s="5">
        <v>10</v>
      </c>
    </row>
    <row r="334" spans="1:1" x14ac:dyDescent="0.35">
      <c r="A334" s="4">
        <v>25</v>
      </c>
    </row>
    <row r="335" spans="1:1" x14ac:dyDescent="0.35">
      <c r="A335" s="5">
        <v>10</v>
      </c>
    </row>
    <row r="336" spans="1:1" x14ac:dyDescent="0.35">
      <c r="A336" s="4">
        <v>10</v>
      </c>
    </row>
    <row r="337" spans="1:1" x14ac:dyDescent="0.35">
      <c r="A337" s="5">
        <v>5</v>
      </c>
    </row>
    <row r="338" spans="1:1" x14ac:dyDescent="0.35">
      <c r="A338" s="4">
        <v>20</v>
      </c>
    </row>
    <row r="339" spans="1:1" x14ac:dyDescent="0.35">
      <c r="A339" s="5">
        <v>5</v>
      </c>
    </row>
    <row r="340" spans="1:1" x14ac:dyDescent="0.35">
      <c r="A340" s="4">
        <v>5</v>
      </c>
    </row>
    <row r="341" spans="1:1" x14ac:dyDescent="0.35">
      <c r="A341" s="5">
        <v>5</v>
      </c>
    </row>
    <row r="342" spans="1:1" x14ac:dyDescent="0.35">
      <c r="A342" s="4">
        <v>0</v>
      </c>
    </row>
    <row r="343" spans="1:1" x14ac:dyDescent="0.35">
      <c r="A343" s="5">
        <v>5</v>
      </c>
    </row>
    <row r="344" spans="1:1" x14ac:dyDescent="0.35">
      <c r="A344" s="4">
        <v>15</v>
      </c>
    </row>
    <row r="345" spans="1:1" x14ac:dyDescent="0.35">
      <c r="A345" s="5">
        <v>0</v>
      </c>
    </row>
    <row r="346" spans="1:1" x14ac:dyDescent="0.35">
      <c r="A346" s="4">
        <v>20</v>
      </c>
    </row>
    <row r="347" spans="1:1" x14ac:dyDescent="0.35">
      <c r="A347" s="5">
        <v>0</v>
      </c>
    </row>
    <row r="348" spans="1:1" x14ac:dyDescent="0.35">
      <c r="A348" s="4">
        <v>10</v>
      </c>
    </row>
    <row r="349" spans="1:1" x14ac:dyDescent="0.35">
      <c r="A349" s="5">
        <v>0</v>
      </c>
    </row>
    <row r="350" spans="1:1" x14ac:dyDescent="0.35">
      <c r="A350" s="4">
        <v>0</v>
      </c>
    </row>
    <row r="351" spans="1:1" x14ac:dyDescent="0.35">
      <c r="A351" s="5">
        <v>15</v>
      </c>
    </row>
    <row r="352" spans="1:1" x14ac:dyDescent="0.35">
      <c r="A352" s="4">
        <v>10</v>
      </c>
    </row>
    <row r="353" spans="1:1" x14ac:dyDescent="0.35">
      <c r="A353" s="5">
        <v>0</v>
      </c>
    </row>
    <row r="354" spans="1:1" x14ac:dyDescent="0.35">
      <c r="A354" s="4">
        <v>15</v>
      </c>
    </row>
    <row r="355" spans="1:1" x14ac:dyDescent="0.35">
      <c r="A355" s="5">
        <v>15</v>
      </c>
    </row>
    <row r="356" spans="1:1" x14ac:dyDescent="0.35">
      <c r="A356" s="4">
        <v>5</v>
      </c>
    </row>
    <row r="357" spans="1:1" x14ac:dyDescent="0.35">
      <c r="A357" s="5">
        <v>20</v>
      </c>
    </row>
    <row r="358" spans="1:1" x14ac:dyDescent="0.35">
      <c r="A358" s="4">
        <v>30</v>
      </c>
    </row>
    <row r="359" spans="1:1" x14ac:dyDescent="0.35">
      <c r="A359" s="5">
        <v>10</v>
      </c>
    </row>
    <row r="360" spans="1:1" x14ac:dyDescent="0.35">
      <c r="A360" s="4">
        <v>5</v>
      </c>
    </row>
    <row r="361" spans="1:1" x14ac:dyDescent="0.35">
      <c r="A361" s="5">
        <v>5</v>
      </c>
    </row>
    <row r="362" spans="1:1" x14ac:dyDescent="0.35">
      <c r="A362" s="4">
        <v>5</v>
      </c>
    </row>
    <row r="363" spans="1:1" x14ac:dyDescent="0.35">
      <c r="A363" s="5">
        <v>5</v>
      </c>
    </row>
    <row r="364" spans="1:1" x14ac:dyDescent="0.35">
      <c r="A364" s="4">
        <v>5</v>
      </c>
    </row>
    <row r="365" spans="1:1" x14ac:dyDescent="0.35">
      <c r="A365" s="5">
        <v>10</v>
      </c>
    </row>
    <row r="366" spans="1:1" x14ac:dyDescent="0.35">
      <c r="A366" s="4">
        <v>25</v>
      </c>
    </row>
    <row r="367" spans="1:1" x14ac:dyDescent="0.35">
      <c r="A367" s="5">
        <v>10</v>
      </c>
    </row>
    <row r="368" spans="1:1" x14ac:dyDescent="0.35">
      <c r="A368" s="4">
        <v>20</v>
      </c>
    </row>
    <row r="369" spans="1:1" x14ac:dyDescent="0.35">
      <c r="A369" s="5">
        <v>10</v>
      </c>
    </row>
    <row r="370" spans="1:1" x14ac:dyDescent="0.35">
      <c r="A370" s="4">
        <v>15</v>
      </c>
    </row>
    <row r="371" spans="1:1" x14ac:dyDescent="0.35">
      <c r="A371" s="5">
        <v>5</v>
      </c>
    </row>
    <row r="372" spans="1:1" x14ac:dyDescent="0.35">
      <c r="A372" s="4">
        <v>0</v>
      </c>
    </row>
    <row r="373" spans="1:1" x14ac:dyDescent="0.35">
      <c r="A373" s="5">
        <v>5</v>
      </c>
    </row>
    <row r="374" spans="1:1" x14ac:dyDescent="0.35">
      <c r="A374" s="4">
        <v>10</v>
      </c>
    </row>
    <row r="375" spans="1:1" x14ac:dyDescent="0.35">
      <c r="A375" s="5">
        <v>10</v>
      </c>
    </row>
    <row r="376" spans="1:1" x14ac:dyDescent="0.35">
      <c r="A376" s="4">
        <v>20</v>
      </c>
    </row>
    <row r="377" spans="1:1" x14ac:dyDescent="0.35">
      <c r="A377" s="5">
        <v>20</v>
      </c>
    </row>
    <row r="378" spans="1:1" x14ac:dyDescent="0.35">
      <c r="A378" s="4">
        <v>10</v>
      </c>
    </row>
    <row r="379" spans="1:1" x14ac:dyDescent="0.35">
      <c r="A379" s="5">
        <v>15</v>
      </c>
    </row>
    <row r="380" spans="1:1" x14ac:dyDescent="0.35">
      <c r="A380" s="4">
        <v>10</v>
      </c>
    </row>
    <row r="381" spans="1:1" x14ac:dyDescent="0.35">
      <c r="A381" s="5">
        <v>10</v>
      </c>
    </row>
    <row r="382" spans="1:1" x14ac:dyDescent="0.35">
      <c r="A382" s="4">
        <v>0</v>
      </c>
    </row>
    <row r="383" spans="1:1" x14ac:dyDescent="0.35">
      <c r="A383" s="5">
        <v>15</v>
      </c>
    </row>
    <row r="384" spans="1:1" x14ac:dyDescent="0.35">
      <c r="A384" s="4">
        <v>10</v>
      </c>
    </row>
    <row r="385" spans="1:1" x14ac:dyDescent="0.35">
      <c r="A385" s="5">
        <v>5</v>
      </c>
    </row>
    <row r="386" spans="1:1" x14ac:dyDescent="0.35">
      <c r="A386" s="4">
        <v>10</v>
      </c>
    </row>
    <row r="387" spans="1:1" x14ac:dyDescent="0.35">
      <c r="A387" s="5">
        <v>5</v>
      </c>
    </row>
    <row r="388" spans="1:1" x14ac:dyDescent="0.35">
      <c r="A388" s="4">
        <v>5</v>
      </c>
    </row>
    <row r="389" spans="1:1" x14ac:dyDescent="0.35">
      <c r="A389" s="5">
        <v>5</v>
      </c>
    </row>
    <row r="390" spans="1:1" x14ac:dyDescent="0.35">
      <c r="A390" s="4">
        <v>0</v>
      </c>
    </row>
    <row r="391" spans="1:1" x14ac:dyDescent="0.35">
      <c r="A391" s="5">
        <v>0</v>
      </c>
    </row>
    <row r="392" spans="1:1" x14ac:dyDescent="0.35">
      <c r="A392" s="4">
        <v>10</v>
      </c>
    </row>
    <row r="393" spans="1:1" x14ac:dyDescent="0.35">
      <c r="A393" s="5">
        <v>15</v>
      </c>
    </row>
    <row r="394" spans="1:1" x14ac:dyDescent="0.35">
      <c r="A394" s="4">
        <v>10</v>
      </c>
    </row>
    <row r="395" spans="1:1" x14ac:dyDescent="0.35">
      <c r="A395" s="5">
        <v>25</v>
      </c>
    </row>
    <row r="396" spans="1:1" x14ac:dyDescent="0.35">
      <c r="A396" s="4">
        <v>0</v>
      </c>
    </row>
    <row r="397" spans="1:1" x14ac:dyDescent="0.35">
      <c r="A397" s="5">
        <v>20</v>
      </c>
    </row>
    <row r="398" spans="1:1" x14ac:dyDescent="0.35">
      <c r="A398" s="4">
        <v>30</v>
      </c>
    </row>
    <row r="399" spans="1:1" x14ac:dyDescent="0.35">
      <c r="A399" s="5">
        <v>10</v>
      </c>
    </row>
    <row r="400" spans="1:1" x14ac:dyDescent="0.35">
      <c r="A400" s="4">
        <v>15</v>
      </c>
    </row>
    <row r="401" spans="1:1" x14ac:dyDescent="0.35">
      <c r="A401" s="5">
        <v>5</v>
      </c>
    </row>
    <row r="402" spans="1:1" x14ac:dyDescent="0.35">
      <c r="A402" s="4">
        <v>5</v>
      </c>
    </row>
    <row r="403" spans="1:1" x14ac:dyDescent="0.35">
      <c r="A403" s="5">
        <v>5</v>
      </c>
    </row>
    <row r="404" spans="1:1" x14ac:dyDescent="0.35">
      <c r="A404" s="4">
        <v>10</v>
      </c>
    </row>
    <row r="405" spans="1:1" x14ac:dyDescent="0.35">
      <c r="A405" s="5">
        <v>5</v>
      </c>
    </row>
    <row r="406" spans="1:1" x14ac:dyDescent="0.35">
      <c r="A406" s="4">
        <v>20</v>
      </c>
    </row>
    <row r="407" spans="1:1" x14ac:dyDescent="0.35">
      <c r="A407" s="5">
        <v>0</v>
      </c>
    </row>
    <row r="408" spans="1:1" x14ac:dyDescent="0.35">
      <c r="A408" s="4">
        <v>0</v>
      </c>
    </row>
    <row r="409" spans="1:1" x14ac:dyDescent="0.35">
      <c r="A409" s="5">
        <v>5</v>
      </c>
    </row>
    <row r="410" spans="1:1" x14ac:dyDescent="0.35">
      <c r="A410" s="4">
        <v>0</v>
      </c>
    </row>
    <row r="411" spans="1:1" x14ac:dyDescent="0.35">
      <c r="A411" s="5">
        <v>10</v>
      </c>
    </row>
    <row r="412" spans="1:1" x14ac:dyDescent="0.35">
      <c r="A412" s="4">
        <v>10</v>
      </c>
    </row>
    <row r="413" spans="1:1" x14ac:dyDescent="0.35">
      <c r="A413" s="5">
        <v>5</v>
      </c>
    </row>
    <row r="414" spans="1:1" x14ac:dyDescent="0.35">
      <c r="A414" s="4">
        <v>5</v>
      </c>
    </row>
    <row r="415" spans="1:1" x14ac:dyDescent="0.35">
      <c r="A415" s="5">
        <v>10</v>
      </c>
    </row>
    <row r="416" spans="1:1" x14ac:dyDescent="0.35">
      <c r="A416" s="4">
        <v>10</v>
      </c>
    </row>
    <row r="417" spans="1:1" x14ac:dyDescent="0.35">
      <c r="A417" s="5">
        <v>25</v>
      </c>
    </row>
    <row r="418" spans="1:1" x14ac:dyDescent="0.35">
      <c r="A418" s="4">
        <v>5</v>
      </c>
    </row>
    <row r="419" spans="1:1" x14ac:dyDescent="0.35">
      <c r="A419" s="5">
        <v>20</v>
      </c>
    </row>
    <row r="420" spans="1:1" x14ac:dyDescent="0.35">
      <c r="A420" s="4">
        <v>10</v>
      </c>
    </row>
    <row r="421" spans="1:1" x14ac:dyDescent="0.35">
      <c r="A421" s="5">
        <v>30</v>
      </c>
    </row>
    <row r="422" spans="1:1" x14ac:dyDescent="0.35">
      <c r="A422" s="4">
        <v>20</v>
      </c>
    </row>
    <row r="423" spans="1:1" x14ac:dyDescent="0.35">
      <c r="A423" s="5">
        <v>5</v>
      </c>
    </row>
    <row r="424" spans="1:1" x14ac:dyDescent="0.35">
      <c r="A424" s="4">
        <v>5</v>
      </c>
    </row>
    <row r="425" spans="1:1" x14ac:dyDescent="0.35">
      <c r="A425" s="5">
        <v>5</v>
      </c>
    </row>
    <row r="426" spans="1:1" x14ac:dyDescent="0.35">
      <c r="A426" s="4">
        <v>0</v>
      </c>
    </row>
    <row r="427" spans="1:1" x14ac:dyDescent="0.35">
      <c r="A427" s="5">
        <v>0</v>
      </c>
    </row>
    <row r="428" spans="1:1" x14ac:dyDescent="0.35">
      <c r="A428" s="4">
        <v>15</v>
      </c>
    </row>
    <row r="429" spans="1:1" x14ac:dyDescent="0.35">
      <c r="A429" s="5">
        <v>25</v>
      </c>
    </row>
    <row r="430" spans="1:1" x14ac:dyDescent="0.35">
      <c r="A430" s="4">
        <v>10</v>
      </c>
    </row>
    <row r="431" spans="1:1" x14ac:dyDescent="0.35">
      <c r="A431" s="5">
        <v>10</v>
      </c>
    </row>
    <row r="432" spans="1:1" x14ac:dyDescent="0.35">
      <c r="A432" s="4">
        <v>10</v>
      </c>
    </row>
    <row r="433" spans="1:1" x14ac:dyDescent="0.35">
      <c r="A433" s="5">
        <v>15</v>
      </c>
    </row>
    <row r="434" spans="1:1" x14ac:dyDescent="0.35">
      <c r="A434" s="4">
        <v>5</v>
      </c>
    </row>
    <row r="435" spans="1:1" x14ac:dyDescent="0.35">
      <c r="A435" s="5">
        <v>10</v>
      </c>
    </row>
    <row r="436" spans="1:1" x14ac:dyDescent="0.35">
      <c r="A436" s="4">
        <v>0</v>
      </c>
    </row>
    <row r="437" spans="1:1" x14ac:dyDescent="0.35">
      <c r="A437" s="5">
        <v>5</v>
      </c>
    </row>
    <row r="438" spans="1:1" x14ac:dyDescent="0.35">
      <c r="A438" s="4">
        <v>5</v>
      </c>
    </row>
    <row r="439" spans="1:1" x14ac:dyDescent="0.35">
      <c r="A439" s="5">
        <v>10</v>
      </c>
    </row>
    <row r="440" spans="1:1" x14ac:dyDescent="0.35">
      <c r="A440" s="4">
        <v>5</v>
      </c>
    </row>
    <row r="441" spans="1:1" x14ac:dyDescent="0.35">
      <c r="A441" s="5">
        <v>0</v>
      </c>
    </row>
    <row r="442" spans="1:1" x14ac:dyDescent="0.35">
      <c r="A442" s="4">
        <v>10</v>
      </c>
    </row>
    <row r="443" spans="1:1" x14ac:dyDescent="0.35">
      <c r="A443" s="5">
        <v>0</v>
      </c>
    </row>
    <row r="444" spans="1:1" x14ac:dyDescent="0.35">
      <c r="A444" s="4">
        <v>0</v>
      </c>
    </row>
    <row r="445" spans="1:1" x14ac:dyDescent="0.35">
      <c r="A445" s="5">
        <v>10</v>
      </c>
    </row>
    <row r="446" spans="1:1" x14ac:dyDescent="0.35">
      <c r="A446" s="4">
        <v>15</v>
      </c>
    </row>
    <row r="447" spans="1:1" x14ac:dyDescent="0.35">
      <c r="A447" s="5">
        <v>10</v>
      </c>
    </row>
    <row r="448" spans="1:1" x14ac:dyDescent="0.35">
      <c r="A448" s="4">
        <v>0</v>
      </c>
    </row>
    <row r="449" spans="1:1" x14ac:dyDescent="0.35">
      <c r="A449" s="5">
        <v>20</v>
      </c>
    </row>
    <row r="450" spans="1:1" x14ac:dyDescent="0.35">
      <c r="A450" s="4">
        <v>10</v>
      </c>
    </row>
    <row r="451" spans="1:1" x14ac:dyDescent="0.35">
      <c r="A451" s="5">
        <v>10</v>
      </c>
    </row>
    <row r="452" spans="1:1" x14ac:dyDescent="0.35">
      <c r="A452" s="4">
        <v>10</v>
      </c>
    </row>
    <row r="453" spans="1:1" x14ac:dyDescent="0.35">
      <c r="A453" s="5">
        <v>15</v>
      </c>
    </row>
    <row r="454" spans="1:1" x14ac:dyDescent="0.35">
      <c r="A454" s="4">
        <v>30</v>
      </c>
    </row>
    <row r="455" spans="1:1" x14ac:dyDescent="0.35">
      <c r="A455" s="5">
        <v>0</v>
      </c>
    </row>
    <row r="456" spans="1:1" x14ac:dyDescent="0.35">
      <c r="A456" s="4">
        <v>10</v>
      </c>
    </row>
    <row r="457" spans="1:1" x14ac:dyDescent="0.35">
      <c r="A457" s="5">
        <v>15</v>
      </c>
    </row>
    <row r="458" spans="1:1" x14ac:dyDescent="0.35">
      <c r="A458" s="4">
        <v>20</v>
      </c>
    </row>
    <row r="459" spans="1:1" x14ac:dyDescent="0.35">
      <c r="A459" s="5">
        <v>25</v>
      </c>
    </row>
    <row r="460" spans="1:1" x14ac:dyDescent="0.35">
      <c r="A460" s="4">
        <v>5</v>
      </c>
    </row>
    <row r="461" spans="1:1" x14ac:dyDescent="0.35">
      <c r="A461" s="5">
        <v>30</v>
      </c>
    </row>
    <row r="462" spans="1:1" x14ac:dyDescent="0.35">
      <c r="A462" s="4">
        <v>15</v>
      </c>
    </row>
    <row r="463" spans="1:1" x14ac:dyDescent="0.35">
      <c r="A463" s="5">
        <v>5</v>
      </c>
    </row>
    <row r="464" spans="1:1" x14ac:dyDescent="0.35">
      <c r="A464" s="4">
        <v>10</v>
      </c>
    </row>
    <row r="465" spans="1:1" x14ac:dyDescent="0.35">
      <c r="A465" s="5">
        <v>0</v>
      </c>
    </row>
    <row r="466" spans="1:1" x14ac:dyDescent="0.35">
      <c r="A466" s="4">
        <v>5</v>
      </c>
    </row>
    <row r="467" spans="1:1" x14ac:dyDescent="0.35">
      <c r="A467" s="5">
        <v>0</v>
      </c>
    </row>
    <row r="468" spans="1:1" x14ac:dyDescent="0.35">
      <c r="A468" s="4">
        <v>15</v>
      </c>
    </row>
    <row r="469" spans="1:1" x14ac:dyDescent="0.35">
      <c r="A469" s="5">
        <v>20</v>
      </c>
    </row>
    <row r="470" spans="1:1" x14ac:dyDescent="0.35">
      <c r="A470" s="4">
        <v>0</v>
      </c>
    </row>
    <row r="471" spans="1:1" x14ac:dyDescent="0.35">
      <c r="A471" s="5">
        <v>10</v>
      </c>
    </row>
    <row r="472" spans="1:1" x14ac:dyDescent="0.35">
      <c r="A472" s="4">
        <v>10</v>
      </c>
    </row>
    <row r="473" spans="1:1" x14ac:dyDescent="0.35">
      <c r="A473" s="5">
        <v>0</v>
      </c>
    </row>
    <row r="474" spans="1:1" x14ac:dyDescent="0.35">
      <c r="A474" s="4">
        <v>15</v>
      </c>
    </row>
    <row r="475" spans="1:1" x14ac:dyDescent="0.35">
      <c r="A475" s="5">
        <v>10</v>
      </c>
    </row>
    <row r="476" spans="1:1" x14ac:dyDescent="0.35">
      <c r="A476" s="4">
        <v>15</v>
      </c>
    </row>
    <row r="477" spans="1:1" x14ac:dyDescent="0.35">
      <c r="A477" s="5">
        <v>0</v>
      </c>
    </row>
    <row r="478" spans="1:1" x14ac:dyDescent="0.35">
      <c r="A478" s="4">
        <v>0</v>
      </c>
    </row>
    <row r="479" spans="1:1" x14ac:dyDescent="0.35">
      <c r="A479" s="5">
        <v>5</v>
      </c>
    </row>
    <row r="480" spans="1:1" x14ac:dyDescent="0.35">
      <c r="A480" s="4">
        <v>15</v>
      </c>
    </row>
    <row r="481" spans="1:1" x14ac:dyDescent="0.35">
      <c r="A481" s="5">
        <v>0</v>
      </c>
    </row>
    <row r="482" spans="1:1" x14ac:dyDescent="0.35">
      <c r="A482" s="4">
        <v>15</v>
      </c>
    </row>
    <row r="483" spans="1:1" x14ac:dyDescent="0.35">
      <c r="A483" s="5">
        <v>15</v>
      </c>
    </row>
    <row r="484" spans="1:1" x14ac:dyDescent="0.35">
      <c r="A484" s="4">
        <v>0</v>
      </c>
    </row>
    <row r="485" spans="1:1" x14ac:dyDescent="0.35">
      <c r="A485" s="5">
        <v>10</v>
      </c>
    </row>
    <row r="486" spans="1:1" x14ac:dyDescent="0.35">
      <c r="A486" s="4">
        <v>15</v>
      </c>
    </row>
    <row r="487" spans="1:1" x14ac:dyDescent="0.35">
      <c r="A487" s="5">
        <v>10</v>
      </c>
    </row>
    <row r="488" spans="1:1" x14ac:dyDescent="0.35">
      <c r="A488" s="4">
        <v>5</v>
      </c>
    </row>
    <row r="489" spans="1:1" x14ac:dyDescent="0.35">
      <c r="A489" s="5">
        <v>5</v>
      </c>
    </row>
    <row r="490" spans="1:1" x14ac:dyDescent="0.35">
      <c r="A490" s="4">
        <v>5</v>
      </c>
    </row>
    <row r="491" spans="1:1" x14ac:dyDescent="0.35">
      <c r="A491" s="5">
        <v>0</v>
      </c>
    </row>
    <row r="492" spans="1:1" x14ac:dyDescent="0.35">
      <c r="A492" s="4">
        <v>5</v>
      </c>
    </row>
    <row r="493" spans="1:1" x14ac:dyDescent="0.35">
      <c r="A493" s="5">
        <v>0</v>
      </c>
    </row>
    <row r="494" spans="1:1" x14ac:dyDescent="0.35">
      <c r="A494" s="4">
        <v>20</v>
      </c>
    </row>
    <row r="495" spans="1:1" x14ac:dyDescent="0.35">
      <c r="A495" s="5">
        <v>10</v>
      </c>
    </row>
    <row r="496" spans="1:1" x14ac:dyDescent="0.35">
      <c r="A496" s="4">
        <v>10</v>
      </c>
    </row>
    <row r="497" spans="1:1" x14ac:dyDescent="0.35">
      <c r="A497" s="5">
        <v>0</v>
      </c>
    </row>
    <row r="498" spans="1:1" x14ac:dyDescent="0.35">
      <c r="A498" s="4">
        <v>30</v>
      </c>
    </row>
    <row r="499" spans="1:1" x14ac:dyDescent="0.35">
      <c r="A499" s="5">
        <v>0</v>
      </c>
    </row>
    <row r="500" spans="1:1" x14ac:dyDescent="0.35">
      <c r="A500" s="4">
        <v>15</v>
      </c>
    </row>
    <row r="501" spans="1:1" x14ac:dyDescent="0.35">
      <c r="A501" s="5">
        <v>25</v>
      </c>
    </row>
    <row r="502" spans="1:1" x14ac:dyDescent="0.35">
      <c r="A502" s="4">
        <v>5</v>
      </c>
    </row>
    <row r="503" spans="1:1" x14ac:dyDescent="0.35">
      <c r="A503" s="5">
        <v>10</v>
      </c>
    </row>
    <row r="504" spans="1:1" x14ac:dyDescent="0.35">
      <c r="A504" s="4">
        <v>5</v>
      </c>
    </row>
    <row r="505" spans="1:1" x14ac:dyDescent="0.35">
      <c r="A505" s="5">
        <v>15</v>
      </c>
    </row>
    <row r="506" spans="1:1" x14ac:dyDescent="0.35">
      <c r="A506" s="4">
        <v>5</v>
      </c>
    </row>
    <row r="507" spans="1:1" x14ac:dyDescent="0.35">
      <c r="A507" s="5">
        <v>10</v>
      </c>
    </row>
    <row r="508" spans="1:1" x14ac:dyDescent="0.35">
      <c r="A508" s="4">
        <v>25</v>
      </c>
    </row>
    <row r="509" spans="1:1" x14ac:dyDescent="0.35">
      <c r="A509" s="5">
        <v>0</v>
      </c>
    </row>
    <row r="510" spans="1:1" x14ac:dyDescent="0.35">
      <c r="A510" s="4">
        <v>5</v>
      </c>
    </row>
    <row r="511" spans="1:1" x14ac:dyDescent="0.35">
      <c r="A511" s="5">
        <v>5</v>
      </c>
    </row>
    <row r="512" spans="1:1" x14ac:dyDescent="0.35">
      <c r="A512" s="4">
        <v>0</v>
      </c>
    </row>
    <row r="513" spans="1:1" x14ac:dyDescent="0.35">
      <c r="A513" s="5">
        <v>10</v>
      </c>
    </row>
    <row r="514" spans="1:1" x14ac:dyDescent="0.35">
      <c r="A514" s="4">
        <v>0</v>
      </c>
    </row>
    <row r="515" spans="1:1" x14ac:dyDescent="0.35">
      <c r="A515" s="5">
        <v>15</v>
      </c>
    </row>
    <row r="516" spans="1:1" x14ac:dyDescent="0.35">
      <c r="A516" s="4">
        <v>10</v>
      </c>
    </row>
    <row r="517" spans="1:1" x14ac:dyDescent="0.35">
      <c r="A517" s="5">
        <v>15</v>
      </c>
    </row>
    <row r="518" spans="1:1" x14ac:dyDescent="0.35">
      <c r="A518" s="4">
        <v>5</v>
      </c>
    </row>
    <row r="519" spans="1:1" x14ac:dyDescent="0.35">
      <c r="A519" s="5">
        <v>0</v>
      </c>
    </row>
    <row r="520" spans="1:1" x14ac:dyDescent="0.35">
      <c r="A520" s="4">
        <v>5</v>
      </c>
    </row>
    <row r="521" spans="1:1" x14ac:dyDescent="0.35">
      <c r="A521" s="5">
        <v>25</v>
      </c>
    </row>
    <row r="522" spans="1:1" x14ac:dyDescent="0.35">
      <c r="A522" s="4">
        <v>0</v>
      </c>
    </row>
    <row r="523" spans="1:1" x14ac:dyDescent="0.35">
      <c r="A523" s="5">
        <v>25</v>
      </c>
    </row>
    <row r="524" spans="1:1" x14ac:dyDescent="0.35">
      <c r="A524" s="4">
        <v>0</v>
      </c>
    </row>
    <row r="525" spans="1:1" x14ac:dyDescent="0.35">
      <c r="A525" s="5">
        <v>15</v>
      </c>
    </row>
    <row r="526" spans="1:1" x14ac:dyDescent="0.35">
      <c r="A526" s="4">
        <v>10</v>
      </c>
    </row>
    <row r="527" spans="1:1" x14ac:dyDescent="0.35">
      <c r="A527" s="5">
        <v>10</v>
      </c>
    </row>
    <row r="528" spans="1:1" x14ac:dyDescent="0.35">
      <c r="A528" s="4">
        <v>25</v>
      </c>
    </row>
    <row r="529" spans="1:1" x14ac:dyDescent="0.35">
      <c r="A529" s="5">
        <v>20</v>
      </c>
    </row>
    <row r="530" spans="1:1" x14ac:dyDescent="0.35">
      <c r="A530" s="4">
        <v>20</v>
      </c>
    </row>
    <row r="531" spans="1:1" x14ac:dyDescent="0.35">
      <c r="A531" s="5">
        <v>20</v>
      </c>
    </row>
    <row r="532" spans="1:1" x14ac:dyDescent="0.35">
      <c r="A532" s="4">
        <v>20</v>
      </c>
    </row>
    <row r="533" spans="1:1" x14ac:dyDescent="0.35">
      <c r="A533" s="5">
        <v>10</v>
      </c>
    </row>
    <row r="534" spans="1:1" x14ac:dyDescent="0.35">
      <c r="A534" s="4">
        <v>0</v>
      </c>
    </row>
    <row r="535" spans="1:1" x14ac:dyDescent="0.35">
      <c r="A535" s="5">
        <v>15</v>
      </c>
    </row>
    <row r="536" spans="1:1" x14ac:dyDescent="0.35">
      <c r="A536" s="4">
        <v>10</v>
      </c>
    </row>
    <row r="537" spans="1:1" x14ac:dyDescent="0.35">
      <c r="A537" s="5">
        <v>10</v>
      </c>
    </row>
    <row r="538" spans="1:1" x14ac:dyDescent="0.35">
      <c r="A538" s="4">
        <v>5</v>
      </c>
    </row>
    <row r="539" spans="1:1" x14ac:dyDescent="0.35">
      <c r="A539" s="5">
        <v>0</v>
      </c>
    </row>
    <row r="540" spans="1:1" x14ac:dyDescent="0.35">
      <c r="A540" s="4">
        <v>0</v>
      </c>
    </row>
    <row r="541" spans="1:1" x14ac:dyDescent="0.35">
      <c r="A541" s="5">
        <v>15</v>
      </c>
    </row>
    <row r="542" spans="1:1" x14ac:dyDescent="0.35">
      <c r="A542" s="4">
        <v>15</v>
      </c>
    </row>
    <row r="543" spans="1:1" x14ac:dyDescent="0.35">
      <c r="A543" s="5">
        <v>5</v>
      </c>
    </row>
    <row r="544" spans="1:1" x14ac:dyDescent="0.35">
      <c r="A544" s="4">
        <v>15</v>
      </c>
    </row>
    <row r="545" spans="1:1" x14ac:dyDescent="0.35">
      <c r="A545" s="5">
        <v>25</v>
      </c>
    </row>
    <row r="546" spans="1:1" x14ac:dyDescent="0.35">
      <c r="A546" s="4">
        <v>10</v>
      </c>
    </row>
    <row r="547" spans="1:1" x14ac:dyDescent="0.35">
      <c r="A547" s="5">
        <v>5</v>
      </c>
    </row>
    <row r="548" spans="1:1" x14ac:dyDescent="0.35">
      <c r="A548" s="4">
        <v>5</v>
      </c>
    </row>
    <row r="549" spans="1:1" x14ac:dyDescent="0.35">
      <c r="A549" s="5">
        <v>0</v>
      </c>
    </row>
    <row r="550" spans="1:1" x14ac:dyDescent="0.35">
      <c r="A550" s="4">
        <v>10</v>
      </c>
    </row>
    <row r="551" spans="1:1" x14ac:dyDescent="0.35">
      <c r="A551" s="5">
        <v>10</v>
      </c>
    </row>
    <row r="552" spans="1:1" x14ac:dyDescent="0.35">
      <c r="A552" s="4">
        <v>0</v>
      </c>
    </row>
    <row r="553" spans="1:1" x14ac:dyDescent="0.35">
      <c r="A553" s="5">
        <v>20</v>
      </c>
    </row>
    <row r="554" spans="1:1" x14ac:dyDescent="0.35">
      <c r="A554" s="4">
        <v>5</v>
      </c>
    </row>
    <row r="555" spans="1:1" x14ac:dyDescent="0.35">
      <c r="A555" s="5">
        <v>5</v>
      </c>
    </row>
    <row r="556" spans="1:1" x14ac:dyDescent="0.35">
      <c r="A556" s="4">
        <v>0</v>
      </c>
    </row>
    <row r="557" spans="1:1" x14ac:dyDescent="0.35">
      <c r="A557" s="5">
        <v>5</v>
      </c>
    </row>
    <row r="558" spans="1:1" x14ac:dyDescent="0.35">
      <c r="A558" s="4">
        <v>15</v>
      </c>
    </row>
    <row r="559" spans="1:1" x14ac:dyDescent="0.35">
      <c r="A559" s="5">
        <v>0</v>
      </c>
    </row>
    <row r="560" spans="1:1" x14ac:dyDescent="0.35">
      <c r="A560" s="4">
        <v>15</v>
      </c>
    </row>
    <row r="561" spans="1:1" x14ac:dyDescent="0.35">
      <c r="A561" s="5">
        <v>15</v>
      </c>
    </row>
    <row r="562" spans="1:1" x14ac:dyDescent="0.35">
      <c r="A562" s="4">
        <v>5</v>
      </c>
    </row>
    <row r="563" spans="1:1" x14ac:dyDescent="0.35">
      <c r="A563" s="5">
        <v>0</v>
      </c>
    </row>
    <row r="564" spans="1:1" x14ac:dyDescent="0.35">
      <c r="A564" s="4">
        <v>15</v>
      </c>
    </row>
    <row r="565" spans="1:1" x14ac:dyDescent="0.35">
      <c r="A565" s="5">
        <v>5</v>
      </c>
    </row>
    <row r="566" spans="1:1" x14ac:dyDescent="0.35">
      <c r="A566" s="4">
        <v>0</v>
      </c>
    </row>
    <row r="567" spans="1:1" x14ac:dyDescent="0.35">
      <c r="A567" s="5">
        <v>0</v>
      </c>
    </row>
    <row r="568" spans="1:1" x14ac:dyDescent="0.35">
      <c r="A568" s="4">
        <v>10</v>
      </c>
    </row>
    <row r="569" spans="1:1" x14ac:dyDescent="0.35">
      <c r="A569" s="5">
        <v>20</v>
      </c>
    </row>
    <row r="570" spans="1:1" x14ac:dyDescent="0.35">
      <c r="A570" s="4">
        <v>15</v>
      </c>
    </row>
    <row r="571" spans="1:1" x14ac:dyDescent="0.35">
      <c r="A571" s="5">
        <v>5</v>
      </c>
    </row>
    <row r="572" spans="1:1" x14ac:dyDescent="0.35">
      <c r="A572" s="4">
        <v>15</v>
      </c>
    </row>
    <row r="573" spans="1:1" x14ac:dyDescent="0.35">
      <c r="A573" s="5">
        <v>15</v>
      </c>
    </row>
    <row r="574" spans="1:1" x14ac:dyDescent="0.35">
      <c r="A574" s="4">
        <v>0</v>
      </c>
    </row>
    <row r="575" spans="1:1" x14ac:dyDescent="0.35">
      <c r="A575" s="5">
        <v>5</v>
      </c>
    </row>
    <row r="576" spans="1:1" x14ac:dyDescent="0.35">
      <c r="A576" s="4">
        <v>5</v>
      </c>
    </row>
    <row r="577" spans="1:1" x14ac:dyDescent="0.35">
      <c r="A577" s="5">
        <v>0</v>
      </c>
    </row>
    <row r="578" spans="1:1" x14ac:dyDescent="0.35">
      <c r="A578" s="4">
        <v>0</v>
      </c>
    </row>
    <row r="579" spans="1:1" x14ac:dyDescent="0.35">
      <c r="A579" s="5">
        <v>10</v>
      </c>
    </row>
    <row r="580" spans="1:1" x14ac:dyDescent="0.35">
      <c r="A580" s="4">
        <v>5</v>
      </c>
    </row>
    <row r="581" spans="1:1" x14ac:dyDescent="0.35">
      <c r="A581" s="5">
        <v>5</v>
      </c>
    </row>
    <row r="582" spans="1:1" x14ac:dyDescent="0.35">
      <c r="A582" s="4">
        <v>5</v>
      </c>
    </row>
    <row r="583" spans="1:1" x14ac:dyDescent="0.35">
      <c r="A583" s="5">
        <v>10</v>
      </c>
    </row>
    <row r="584" spans="1:1" x14ac:dyDescent="0.35">
      <c r="A584" s="4">
        <v>10</v>
      </c>
    </row>
    <row r="585" spans="1:1" x14ac:dyDescent="0.35">
      <c r="A585" s="5">
        <v>10</v>
      </c>
    </row>
    <row r="586" spans="1:1" x14ac:dyDescent="0.35">
      <c r="A586" s="4">
        <v>20</v>
      </c>
    </row>
    <row r="587" spans="1:1" x14ac:dyDescent="0.35">
      <c r="A587" s="5">
        <v>0</v>
      </c>
    </row>
    <row r="588" spans="1:1" x14ac:dyDescent="0.35">
      <c r="A588" s="4">
        <v>10</v>
      </c>
    </row>
    <row r="589" spans="1:1" x14ac:dyDescent="0.35">
      <c r="A589" s="5">
        <v>0</v>
      </c>
    </row>
    <row r="590" spans="1:1" x14ac:dyDescent="0.35">
      <c r="A590" s="4">
        <v>15</v>
      </c>
    </row>
    <row r="591" spans="1:1" x14ac:dyDescent="0.35">
      <c r="A591" s="5">
        <v>10</v>
      </c>
    </row>
    <row r="592" spans="1:1" x14ac:dyDescent="0.35">
      <c r="A592" s="4">
        <v>10</v>
      </c>
    </row>
    <row r="593" spans="1:1" x14ac:dyDescent="0.35">
      <c r="A593" s="5">
        <v>10</v>
      </c>
    </row>
    <row r="594" spans="1:1" x14ac:dyDescent="0.35">
      <c r="A594" s="4">
        <v>5</v>
      </c>
    </row>
    <row r="595" spans="1:1" x14ac:dyDescent="0.35">
      <c r="A595" s="5">
        <v>25</v>
      </c>
    </row>
    <row r="596" spans="1:1" x14ac:dyDescent="0.35">
      <c r="A596" s="4">
        <v>10</v>
      </c>
    </row>
    <row r="597" spans="1:1" x14ac:dyDescent="0.35">
      <c r="A597" s="5">
        <v>20</v>
      </c>
    </row>
    <row r="598" spans="1:1" x14ac:dyDescent="0.35">
      <c r="A598" s="4">
        <v>5</v>
      </c>
    </row>
    <row r="599" spans="1:1" x14ac:dyDescent="0.35">
      <c r="A599" s="5">
        <v>5</v>
      </c>
    </row>
    <row r="600" spans="1:1" x14ac:dyDescent="0.35">
      <c r="A600" s="4">
        <v>5</v>
      </c>
    </row>
    <row r="601" spans="1:1" x14ac:dyDescent="0.35">
      <c r="A601" s="5">
        <v>20</v>
      </c>
    </row>
    <row r="602" spans="1:1" x14ac:dyDescent="0.35">
      <c r="A602" s="4">
        <v>0</v>
      </c>
    </row>
    <row r="603" spans="1:1" x14ac:dyDescent="0.35">
      <c r="A603" s="5">
        <v>0</v>
      </c>
    </row>
    <row r="604" spans="1:1" x14ac:dyDescent="0.35">
      <c r="A604" s="4">
        <v>20</v>
      </c>
    </row>
    <row r="605" spans="1:1" x14ac:dyDescent="0.35">
      <c r="A605" s="5">
        <v>0</v>
      </c>
    </row>
    <row r="606" spans="1:1" x14ac:dyDescent="0.35">
      <c r="A606" s="4">
        <v>0</v>
      </c>
    </row>
    <row r="607" spans="1:1" x14ac:dyDescent="0.35">
      <c r="A607" s="5">
        <v>0</v>
      </c>
    </row>
    <row r="608" spans="1:1" x14ac:dyDescent="0.35">
      <c r="A608" s="4">
        <v>0</v>
      </c>
    </row>
    <row r="609" spans="1:1" x14ac:dyDescent="0.35">
      <c r="A609" s="5">
        <v>0</v>
      </c>
    </row>
    <row r="610" spans="1:1" x14ac:dyDescent="0.35">
      <c r="A610" s="4">
        <v>0</v>
      </c>
    </row>
    <row r="611" spans="1:1" x14ac:dyDescent="0.35">
      <c r="A611" s="5">
        <v>15</v>
      </c>
    </row>
    <row r="612" spans="1:1" x14ac:dyDescent="0.35">
      <c r="A612" s="4">
        <v>25</v>
      </c>
    </row>
    <row r="613" spans="1:1" x14ac:dyDescent="0.35">
      <c r="A613" s="5">
        <v>0</v>
      </c>
    </row>
    <row r="614" spans="1:1" x14ac:dyDescent="0.35">
      <c r="A614" s="4">
        <v>5</v>
      </c>
    </row>
    <row r="615" spans="1:1" x14ac:dyDescent="0.35">
      <c r="A615" s="5">
        <v>5</v>
      </c>
    </row>
    <row r="616" spans="1:1" x14ac:dyDescent="0.35">
      <c r="A616" s="4">
        <v>10</v>
      </c>
    </row>
    <row r="617" spans="1:1" x14ac:dyDescent="0.35">
      <c r="A617" s="5">
        <v>15</v>
      </c>
    </row>
    <row r="618" spans="1:1" x14ac:dyDescent="0.35">
      <c r="A618" s="4">
        <v>10</v>
      </c>
    </row>
    <row r="619" spans="1:1" x14ac:dyDescent="0.35">
      <c r="A619" s="5">
        <v>5</v>
      </c>
    </row>
    <row r="620" spans="1:1" x14ac:dyDescent="0.35">
      <c r="A620" s="4">
        <v>5</v>
      </c>
    </row>
    <row r="621" spans="1:1" x14ac:dyDescent="0.35">
      <c r="A621" s="5">
        <v>5</v>
      </c>
    </row>
    <row r="622" spans="1:1" x14ac:dyDescent="0.35">
      <c r="A622" s="4">
        <v>15</v>
      </c>
    </row>
    <row r="623" spans="1:1" x14ac:dyDescent="0.35">
      <c r="A623" s="5">
        <v>15</v>
      </c>
    </row>
    <row r="624" spans="1:1" x14ac:dyDescent="0.35">
      <c r="A624" s="4">
        <v>5</v>
      </c>
    </row>
    <row r="625" spans="1:1" x14ac:dyDescent="0.35">
      <c r="A625" s="5">
        <v>10</v>
      </c>
    </row>
    <row r="626" spans="1:1" x14ac:dyDescent="0.35">
      <c r="A626" s="4">
        <v>5</v>
      </c>
    </row>
    <row r="627" spans="1:1" x14ac:dyDescent="0.35">
      <c r="A627" s="5">
        <v>10</v>
      </c>
    </row>
    <row r="628" spans="1:1" x14ac:dyDescent="0.35">
      <c r="A628" s="4">
        <v>0</v>
      </c>
    </row>
    <row r="629" spans="1:1" x14ac:dyDescent="0.35">
      <c r="A629" s="5">
        <v>5</v>
      </c>
    </row>
    <row r="630" spans="1:1" x14ac:dyDescent="0.35">
      <c r="A630" s="4">
        <v>0</v>
      </c>
    </row>
    <row r="631" spans="1:1" x14ac:dyDescent="0.35">
      <c r="A631" s="5">
        <v>15</v>
      </c>
    </row>
    <row r="632" spans="1:1" x14ac:dyDescent="0.35">
      <c r="A632" s="4">
        <v>0</v>
      </c>
    </row>
    <row r="633" spans="1:1" x14ac:dyDescent="0.35">
      <c r="A633" s="5">
        <v>0</v>
      </c>
    </row>
    <row r="634" spans="1:1" x14ac:dyDescent="0.35">
      <c r="A634" s="4">
        <v>10</v>
      </c>
    </row>
    <row r="635" spans="1:1" x14ac:dyDescent="0.35">
      <c r="A635" s="5">
        <v>10</v>
      </c>
    </row>
    <row r="636" spans="1:1" x14ac:dyDescent="0.35">
      <c r="A636" s="4">
        <v>5</v>
      </c>
    </row>
    <row r="637" spans="1:1" x14ac:dyDescent="0.35">
      <c r="A637" s="5">
        <v>5</v>
      </c>
    </row>
    <row r="638" spans="1:1" x14ac:dyDescent="0.35">
      <c r="A638" s="4">
        <v>15</v>
      </c>
    </row>
    <row r="639" spans="1:1" x14ac:dyDescent="0.35">
      <c r="A639" s="5">
        <v>0</v>
      </c>
    </row>
    <row r="640" spans="1:1" x14ac:dyDescent="0.35">
      <c r="A640" s="4">
        <v>15</v>
      </c>
    </row>
    <row r="641" spans="1:1" x14ac:dyDescent="0.35">
      <c r="A641" s="5">
        <v>20</v>
      </c>
    </row>
    <row r="642" spans="1:1" x14ac:dyDescent="0.35">
      <c r="A642" s="4">
        <v>15</v>
      </c>
    </row>
    <row r="643" spans="1:1" x14ac:dyDescent="0.35">
      <c r="A643" s="5">
        <v>5</v>
      </c>
    </row>
    <row r="644" spans="1:1" x14ac:dyDescent="0.35">
      <c r="A644" s="4">
        <v>20</v>
      </c>
    </row>
    <row r="645" spans="1:1" x14ac:dyDescent="0.35">
      <c r="A645" s="5">
        <v>20</v>
      </c>
    </row>
    <row r="646" spans="1:1" x14ac:dyDescent="0.35">
      <c r="A646" s="4">
        <v>10</v>
      </c>
    </row>
    <row r="647" spans="1:1" x14ac:dyDescent="0.35">
      <c r="A647" s="5">
        <v>5</v>
      </c>
    </row>
    <row r="648" spans="1:1" x14ac:dyDescent="0.35">
      <c r="A648" s="4">
        <v>15</v>
      </c>
    </row>
    <row r="649" spans="1:1" x14ac:dyDescent="0.35">
      <c r="A649" s="5">
        <v>0</v>
      </c>
    </row>
    <row r="650" spans="1:1" x14ac:dyDescent="0.35">
      <c r="A650" s="4">
        <v>5</v>
      </c>
    </row>
    <row r="651" spans="1:1" x14ac:dyDescent="0.35">
      <c r="A651" s="5">
        <v>15</v>
      </c>
    </row>
    <row r="652" spans="1:1" x14ac:dyDescent="0.35">
      <c r="A652" s="4">
        <v>20</v>
      </c>
    </row>
    <row r="653" spans="1:1" x14ac:dyDescent="0.35">
      <c r="A653" s="5">
        <v>15</v>
      </c>
    </row>
    <row r="654" spans="1:1" x14ac:dyDescent="0.35">
      <c r="A654" s="4">
        <v>10</v>
      </c>
    </row>
    <row r="655" spans="1:1" x14ac:dyDescent="0.35">
      <c r="A655" s="5">
        <v>20</v>
      </c>
    </row>
    <row r="656" spans="1:1" x14ac:dyDescent="0.35">
      <c r="A656" s="4">
        <v>10</v>
      </c>
    </row>
    <row r="657" spans="1:1" x14ac:dyDescent="0.35">
      <c r="A657" s="5">
        <v>10</v>
      </c>
    </row>
    <row r="658" spans="1:1" x14ac:dyDescent="0.35">
      <c r="A658" s="4">
        <v>20</v>
      </c>
    </row>
    <row r="659" spans="1:1" x14ac:dyDescent="0.35">
      <c r="A659" s="5">
        <v>15</v>
      </c>
    </row>
    <row r="660" spans="1:1" x14ac:dyDescent="0.35">
      <c r="A660" s="4">
        <v>20</v>
      </c>
    </row>
    <row r="661" spans="1:1" x14ac:dyDescent="0.35">
      <c r="A661" s="5">
        <v>5</v>
      </c>
    </row>
    <row r="662" spans="1:1" x14ac:dyDescent="0.35">
      <c r="A662" s="4">
        <v>5</v>
      </c>
    </row>
    <row r="663" spans="1:1" x14ac:dyDescent="0.35">
      <c r="A663" s="5">
        <v>25</v>
      </c>
    </row>
    <row r="664" spans="1:1" x14ac:dyDescent="0.35">
      <c r="A664" s="4">
        <v>0</v>
      </c>
    </row>
    <row r="665" spans="1:1" x14ac:dyDescent="0.35">
      <c r="A665" s="5">
        <v>5</v>
      </c>
    </row>
    <row r="666" spans="1:1" x14ac:dyDescent="0.35">
      <c r="A666" s="4">
        <v>15</v>
      </c>
    </row>
    <row r="667" spans="1:1" x14ac:dyDescent="0.35">
      <c r="A667" s="5">
        <v>15</v>
      </c>
    </row>
    <row r="668" spans="1:1" x14ac:dyDescent="0.35">
      <c r="A668" s="4">
        <v>15</v>
      </c>
    </row>
    <row r="669" spans="1:1" x14ac:dyDescent="0.35">
      <c r="A669" s="5">
        <v>0</v>
      </c>
    </row>
    <row r="670" spans="1:1" x14ac:dyDescent="0.35">
      <c r="A670" s="4">
        <v>0</v>
      </c>
    </row>
    <row r="671" spans="1:1" x14ac:dyDescent="0.35">
      <c r="A671" s="5">
        <v>5</v>
      </c>
    </row>
    <row r="672" spans="1:1" x14ac:dyDescent="0.35">
      <c r="A672" s="4">
        <v>0</v>
      </c>
    </row>
    <row r="673" spans="1:1" x14ac:dyDescent="0.35">
      <c r="A673" s="5">
        <v>0</v>
      </c>
    </row>
    <row r="674" spans="1:1" x14ac:dyDescent="0.35">
      <c r="A674" s="4">
        <v>10</v>
      </c>
    </row>
    <row r="675" spans="1:1" x14ac:dyDescent="0.35">
      <c r="A675" s="5">
        <v>10</v>
      </c>
    </row>
    <row r="676" spans="1:1" x14ac:dyDescent="0.35">
      <c r="A676" s="4">
        <v>5</v>
      </c>
    </row>
    <row r="677" spans="1:1" x14ac:dyDescent="0.35">
      <c r="A677" s="5">
        <v>0</v>
      </c>
    </row>
    <row r="678" spans="1:1" x14ac:dyDescent="0.35">
      <c r="A678" s="4">
        <v>0</v>
      </c>
    </row>
    <row r="679" spans="1:1" x14ac:dyDescent="0.35">
      <c r="A679" s="5">
        <v>10</v>
      </c>
    </row>
    <row r="680" spans="1:1" x14ac:dyDescent="0.35">
      <c r="A680" s="4">
        <v>5</v>
      </c>
    </row>
    <row r="681" spans="1:1" x14ac:dyDescent="0.35">
      <c r="A681" s="5">
        <v>0</v>
      </c>
    </row>
    <row r="682" spans="1:1" x14ac:dyDescent="0.35">
      <c r="A682" s="4">
        <v>5</v>
      </c>
    </row>
    <row r="683" spans="1:1" x14ac:dyDescent="0.35">
      <c r="A683" s="5">
        <v>5</v>
      </c>
    </row>
    <row r="684" spans="1:1" x14ac:dyDescent="0.35">
      <c r="A684" s="4">
        <v>0</v>
      </c>
    </row>
    <row r="685" spans="1:1" x14ac:dyDescent="0.35">
      <c r="A685" s="5">
        <v>5</v>
      </c>
    </row>
    <row r="686" spans="1:1" x14ac:dyDescent="0.35">
      <c r="A686" s="4">
        <v>5</v>
      </c>
    </row>
    <row r="687" spans="1:1" x14ac:dyDescent="0.35">
      <c r="A687" s="5">
        <v>15</v>
      </c>
    </row>
    <row r="688" spans="1:1" x14ac:dyDescent="0.35">
      <c r="A688" s="4">
        <v>0</v>
      </c>
    </row>
    <row r="689" spans="1:1" x14ac:dyDescent="0.35">
      <c r="A689" s="5">
        <v>10</v>
      </c>
    </row>
    <row r="690" spans="1:1" x14ac:dyDescent="0.35">
      <c r="A690" s="4">
        <v>15</v>
      </c>
    </row>
    <row r="691" spans="1:1" x14ac:dyDescent="0.35">
      <c r="A691" s="5">
        <v>0</v>
      </c>
    </row>
    <row r="692" spans="1:1" x14ac:dyDescent="0.35">
      <c r="A692" s="4">
        <v>20</v>
      </c>
    </row>
    <row r="693" spans="1:1" x14ac:dyDescent="0.35">
      <c r="A693" s="5">
        <v>5</v>
      </c>
    </row>
    <row r="694" spans="1:1" x14ac:dyDescent="0.35">
      <c r="A694" s="4">
        <v>15</v>
      </c>
    </row>
    <row r="695" spans="1:1" x14ac:dyDescent="0.35">
      <c r="A695" s="5">
        <v>0</v>
      </c>
    </row>
    <row r="696" spans="1:1" x14ac:dyDescent="0.35">
      <c r="A696" s="4">
        <v>10</v>
      </c>
    </row>
    <row r="697" spans="1:1" x14ac:dyDescent="0.35">
      <c r="A697" s="5">
        <v>10</v>
      </c>
    </row>
    <row r="698" spans="1:1" x14ac:dyDescent="0.35">
      <c r="A698" s="4">
        <v>20</v>
      </c>
    </row>
    <row r="699" spans="1:1" x14ac:dyDescent="0.35">
      <c r="A699" s="5">
        <v>15</v>
      </c>
    </row>
    <row r="700" spans="1:1" x14ac:dyDescent="0.35">
      <c r="A700" s="4">
        <v>10</v>
      </c>
    </row>
    <row r="701" spans="1:1" x14ac:dyDescent="0.35">
      <c r="A701" s="5">
        <v>20</v>
      </c>
    </row>
    <row r="702" spans="1:1" x14ac:dyDescent="0.35">
      <c r="A702" s="4">
        <v>10</v>
      </c>
    </row>
    <row r="703" spans="1:1" x14ac:dyDescent="0.35">
      <c r="A703" s="5">
        <v>5</v>
      </c>
    </row>
    <row r="704" spans="1:1" x14ac:dyDescent="0.35">
      <c r="A704" s="4">
        <v>5</v>
      </c>
    </row>
    <row r="705" spans="1:1" x14ac:dyDescent="0.35">
      <c r="A705" s="5">
        <v>25</v>
      </c>
    </row>
    <row r="706" spans="1:1" x14ac:dyDescent="0.35">
      <c r="A706" s="4">
        <v>10</v>
      </c>
    </row>
    <row r="707" spans="1:1" x14ac:dyDescent="0.35">
      <c r="A707" s="5">
        <v>20</v>
      </c>
    </row>
    <row r="708" spans="1:1" x14ac:dyDescent="0.35">
      <c r="A708" s="4">
        <v>0</v>
      </c>
    </row>
    <row r="709" spans="1:1" x14ac:dyDescent="0.35">
      <c r="A709" s="5">
        <v>0</v>
      </c>
    </row>
    <row r="710" spans="1:1" x14ac:dyDescent="0.35">
      <c r="A710" s="4">
        <v>20</v>
      </c>
    </row>
    <row r="711" spans="1:1" x14ac:dyDescent="0.35">
      <c r="A711" s="5">
        <v>25</v>
      </c>
    </row>
    <row r="712" spans="1:1" x14ac:dyDescent="0.35">
      <c r="A712" s="4">
        <v>20</v>
      </c>
    </row>
    <row r="713" spans="1:1" x14ac:dyDescent="0.35">
      <c r="A713" s="5">
        <v>15</v>
      </c>
    </row>
    <row r="714" spans="1:1" x14ac:dyDescent="0.35">
      <c r="A714" s="4">
        <v>5</v>
      </c>
    </row>
    <row r="715" spans="1:1" x14ac:dyDescent="0.35">
      <c r="A715" s="5">
        <v>20</v>
      </c>
    </row>
    <row r="716" spans="1:1" x14ac:dyDescent="0.35">
      <c r="A716" s="4">
        <v>0</v>
      </c>
    </row>
    <row r="717" spans="1:1" x14ac:dyDescent="0.35">
      <c r="A717" s="5">
        <v>5</v>
      </c>
    </row>
    <row r="718" spans="1:1" x14ac:dyDescent="0.35">
      <c r="A718" s="4">
        <v>15</v>
      </c>
    </row>
    <row r="719" spans="1:1" x14ac:dyDescent="0.35">
      <c r="A719" s="5">
        <v>0</v>
      </c>
    </row>
    <row r="720" spans="1:1" x14ac:dyDescent="0.35">
      <c r="A720" s="4">
        <v>5</v>
      </c>
    </row>
    <row r="721" spans="1:1" x14ac:dyDescent="0.35">
      <c r="A721" s="5">
        <v>10</v>
      </c>
    </row>
    <row r="722" spans="1:1" x14ac:dyDescent="0.35">
      <c r="A722" s="4">
        <v>5</v>
      </c>
    </row>
    <row r="723" spans="1:1" x14ac:dyDescent="0.35">
      <c r="A723" s="5">
        <v>0</v>
      </c>
    </row>
    <row r="724" spans="1:1" x14ac:dyDescent="0.35">
      <c r="A724" s="4">
        <v>0</v>
      </c>
    </row>
    <row r="725" spans="1:1" x14ac:dyDescent="0.35">
      <c r="A725" s="5">
        <v>20</v>
      </c>
    </row>
    <row r="726" spans="1:1" x14ac:dyDescent="0.35">
      <c r="A726" s="4">
        <v>0</v>
      </c>
    </row>
    <row r="727" spans="1:1" x14ac:dyDescent="0.35">
      <c r="A727" s="5">
        <v>0</v>
      </c>
    </row>
    <row r="728" spans="1:1" x14ac:dyDescent="0.35">
      <c r="A728" s="4">
        <v>5</v>
      </c>
    </row>
    <row r="729" spans="1:1" x14ac:dyDescent="0.35">
      <c r="A729" s="5">
        <v>15</v>
      </c>
    </row>
    <row r="730" spans="1:1" x14ac:dyDescent="0.35">
      <c r="A730" s="4">
        <v>0</v>
      </c>
    </row>
    <row r="731" spans="1:1" x14ac:dyDescent="0.35">
      <c r="A731" s="5">
        <v>15</v>
      </c>
    </row>
    <row r="732" spans="1:1" x14ac:dyDescent="0.35">
      <c r="A732" s="4">
        <v>5</v>
      </c>
    </row>
    <row r="733" spans="1:1" x14ac:dyDescent="0.35">
      <c r="A733" s="5">
        <v>15</v>
      </c>
    </row>
    <row r="734" spans="1:1" x14ac:dyDescent="0.35">
      <c r="A734" s="4">
        <v>10</v>
      </c>
    </row>
    <row r="735" spans="1:1" x14ac:dyDescent="0.35">
      <c r="A735" s="5">
        <v>5</v>
      </c>
    </row>
    <row r="736" spans="1:1" x14ac:dyDescent="0.35">
      <c r="A736" s="4">
        <v>5</v>
      </c>
    </row>
    <row r="737" spans="1:1" x14ac:dyDescent="0.35">
      <c r="A737" s="5">
        <v>5</v>
      </c>
    </row>
    <row r="738" spans="1:1" x14ac:dyDescent="0.35">
      <c r="A738" s="4">
        <v>0</v>
      </c>
    </row>
    <row r="739" spans="1:1" x14ac:dyDescent="0.35">
      <c r="A739" s="5">
        <v>0</v>
      </c>
    </row>
    <row r="740" spans="1:1" x14ac:dyDescent="0.35">
      <c r="A740" s="4">
        <v>5</v>
      </c>
    </row>
    <row r="741" spans="1:1" x14ac:dyDescent="0.35">
      <c r="A741" s="5">
        <v>0</v>
      </c>
    </row>
    <row r="742" spans="1:1" x14ac:dyDescent="0.35">
      <c r="A742" s="4">
        <v>15</v>
      </c>
    </row>
    <row r="743" spans="1:1" x14ac:dyDescent="0.35">
      <c r="A743" s="5">
        <v>25</v>
      </c>
    </row>
    <row r="744" spans="1:1" x14ac:dyDescent="0.35">
      <c r="A744" s="4">
        <v>0</v>
      </c>
    </row>
    <row r="745" spans="1:1" x14ac:dyDescent="0.35">
      <c r="A745" s="5">
        <v>20</v>
      </c>
    </row>
    <row r="746" spans="1:1" x14ac:dyDescent="0.35">
      <c r="A746" s="4">
        <v>5</v>
      </c>
    </row>
    <row r="747" spans="1:1" x14ac:dyDescent="0.35">
      <c r="A747" s="5">
        <v>15</v>
      </c>
    </row>
    <row r="748" spans="1:1" x14ac:dyDescent="0.35">
      <c r="A748" s="4">
        <v>0</v>
      </c>
    </row>
    <row r="749" spans="1:1" x14ac:dyDescent="0.35">
      <c r="A749" s="5">
        <v>0</v>
      </c>
    </row>
    <row r="750" spans="1:1" x14ac:dyDescent="0.35">
      <c r="A750" s="4">
        <v>10</v>
      </c>
    </row>
    <row r="751" spans="1:1" x14ac:dyDescent="0.35">
      <c r="A751" s="5">
        <v>5</v>
      </c>
    </row>
    <row r="752" spans="1:1" x14ac:dyDescent="0.35">
      <c r="A752" s="4">
        <v>0</v>
      </c>
    </row>
    <row r="753" spans="1:1" x14ac:dyDescent="0.35">
      <c r="A753" s="5">
        <v>20</v>
      </c>
    </row>
    <row r="754" spans="1:1" x14ac:dyDescent="0.35">
      <c r="A754" s="4">
        <v>15</v>
      </c>
    </row>
    <row r="755" spans="1:1" x14ac:dyDescent="0.35">
      <c r="A755" s="5">
        <v>15</v>
      </c>
    </row>
    <row r="756" spans="1:1" x14ac:dyDescent="0.35">
      <c r="A756" s="4">
        <v>5</v>
      </c>
    </row>
    <row r="757" spans="1:1" x14ac:dyDescent="0.35">
      <c r="A757" s="5">
        <v>10</v>
      </c>
    </row>
    <row r="758" spans="1:1" x14ac:dyDescent="0.35">
      <c r="A758" s="4">
        <v>0</v>
      </c>
    </row>
    <row r="759" spans="1:1" x14ac:dyDescent="0.35">
      <c r="A759" s="5">
        <v>10</v>
      </c>
    </row>
    <row r="760" spans="1:1" x14ac:dyDescent="0.35">
      <c r="A760" s="4">
        <v>5</v>
      </c>
    </row>
    <row r="761" spans="1:1" x14ac:dyDescent="0.35">
      <c r="A761" s="5">
        <v>5</v>
      </c>
    </row>
    <row r="762" spans="1:1" x14ac:dyDescent="0.35">
      <c r="A762" s="4">
        <v>15</v>
      </c>
    </row>
    <row r="763" spans="1:1" x14ac:dyDescent="0.35">
      <c r="A763" s="5">
        <v>5</v>
      </c>
    </row>
    <row r="764" spans="1:1" x14ac:dyDescent="0.35">
      <c r="A764" s="4">
        <v>0</v>
      </c>
    </row>
    <row r="765" spans="1:1" x14ac:dyDescent="0.35">
      <c r="A765" s="5">
        <v>0</v>
      </c>
    </row>
    <row r="766" spans="1:1" x14ac:dyDescent="0.35">
      <c r="A766" s="4">
        <v>0</v>
      </c>
    </row>
    <row r="767" spans="1:1" x14ac:dyDescent="0.35">
      <c r="A767" s="5">
        <v>10</v>
      </c>
    </row>
    <row r="768" spans="1:1" x14ac:dyDescent="0.35">
      <c r="A768" s="4">
        <v>15</v>
      </c>
    </row>
    <row r="769" spans="1:1" x14ac:dyDescent="0.35">
      <c r="A769" s="5">
        <v>0</v>
      </c>
    </row>
    <row r="770" spans="1:1" x14ac:dyDescent="0.35">
      <c r="A770" s="4">
        <v>20</v>
      </c>
    </row>
    <row r="771" spans="1:1" x14ac:dyDescent="0.35">
      <c r="A771" s="5">
        <v>10</v>
      </c>
    </row>
    <row r="772" spans="1:1" x14ac:dyDescent="0.35">
      <c r="A772" s="4">
        <v>0</v>
      </c>
    </row>
    <row r="773" spans="1:1" x14ac:dyDescent="0.35">
      <c r="A773" s="5">
        <v>20</v>
      </c>
    </row>
    <row r="774" spans="1:1" x14ac:dyDescent="0.35">
      <c r="A774" s="4">
        <v>0</v>
      </c>
    </row>
    <row r="775" spans="1:1" x14ac:dyDescent="0.35">
      <c r="A775" s="5">
        <v>10</v>
      </c>
    </row>
    <row r="776" spans="1:1" x14ac:dyDescent="0.35">
      <c r="A776" s="4">
        <v>0</v>
      </c>
    </row>
    <row r="777" spans="1:1" x14ac:dyDescent="0.35">
      <c r="A777" s="5">
        <v>10</v>
      </c>
    </row>
    <row r="778" spans="1:1" x14ac:dyDescent="0.35">
      <c r="A778" s="4">
        <v>0</v>
      </c>
    </row>
    <row r="779" spans="1:1" x14ac:dyDescent="0.35">
      <c r="A779" s="5">
        <v>15</v>
      </c>
    </row>
    <row r="780" spans="1:1" x14ac:dyDescent="0.35">
      <c r="A780" s="4">
        <v>5</v>
      </c>
    </row>
    <row r="781" spans="1:1" x14ac:dyDescent="0.35">
      <c r="A781" s="5">
        <v>0</v>
      </c>
    </row>
    <row r="782" spans="1:1" x14ac:dyDescent="0.35">
      <c r="A782" s="4">
        <v>5</v>
      </c>
    </row>
    <row r="783" spans="1:1" x14ac:dyDescent="0.35">
      <c r="A783" s="5">
        <v>0</v>
      </c>
    </row>
    <row r="784" spans="1:1" x14ac:dyDescent="0.35">
      <c r="A784" s="4">
        <v>25</v>
      </c>
    </row>
    <row r="785" spans="1:1" x14ac:dyDescent="0.35">
      <c r="A785" s="5">
        <v>10</v>
      </c>
    </row>
    <row r="786" spans="1:1" x14ac:dyDescent="0.35">
      <c r="A786" s="4">
        <v>5</v>
      </c>
    </row>
    <row r="787" spans="1:1" x14ac:dyDescent="0.35">
      <c r="A787" s="5">
        <v>5</v>
      </c>
    </row>
    <row r="788" spans="1:1" x14ac:dyDescent="0.35">
      <c r="A788" s="4">
        <v>15</v>
      </c>
    </row>
    <row r="789" spans="1:1" x14ac:dyDescent="0.35">
      <c r="A789" s="5">
        <v>5</v>
      </c>
    </row>
    <row r="790" spans="1:1" x14ac:dyDescent="0.35">
      <c r="A790" s="4">
        <v>15</v>
      </c>
    </row>
    <row r="791" spans="1:1" x14ac:dyDescent="0.35">
      <c r="A791" s="5">
        <v>15</v>
      </c>
    </row>
    <row r="792" spans="1:1" x14ac:dyDescent="0.35">
      <c r="A792" s="4">
        <v>5</v>
      </c>
    </row>
    <row r="793" spans="1:1" x14ac:dyDescent="0.35">
      <c r="A793" s="5">
        <v>15</v>
      </c>
    </row>
    <row r="794" spans="1:1" x14ac:dyDescent="0.35">
      <c r="A794" s="4">
        <v>10</v>
      </c>
    </row>
    <row r="795" spans="1:1" x14ac:dyDescent="0.35">
      <c r="A795" s="5">
        <v>10</v>
      </c>
    </row>
    <row r="796" spans="1:1" x14ac:dyDescent="0.35">
      <c r="A796" s="4">
        <v>20</v>
      </c>
    </row>
    <row r="797" spans="1:1" x14ac:dyDescent="0.35">
      <c r="A797" s="5">
        <v>5</v>
      </c>
    </row>
    <row r="798" spans="1:1" x14ac:dyDescent="0.35">
      <c r="A798" s="4">
        <v>0</v>
      </c>
    </row>
    <row r="799" spans="1:1" x14ac:dyDescent="0.35">
      <c r="A799" s="5">
        <v>0</v>
      </c>
    </row>
    <row r="800" spans="1:1" x14ac:dyDescent="0.35">
      <c r="A800" s="4">
        <v>10</v>
      </c>
    </row>
    <row r="801" spans="1:1" x14ac:dyDescent="0.35">
      <c r="A801" s="5">
        <v>25</v>
      </c>
    </row>
    <row r="802" spans="1:1" x14ac:dyDescent="0.35">
      <c r="A802" s="4">
        <v>15</v>
      </c>
    </row>
    <row r="803" spans="1:1" x14ac:dyDescent="0.35">
      <c r="A803" s="5">
        <v>0</v>
      </c>
    </row>
    <row r="804" spans="1:1" x14ac:dyDescent="0.35">
      <c r="A804" s="4">
        <v>15</v>
      </c>
    </row>
    <row r="805" spans="1:1" x14ac:dyDescent="0.35">
      <c r="A805" s="5">
        <v>10</v>
      </c>
    </row>
    <row r="806" spans="1:1" x14ac:dyDescent="0.35">
      <c r="A806" s="4">
        <v>10</v>
      </c>
    </row>
    <row r="807" spans="1:1" x14ac:dyDescent="0.35">
      <c r="A807" s="5">
        <v>25</v>
      </c>
    </row>
    <row r="808" spans="1:1" x14ac:dyDescent="0.35">
      <c r="A808" s="4">
        <v>20</v>
      </c>
    </row>
    <row r="809" spans="1:1" x14ac:dyDescent="0.35">
      <c r="A809" s="5">
        <v>15</v>
      </c>
    </row>
    <row r="810" spans="1:1" x14ac:dyDescent="0.35">
      <c r="A810" s="4">
        <v>20</v>
      </c>
    </row>
    <row r="811" spans="1:1" x14ac:dyDescent="0.35">
      <c r="A811" s="5">
        <v>15</v>
      </c>
    </row>
    <row r="812" spans="1:1" x14ac:dyDescent="0.35">
      <c r="A812" s="4">
        <v>15</v>
      </c>
    </row>
    <row r="813" spans="1:1" x14ac:dyDescent="0.35">
      <c r="A813" s="5">
        <v>10</v>
      </c>
    </row>
    <row r="814" spans="1:1" x14ac:dyDescent="0.35">
      <c r="A814" s="4">
        <v>0</v>
      </c>
    </row>
    <row r="815" spans="1:1" x14ac:dyDescent="0.35">
      <c r="A815" s="5">
        <v>5</v>
      </c>
    </row>
    <row r="816" spans="1:1" x14ac:dyDescent="0.35">
      <c r="A816" s="4">
        <v>10</v>
      </c>
    </row>
    <row r="817" spans="1:1" x14ac:dyDescent="0.35">
      <c r="A817" s="5">
        <v>10</v>
      </c>
    </row>
    <row r="818" spans="1:1" x14ac:dyDescent="0.35">
      <c r="A818" s="4">
        <v>5</v>
      </c>
    </row>
    <row r="819" spans="1:1" x14ac:dyDescent="0.35">
      <c r="A819" s="5">
        <v>15</v>
      </c>
    </row>
    <row r="820" spans="1:1" x14ac:dyDescent="0.35">
      <c r="A820" s="4">
        <v>5</v>
      </c>
    </row>
    <row r="821" spans="1:1" x14ac:dyDescent="0.35">
      <c r="A821" s="5">
        <v>10</v>
      </c>
    </row>
    <row r="822" spans="1:1" x14ac:dyDescent="0.35">
      <c r="A822" s="4">
        <v>10</v>
      </c>
    </row>
    <row r="823" spans="1:1" x14ac:dyDescent="0.35">
      <c r="A823" s="5">
        <v>10</v>
      </c>
    </row>
    <row r="824" spans="1:1" x14ac:dyDescent="0.35">
      <c r="A824" s="4">
        <v>15</v>
      </c>
    </row>
    <row r="825" spans="1:1" x14ac:dyDescent="0.35">
      <c r="A825" s="5">
        <v>5</v>
      </c>
    </row>
    <row r="826" spans="1:1" x14ac:dyDescent="0.35">
      <c r="A826" s="4">
        <v>10</v>
      </c>
    </row>
    <row r="827" spans="1:1" x14ac:dyDescent="0.35">
      <c r="A827" s="5">
        <v>0</v>
      </c>
    </row>
    <row r="828" spans="1:1" x14ac:dyDescent="0.35">
      <c r="A828" s="4">
        <v>20</v>
      </c>
    </row>
    <row r="829" spans="1:1" x14ac:dyDescent="0.35">
      <c r="A829" s="5">
        <v>5</v>
      </c>
    </row>
    <row r="830" spans="1:1" x14ac:dyDescent="0.35">
      <c r="A830" s="4">
        <v>5</v>
      </c>
    </row>
    <row r="831" spans="1:1" x14ac:dyDescent="0.35">
      <c r="A831" s="5">
        <v>10</v>
      </c>
    </row>
    <row r="832" spans="1:1" x14ac:dyDescent="0.35">
      <c r="A832" s="4">
        <v>5</v>
      </c>
    </row>
    <row r="833" spans="1:1" x14ac:dyDescent="0.35">
      <c r="A833" s="5">
        <v>5</v>
      </c>
    </row>
    <row r="834" spans="1:1" x14ac:dyDescent="0.35">
      <c r="A834" s="4">
        <v>10</v>
      </c>
    </row>
    <row r="835" spans="1:1" x14ac:dyDescent="0.35">
      <c r="A835" s="5">
        <v>10</v>
      </c>
    </row>
    <row r="836" spans="1:1" x14ac:dyDescent="0.35">
      <c r="A836" s="4">
        <v>5</v>
      </c>
    </row>
    <row r="837" spans="1:1" x14ac:dyDescent="0.35">
      <c r="A837" s="5">
        <v>10</v>
      </c>
    </row>
    <row r="838" spans="1:1" x14ac:dyDescent="0.35">
      <c r="A838" s="4">
        <v>25</v>
      </c>
    </row>
    <row r="839" spans="1:1" x14ac:dyDescent="0.35">
      <c r="A839" s="5">
        <v>25</v>
      </c>
    </row>
    <row r="840" spans="1:1" x14ac:dyDescent="0.35">
      <c r="A840" s="4">
        <v>25</v>
      </c>
    </row>
    <row r="841" spans="1:1" x14ac:dyDescent="0.35">
      <c r="A841" s="5">
        <v>15</v>
      </c>
    </row>
    <row r="842" spans="1:1" x14ac:dyDescent="0.35">
      <c r="A842" s="4">
        <v>15</v>
      </c>
    </row>
    <row r="843" spans="1:1" x14ac:dyDescent="0.35">
      <c r="A843" s="5">
        <v>10</v>
      </c>
    </row>
    <row r="844" spans="1:1" x14ac:dyDescent="0.35">
      <c r="A844" s="4">
        <v>15</v>
      </c>
    </row>
    <row r="845" spans="1:1" x14ac:dyDescent="0.35">
      <c r="A845" s="5">
        <v>20</v>
      </c>
    </row>
    <row r="846" spans="1:1" x14ac:dyDescent="0.35">
      <c r="A846" s="4">
        <v>20</v>
      </c>
    </row>
    <row r="847" spans="1:1" x14ac:dyDescent="0.35">
      <c r="A847" s="5">
        <v>5</v>
      </c>
    </row>
    <row r="848" spans="1:1" x14ac:dyDescent="0.35">
      <c r="A848" s="4">
        <v>20</v>
      </c>
    </row>
    <row r="849" spans="1:1" x14ac:dyDescent="0.35">
      <c r="A849" s="5">
        <v>10</v>
      </c>
    </row>
    <row r="850" spans="1:1" x14ac:dyDescent="0.35">
      <c r="A850" s="4">
        <v>5</v>
      </c>
    </row>
    <row r="851" spans="1:1" x14ac:dyDescent="0.35">
      <c r="A851" s="5">
        <v>20</v>
      </c>
    </row>
    <row r="852" spans="1:1" x14ac:dyDescent="0.35">
      <c r="A852" s="4">
        <v>5</v>
      </c>
    </row>
    <row r="853" spans="1:1" x14ac:dyDescent="0.35">
      <c r="A853" s="5">
        <v>5</v>
      </c>
    </row>
    <row r="854" spans="1:1" x14ac:dyDescent="0.35">
      <c r="A854" s="4">
        <v>20</v>
      </c>
    </row>
    <row r="855" spans="1:1" x14ac:dyDescent="0.35">
      <c r="A855" s="5">
        <v>20</v>
      </c>
    </row>
    <row r="856" spans="1:1" x14ac:dyDescent="0.35">
      <c r="A856" s="4">
        <v>10</v>
      </c>
    </row>
    <row r="857" spans="1:1" x14ac:dyDescent="0.35">
      <c r="A857" s="5">
        <v>0</v>
      </c>
    </row>
    <row r="858" spans="1:1" x14ac:dyDescent="0.35">
      <c r="A858" s="4">
        <v>5</v>
      </c>
    </row>
    <row r="859" spans="1:1" x14ac:dyDescent="0.35">
      <c r="A859" s="5">
        <v>10</v>
      </c>
    </row>
    <row r="860" spans="1:1" x14ac:dyDescent="0.35">
      <c r="A860" s="4">
        <v>25</v>
      </c>
    </row>
    <row r="861" spans="1:1" x14ac:dyDescent="0.35">
      <c r="A861" s="5">
        <v>10</v>
      </c>
    </row>
    <row r="862" spans="1:1" x14ac:dyDescent="0.35">
      <c r="A862" s="4">
        <v>15</v>
      </c>
    </row>
    <row r="863" spans="1:1" x14ac:dyDescent="0.35">
      <c r="A863" s="5">
        <v>10</v>
      </c>
    </row>
    <row r="864" spans="1:1" x14ac:dyDescent="0.35">
      <c r="A864" s="4">
        <v>15</v>
      </c>
    </row>
    <row r="865" spans="1:1" x14ac:dyDescent="0.35">
      <c r="A865" s="5">
        <v>15</v>
      </c>
    </row>
    <row r="866" spans="1:1" x14ac:dyDescent="0.35">
      <c r="A866" s="4">
        <v>30</v>
      </c>
    </row>
    <row r="867" spans="1:1" x14ac:dyDescent="0.35">
      <c r="A867" s="5">
        <v>5</v>
      </c>
    </row>
    <row r="868" spans="1:1" x14ac:dyDescent="0.35">
      <c r="A868" s="4">
        <v>5</v>
      </c>
    </row>
    <row r="869" spans="1:1" x14ac:dyDescent="0.35">
      <c r="A869" s="5">
        <v>15</v>
      </c>
    </row>
    <row r="870" spans="1:1" x14ac:dyDescent="0.35">
      <c r="A870" s="4">
        <v>10</v>
      </c>
    </row>
    <row r="871" spans="1:1" x14ac:dyDescent="0.35">
      <c r="A871" s="5">
        <v>0</v>
      </c>
    </row>
    <row r="872" spans="1:1" x14ac:dyDescent="0.35">
      <c r="A872" s="4">
        <v>5</v>
      </c>
    </row>
    <row r="873" spans="1:1" x14ac:dyDescent="0.35">
      <c r="A873" s="5">
        <v>10</v>
      </c>
    </row>
    <row r="874" spans="1:1" x14ac:dyDescent="0.35">
      <c r="A874" s="4">
        <v>0</v>
      </c>
    </row>
    <row r="875" spans="1:1" x14ac:dyDescent="0.35">
      <c r="A875" s="5">
        <v>10</v>
      </c>
    </row>
    <row r="876" spans="1:1" x14ac:dyDescent="0.35">
      <c r="A876" s="4">
        <v>10</v>
      </c>
    </row>
    <row r="877" spans="1:1" x14ac:dyDescent="0.35">
      <c r="A877" s="5">
        <v>15</v>
      </c>
    </row>
    <row r="878" spans="1:1" x14ac:dyDescent="0.35">
      <c r="A878" s="4">
        <v>15</v>
      </c>
    </row>
    <row r="879" spans="1:1" x14ac:dyDescent="0.35">
      <c r="A879" s="5">
        <v>0</v>
      </c>
    </row>
    <row r="880" spans="1:1" x14ac:dyDescent="0.35">
      <c r="A880" s="4">
        <v>5</v>
      </c>
    </row>
    <row r="881" spans="1:1" x14ac:dyDescent="0.35">
      <c r="A881" s="5">
        <v>0</v>
      </c>
    </row>
    <row r="882" spans="1:1" x14ac:dyDescent="0.35">
      <c r="A882" s="4">
        <v>0</v>
      </c>
    </row>
    <row r="883" spans="1:1" x14ac:dyDescent="0.35">
      <c r="A883" s="5">
        <v>20</v>
      </c>
    </row>
    <row r="884" spans="1:1" x14ac:dyDescent="0.35">
      <c r="A884" s="4">
        <v>5</v>
      </c>
    </row>
    <row r="885" spans="1:1" x14ac:dyDescent="0.35">
      <c r="A885" s="5">
        <v>0</v>
      </c>
    </row>
    <row r="886" spans="1:1" x14ac:dyDescent="0.35">
      <c r="A886" s="4">
        <v>0</v>
      </c>
    </row>
    <row r="887" spans="1:1" x14ac:dyDescent="0.35">
      <c r="A887" s="5">
        <v>5</v>
      </c>
    </row>
    <row r="888" spans="1:1" x14ac:dyDescent="0.35">
      <c r="A888" s="4">
        <v>5</v>
      </c>
    </row>
    <row r="889" spans="1:1" x14ac:dyDescent="0.35">
      <c r="A889" s="5">
        <v>0</v>
      </c>
    </row>
    <row r="890" spans="1:1" x14ac:dyDescent="0.35">
      <c r="A890" s="4">
        <v>15</v>
      </c>
    </row>
    <row r="891" spans="1:1" x14ac:dyDescent="0.35">
      <c r="A891" s="5">
        <v>15</v>
      </c>
    </row>
    <row r="892" spans="1:1" x14ac:dyDescent="0.35">
      <c r="A892" s="4">
        <v>10</v>
      </c>
    </row>
    <row r="893" spans="1:1" x14ac:dyDescent="0.35">
      <c r="A893" s="5">
        <v>15</v>
      </c>
    </row>
    <row r="894" spans="1:1" x14ac:dyDescent="0.35">
      <c r="A894" s="4">
        <v>10</v>
      </c>
    </row>
    <row r="895" spans="1:1" x14ac:dyDescent="0.35">
      <c r="A895" s="5">
        <v>15</v>
      </c>
    </row>
    <row r="896" spans="1:1" x14ac:dyDescent="0.35">
      <c r="A896" s="4">
        <v>20</v>
      </c>
    </row>
    <row r="897" spans="1:1" x14ac:dyDescent="0.35">
      <c r="A897" s="5">
        <v>5</v>
      </c>
    </row>
    <row r="898" spans="1:1" x14ac:dyDescent="0.35">
      <c r="A898" s="4">
        <v>0</v>
      </c>
    </row>
    <row r="899" spans="1:1" x14ac:dyDescent="0.35">
      <c r="A899" s="5">
        <v>10</v>
      </c>
    </row>
    <row r="900" spans="1:1" x14ac:dyDescent="0.35">
      <c r="A900" s="4">
        <v>0</v>
      </c>
    </row>
    <row r="901" spans="1:1" x14ac:dyDescent="0.35">
      <c r="A901" s="5">
        <v>30</v>
      </c>
    </row>
    <row r="902" spans="1:1" x14ac:dyDescent="0.35">
      <c r="A902" s="4">
        <v>5</v>
      </c>
    </row>
    <row r="903" spans="1:1" x14ac:dyDescent="0.35">
      <c r="A903" s="5">
        <v>5</v>
      </c>
    </row>
    <row r="904" spans="1:1" x14ac:dyDescent="0.35">
      <c r="A904" s="4">
        <v>5</v>
      </c>
    </row>
    <row r="905" spans="1:1" x14ac:dyDescent="0.35">
      <c r="A905" s="5">
        <v>0</v>
      </c>
    </row>
    <row r="906" spans="1:1" x14ac:dyDescent="0.35">
      <c r="A906" s="4">
        <v>0</v>
      </c>
    </row>
    <row r="907" spans="1:1" x14ac:dyDescent="0.35">
      <c r="A907" s="5">
        <v>0</v>
      </c>
    </row>
    <row r="908" spans="1:1" x14ac:dyDescent="0.35">
      <c r="A908" s="4">
        <v>20</v>
      </c>
    </row>
    <row r="909" spans="1:1" x14ac:dyDescent="0.35">
      <c r="A909" s="5">
        <v>10</v>
      </c>
    </row>
    <row r="910" spans="1:1" x14ac:dyDescent="0.35">
      <c r="A910" s="4">
        <v>0</v>
      </c>
    </row>
    <row r="911" spans="1:1" x14ac:dyDescent="0.35">
      <c r="A911" s="5">
        <v>10</v>
      </c>
    </row>
    <row r="912" spans="1:1" x14ac:dyDescent="0.35">
      <c r="A912" s="4">
        <v>5</v>
      </c>
    </row>
    <row r="913" spans="1:1" x14ac:dyDescent="0.35">
      <c r="A913" s="5">
        <v>0</v>
      </c>
    </row>
    <row r="914" spans="1:1" x14ac:dyDescent="0.35">
      <c r="A914" s="4">
        <v>0</v>
      </c>
    </row>
    <row r="915" spans="1:1" x14ac:dyDescent="0.35">
      <c r="A915" s="5">
        <v>10</v>
      </c>
    </row>
    <row r="916" spans="1:1" x14ac:dyDescent="0.35">
      <c r="A916" s="4">
        <v>10</v>
      </c>
    </row>
    <row r="917" spans="1:1" x14ac:dyDescent="0.35">
      <c r="A917" s="5">
        <v>15</v>
      </c>
    </row>
    <row r="918" spans="1:1" x14ac:dyDescent="0.35">
      <c r="A918" s="4">
        <v>0</v>
      </c>
    </row>
    <row r="919" spans="1:1" x14ac:dyDescent="0.35">
      <c r="A919" s="5">
        <v>0</v>
      </c>
    </row>
    <row r="920" spans="1:1" x14ac:dyDescent="0.35">
      <c r="A920" s="4">
        <v>5</v>
      </c>
    </row>
    <row r="921" spans="1:1" x14ac:dyDescent="0.35">
      <c r="A921" s="5">
        <v>0</v>
      </c>
    </row>
    <row r="922" spans="1:1" x14ac:dyDescent="0.35">
      <c r="A922" s="4">
        <v>10</v>
      </c>
    </row>
    <row r="923" spans="1:1" x14ac:dyDescent="0.35">
      <c r="A923" s="5">
        <v>10</v>
      </c>
    </row>
    <row r="924" spans="1:1" x14ac:dyDescent="0.35">
      <c r="A924" s="4">
        <v>10</v>
      </c>
    </row>
    <row r="925" spans="1:1" x14ac:dyDescent="0.35">
      <c r="A925" s="5">
        <v>0</v>
      </c>
    </row>
    <row r="926" spans="1:1" x14ac:dyDescent="0.35">
      <c r="A926" s="4">
        <v>0</v>
      </c>
    </row>
    <row r="927" spans="1:1" x14ac:dyDescent="0.35">
      <c r="A927" s="5">
        <v>10</v>
      </c>
    </row>
    <row r="928" spans="1:1" x14ac:dyDescent="0.35">
      <c r="A928" s="4">
        <v>10</v>
      </c>
    </row>
    <row r="929" spans="1:1" x14ac:dyDescent="0.35">
      <c r="A929" s="5">
        <v>0</v>
      </c>
    </row>
    <row r="930" spans="1:1" x14ac:dyDescent="0.35">
      <c r="A930" s="4">
        <v>15</v>
      </c>
    </row>
    <row r="931" spans="1:1" x14ac:dyDescent="0.35">
      <c r="A931" s="5">
        <v>15</v>
      </c>
    </row>
    <row r="932" spans="1:1" x14ac:dyDescent="0.35">
      <c r="A932" s="4">
        <v>15</v>
      </c>
    </row>
    <row r="933" spans="1:1" x14ac:dyDescent="0.35">
      <c r="A933" s="5">
        <v>10</v>
      </c>
    </row>
    <row r="934" spans="1:1" x14ac:dyDescent="0.35">
      <c r="A934" s="4">
        <v>5</v>
      </c>
    </row>
    <row r="935" spans="1:1" x14ac:dyDescent="0.35">
      <c r="A935" s="5">
        <v>5</v>
      </c>
    </row>
    <row r="936" spans="1:1" x14ac:dyDescent="0.35">
      <c r="A936" s="4">
        <v>0</v>
      </c>
    </row>
    <row r="937" spans="1:1" x14ac:dyDescent="0.35">
      <c r="A937" s="5">
        <v>5</v>
      </c>
    </row>
    <row r="938" spans="1:1" x14ac:dyDescent="0.35">
      <c r="A938" s="4">
        <v>20</v>
      </c>
    </row>
    <row r="939" spans="1:1" x14ac:dyDescent="0.35">
      <c r="A939" s="5">
        <v>0</v>
      </c>
    </row>
    <row r="940" spans="1:1" x14ac:dyDescent="0.35">
      <c r="A940" s="4">
        <v>15</v>
      </c>
    </row>
    <row r="941" spans="1:1" x14ac:dyDescent="0.35">
      <c r="A941" s="5">
        <v>5</v>
      </c>
    </row>
    <row r="942" spans="1:1" x14ac:dyDescent="0.35">
      <c r="A942" s="4">
        <v>10</v>
      </c>
    </row>
    <row r="943" spans="1:1" x14ac:dyDescent="0.35">
      <c r="A943" s="5">
        <v>5</v>
      </c>
    </row>
    <row r="944" spans="1:1" x14ac:dyDescent="0.35">
      <c r="A944" s="4">
        <v>10</v>
      </c>
    </row>
    <row r="945" spans="1:1" x14ac:dyDescent="0.35">
      <c r="A945" s="5">
        <v>0</v>
      </c>
    </row>
    <row r="946" spans="1:1" x14ac:dyDescent="0.35">
      <c r="A946" s="4">
        <v>15</v>
      </c>
    </row>
    <row r="947" spans="1:1" x14ac:dyDescent="0.35">
      <c r="A947" s="5">
        <v>15</v>
      </c>
    </row>
    <row r="948" spans="1:1" x14ac:dyDescent="0.35">
      <c r="A948" s="4">
        <v>5</v>
      </c>
    </row>
    <row r="949" spans="1:1" x14ac:dyDescent="0.35">
      <c r="A949" s="5">
        <v>5</v>
      </c>
    </row>
    <row r="950" spans="1:1" x14ac:dyDescent="0.35">
      <c r="A950" s="4">
        <v>5</v>
      </c>
    </row>
    <row r="951" spans="1:1" x14ac:dyDescent="0.35">
      <c r="A951" s="5">
        <v>0</v>
      </c>
    </row>
    <row r="952" spans="1:1" x14ac:dyDescent="0.35">
      <c r="A952" s="4">
        <v>5</v>
      </c>
    </row>
    <row r="953" spans="1:1" x14ac:dyDescent="0.35">
      <c r="A953" s="5">
        <v>10</v>
      </c>
    </row>
    <row r="954" spans="1:1" x14ac:dyDescent="0.35">
      <c r="A954" s="4">
        <v>10</v>
      </c>
    </row>
    <row r="955" spans="1:1" x14ac:dyDescent="0.35">
      <c r="A955" s="5">
        <v>5</v>
      </c>
    </row>
    <row r="956" spans="1:1" x14ac:dyDescent="0.35">
      <c r="A956" s="4">
        <v>5</v>
      </c>
    </row>
    <row r="957" spans="1:1" x14ac:dyDescent="0.35">
      <c r="A957" s="5">
        <v>5</v>
      </c>
    </row>
    <row r="958" spans="1:1" x14ac:dyDescent="0.35">
      <c r="A958" s="4">
        <v>5</v>
      </c>
    </row>
    <row r="959" spans="1:1" x14ac:dyDescent="0.35">
      <c r="A959" s="5">
        <v>10</v>
      </c>
    </row>
    <row r="960" spans="1:1" x14ac:dyDescent="0.35">
      <c r="A960" s="4">
        <v>5</v>
      </c>
    </row>
    <row r="961" spans="1:1" x14ac:dyDescent="0.35">
      <c r="A961" s="5">
        <v>0</v>
      </c>
    </row>
    <row r="962" spans="1:1" x14ac:dyDescent="0.35">
      <c r="A962" s="4">
        <v>5</v>
      </c>
    </row>
    <row r="963" spans="1:1" x14ac:dyDescent="0.35">
      <c r="A963" s="5">
        <v>15</v>
      </c>
    </row>
    <row r="964" spans="1:1" x14ac:dyDescent="0.35">
      <c r="A964" s="4">
        <v>15</v>
      </c>
    </row>
    <row r="965" spans="1:1" x14ac:dyDescent="0.35">
      <c r="A965" s="5">
        <v>20</v>
      </c>
    </row>
    <row r="966" spans="1:1" x14ac:dyDescent="0.35">
      <c r="A966" s="4">
        <v>10</v>
      </c>
    </row>
    <row r="967" spans="1:1" x14ac:dyDescent="0.35">
      <c r="A967" s="5">
        <v>5</v>
      </c>
    </row>
    <row r="968" spans="1:1" x14ac:dyDescent="0.35">
      <c r="A968" s="4">
        <v>10</v>
      </c>
    </row>
    <row r="969" spans="1:1" x14ac:dyDescent="0.35">
      <c r="A969" s="5">
        <v>0</v>
      </c>
    </row>
    <row r="970" spans="1:1" x14ac:dyDescent="0.35">
      <c r="A970" s="4">
        <v>0</v>
      </c>
    </row>
    <row r="971" spans="1:1" x14ac:dyDescent="0.35">
      <c r="A971" s="5">
        <v>0</v>
      </c>
    </row>
    <row r="972" spans="1:1" x14ac:dyDescent="0.35">
      <c r="A972" s="4">
        <v>0</v>
      </c>
    </row>
    <row r="973" spans="1:1" x14ac:dyDescent="0.35">
      <c r="A973" s="5">
        <v>20</v>
      </c>
    </row>
    <row r="974" spans="1:1" x14ac:dyDescent="0.35">
      <c r="A974" s="4">
        <v>10</v>
      </c>
    </row>
    <row r="975" spans="1:1" x14ac:dyDescent="0.35">
      <c r="A975" s="5">
        <v>10</v>
      </c>
    </row>
    <row r="976" spans="1:1" x14ac:dyDescent="0.35">
      <c r="A976" s="4">
        <v>5</v>
      </c>
    </row>
    <row r="977" spans="1:1" x14ac:dyDescent="0.35">
      <c r="A977" s="5">
        <v>20</v>
      </c>
    </row>
    <row r="978" spans="1:1" x14ac:dyDescent="0.35">
      <c r="A978" s="4">
        <v>0</v>
      </c>
    </row>
    <row r="979" spans="1:1" x14ac:dyDescent="0.35">
      <c r="A979" s="5">
        <v>0</v>
      </c>
    </row>
    <row r="980" spans="1:1" x14ac:dyDescent="0.35">
      <c r="A980" s="4">
        <v>10</v>
      </c>
    </row>
    <row r="981" spans="1:1" x14ac:dyDescent="0.35">
      <c r="A981" s="5">
        <v>5</v>
      </c>
    </row>
    <row r="982" spans="1:1" x14ac:dyDescent="0.35">
      <c r="A982" s="4">
        <v>0</v>
      </c>
    </row>
    <row r="983" spans="1:1" x14ac:dyDescent="0.35">
      <c r="A983" s="5">
        <v>15</v>
      </c>
    </row>
    <row r="984" spans="1:1" x14ac:dyDescent="0.35">
      <c r="A984" s="4">
        <v>0</v>
      </c>
    </row>
    <row r="985" spans="1:1" x14ac:dyDescent="0.35">
      <c r="A985" s="5">
        <v>0</v>
      </c>
    </row>
    <row r="986" spans="1:1" x14ac:dyDescent="0.35">
      <c r="A986" s="4">
        <v>5</v>
      </c>
    </row>
    <row r="987" spans="1:1" x14ac:dyDescent="0.35">
      <c r="A987" s="5">
        <v>5</v>
      </c>
    </row>
    <row r="988" spans="1:1" x14ac:dyDescent="0.35">
      <c r="A988" s="4">
        <v>20</v>
      </c>
    </row>
    <row r="989" spans="1:1" x14ac:dyDescent="0.35">
      <c r="A989" s="5">
        <v>10</v>
      </c>
    </row>
    <row r="990" spans="1:1" x14ac:dyDescent="0.35">
      <c r="A990" s="4">
        <v>10</v>
      </c>
    </row>
    <row r="991" spans="1:1" x14ac:dyDescent="0.35">
      <c r="A991" s="5">
        <v>15</v>
      </c>
    </row>
    <row r="992" spans="1:1" x14ac:dyDescent="0.35">
      <c r="A992" s="4">
        <v>5</v>
      </c>
    </row>
    <row r="993" spans="1:1" x14ac:dyDescent="0.35">
      <c r="A993" s="5">
        <v>20</v>
      </c>
    </row>
    <row r="994" spans="1:1" x14ac:dyDescent="0.35">
      <c r="A994" s="4">
        <v>20</v>
      </c>
    </row>
    <row r="995" spans="1:1" x14ac:dyDescent="0.35">
      <c r="A995" s="5">
        <v>10</v>
      </c>
    </row>
    <row r="996" spans="1:1" x14ac:dyDescent="0.35">
      <c r="A996" s="4">
        <v>5</v>
      </c>
    </row>
    <row r="997" spans="1:1" x14ac:dyDescent="0.35">
      <c r="A997" s="5">
        <v>15</v>
      </c>
    </row>
    <row r="998" spans="1:1" x14ac:dyDescent="0.35">
      <c r="A998" s="4">
        <v>5</v>
      </c>
    </row>
    <row r="999" spans="1:1" x14ac:dyDescent="0.35">
      <c r="A999" s="5">
        <v>0</v>
      </c>
    </row>
    <row r="1000" spans="1:1" x14ac:dyDescent="0.35">
      <c r="A1000" s="4">
        <v>15</v>
      </c>
    </row>
    <row r="1001" spans="1:1" x14ac:dyDescent="0.35">
      <c r="A1001" s="5">
        <v>10</v>
      </c>
    </row>
    <row r="1002" spans="1:1" x14ac:dyDescent="0.35">
      <c r="A1002" s="4">
        <v>10</v>
      </c>
    </row>
    <row r="1003" spans="1:1" x14ac:dyDescent="0.35">
      <c r="A1003" s="5">
        <v>5</v>
      </c>
    </row>
    <row r="1004" spans="1:1" x14ac:dyDescent="0.35">
      <c r="A1004" s="4">
        <v>15</v>
      </c>
    </row>
    <row r="1005" spans="1:1" x14ac:dyDescent="0.35">
      <c r="A1005" s="5">
        <v>10</v>
      </c>
    </row>
    <row r="1006" spans="1:1" x14ac:dyDescent="0.35">
      <c r="A1006" s="4">
        <v>20</v>
      </c>
    </row>
    <row r="1007" spans="1:1" x14ac:dyDescent="0.35">
      <c r="A1007" s="5">
        <v>25</v>
      </c>
    </row>
    <row r="1008" spans="1:1" x14ac:dyDescent="0.35">
      <c r="A1008" s="4">
        <v>10</v>
      </c>
    </row>
    <row r="1009" spans="1:1" x14ac:dyDescent="0.35">
      <c r="A1009" s="5">
        <v>5</v>
      </c>
    </row>
    <row r="1010" spans="1:1" x14ac:dyDescent="0.35">
      <c r="A1010" s="4">
        <v>0</v>
      </c>
    </row>
    <row r="1011" spans="1:1" x14ac:dyDescent="0.35">
      <c r="A1011" s="5">
        <v>10</v>
      </c>
    </row>
    <row r="1012" spans="1:1" x14ac:dyDescent="0.35">
      <c r="A1012" s="4">
        <v>10</v>
      </c>
    </row>
    <row r="1013" spans="1:1" x14ac:dyDescent="0.35">
      <c r="A1013" s="5">
        <v>5</v>
      </c>
    </row>
    <row r="1014" spans="1:1" x14ac:dyDescent="0.35">
      <c r="A1014" s="4">
        <v>10</v>
      </c>
    </row>
    <row r="1015" spans="1:1" x14ac:dyDescent="0.35">
      <c r="A1015" s="5">
        <v>25</v>
      </c>
    </row>
    <row r="1016" spans="1:1" x14ac:dyDescent="0.35">
      <c r="A1016" s="4">
        <v>0</v>
      </c>
    </row>
    <row r="1017" spans="1:1" x14ac:dyDescent="0.35">
      <c r="A1017" s="5">
        <v>5</v>
      </c>
    </row>
    <row r="1018" spans="1:1" x14ac:dyDescent="0.35">
      <c r="A1018" s="4">
        <v>0</v>
      </c>
    </row>
    <row r="1019" spans="1:1" x14ac:dyDescent="0.35">
      <c r="A1019" s="5">
        <v>10</v>
      </c>
    </row>
    <row r="1020" spans="1:1" x14ac:dyDescent="0.35">
      <c r="A1020" s="4">
        <v>20</v>
      </c>
    </row>
    <row r="1021" spans="1:1" x14ac:dyDescent="0.35">
      <c r="A1021" s="5">
        <v>15</v>
      </c>
    </row>
    <row r="1022" spans="1:1" x14ac:dyDescent="0.35">
      <c r="A1022" s="4">
        <v>5</v>
      </c>
    </row>
    <row r="1023" spans="1:1" x14ac:dyDescent="0.35">
      <c r="A1023" s="5">
        <v>25</v>
      </c>
    </row>
    <row r="1024" spans="1:1" x14ac:dyDescent="0.35">
      <c r="A1024" s="4">
        <v>0</v>
      </c>
    </row>
    <row r="1025" spans="1:1" x14ac:dyDescent="0.35">
      <c r="A1025" s="5">
        <v>0</v>
      </c>
    </row>
    <row r="1026" spans="1:1" x14ac:dyDescent="0.35">
      <c r="A1026" s="4">
        <v>15</v>
      </c>
    </row>
    <row r="1027" spans="1:1" x14ac:dyDescent="0.35">
      <c r="A1027" s="5">
        <v>0</v>
      </c>
    </row>
    <row r="1028" spans="1:1" x14ac:dyDescent="0.35">
      <c r="A1028" s="4">
        <v>5</v>
      </c>
    </row>
    <row r="1029" spans="1:1" x14ac:dyDescent="0.35">
      <c r="A1029" s="5">
        <v>5</v>
      </c>
    </row>
    <row r="1030" spans="1:1" x14ac:dyDescent="0.35">
      <c r="A1030" s="4">
        <v>15</v>
      </c>
    </row>
    <row r="1031" spans="1:1" x14ac:dyDescent="0.35">
      <c r="A1031" s="5">
        <v>0</v>
      </c>
    </row>
    <row r="1032" spans="1:1" x14ac:dyDescent="0.35">
      <c r="A1032" s="4">
        <v>5</v>
      </c>
    </row>
    <row r="1033" spans="1:1" x14ac:dyDescent="0.35">
      <c r="A1033" s="5">
        <v>10</v>
      </c>
    </row>
    <row r="1034" spans="1:1" x14ac:dyDescent="0.35">
      <c r="A1034" s="4">
        <v>0</v>
      </c>
    </row>
    <row r="1035" spans="1:1" x14ac:dyDescent="0.35">
      <c r="A1035" s="5">
        <v>0</v>
      </c>
    </row>
    <row r="1036" spans="1:1" x14ac:dyDescent="0.35">
      <c r="A1036" s="4">
        <v>15</v>
      </c>
    </row>
    <row r="1037" spans="1:1" x14ac:dyDescent="0.35">
      <c r="A1037" s="5">
        <v>5</v>
      </c>
    </row>
    <row r="1038" spans="1:1" x14ac:dyDescent="0.35">
      <c r="A1038" s="4">
        <v>5</v>
      </c>
    </row>
    <row r="1039" spans="1:1" x14ac:dyDescent="0.35">
      <c r="A1039" s="5">
        <v>5</v>
      </c>
    </row>
    <row r="1040" spans="1:1" x14ac:dyDescent="0.35">
      <c r="A1040" s="4">
        <v>5</v>
      </c>
    </row>
    <row r="1041" spans="1:1" x14ac:dyDescent="0.35">
      <c r="A1041" s="5">
        <v>20</v>
      </c>
    </row>
    <row r="1042" spans="1:1" x14ac:dyDescent="0.35">
      <c r="A1042" s="4">
        <v>5</v>
      </c>
    </row>
    <row r="1043" spans="1:1" x14ac:dyDescent="0.35">
      <c r="A1043" s="5">
        <v>10</v>
      </c>
    </row>
    <row r="1044" spans="1:1" x14ac:dyDescent="0.35">
      <c r="A1044" s="4">
        <v>10</v>
      </c>
    </row>
    <row r="1045" spans="1:1" x14ac:dyDescent="0.35">
      <c r="A1045" s="5">
        <v>5</v>
      </c>
    </row>
    <row r="1046" spans="1:1" x14ac:dyDescent="0.35">
      <c r="A1046" s="4">
        <v>10</v>
      </c>
    </row>
    <row r="1047" spans="1:1" x14ac:dyDescent="0.35">
      <c r="A1047" s="5">
        <v>20</v>
      </c>
    </row>
    <row r="1048" spans="1:1" x14ac:dyDescent="0.35">
      <c r="A1048" s="4">
        <v>5</v>
      </c>
    </row>
    <row r="1049" spans="1:1" x14ac:dyDescent="0.35">
      <c r="A1049" s="5">
        <v>0</v>
      </c>
    </row>
    <row r="1050" spans="1:1" x14ac:dyDescent="0.35">
      <c r="A1050" s="4">
        <v>20</v>
      </c>
    </row>
    <row r="1051" spans="1:1" x14ac:dyDescent="0.35">
      <c r="A1051" s="5">
        <v>0</v>
      </c>
    </row>
    <row r="1052" spans="1:1" x14ac:dyDescent="0.35">
      <c r="A1052" s="4">
        <v>10</v>
      </c>
    </row>
    <row r="1053" spans="1:1" x14ac:dyDescent="0.35">
      <c r="A1053" s="5">
        <v>10</v>
      </c>
    </row>
    <row r="1054" spans="1:1" x14ac:dyDescent="0.35">
      <c r="A1054" s="4">
        <v>5</v>
      </c>
    </row>
    <row r="1055" spans="1:1" x14ac:dyDescent="0.35">
      <c r="A1055" s="5">
        <v>0</v>
      </c>
    </row>
    <row r="1056" spans="1:1" x14ac:dyDescent="0.35">
      <c r="A1056" s="4">
        <v>15</v>
      </c>
    </row>
    <row r="1057" spans="1:1" x14ac:dyDescent="0.35">
      <c r="A1057" s="5">
        <v>10</v>
      </c>
    </row>
    <row r="1058" spans="1:1" x14ac:dyDescent="0.35">
      <c r="A1058" s="4">
        <v>10</v>
      </c>
    </row>
    <row r="1059" spans="1:1" x14ac:dyDescent="0.35">
      <c r="A1059" s="5">
        <v>0</v>
      </c>
    </row>
    <row r="1060" spans="1:1" x14ac:dyDescent="0.35">
      <c r="A1060" s="4">
        <v>5</v>
      </c>
    </row>
    <row r="1061" spans="1:1" x14ac:dyDescent="0.35">
      <c r="A1061" s="5">
        <v>5</v>
      </c>
    </row>
    <row r="1062" spans="1:1" x14ac:dyDescent="0.35">
      <c r="A1062" s="4">
        <v>15</v>
      </c>
    </row>
    <row r="1063" spans="1:1" x14ac:dyDescent="0.35">
      <c r="A1063" s="5">
        <v>10</v>
      </c>
    </row>
    <row r="1064" spans="1:1" x14ac:dyDescent="0.35">
      <c r="A1064" s="4">
        <v>15</v>
      </c>
    </row>
    <row r="1065" spans="1:1" x14ac:dyDescent="0.35">
      <c r="A1065" s="5">
        <v>5</v>
      </c>
    </row>
    <row r="1066" spans="1:1" x14ac:dyDescent="0.35">
      <c r="A1066" s="4">
        <v>0</v>
      </c>
    </row>
    <row r="1067" spans="1:1" x14ac:dyDescent="0.35">
      <c r="A1067" s="5">
        <v>10</v>
      </c>
    </row>
    <row r="1068" spans="1:1" x14ac:dyDescent="0.35">
      <c r="A1068" s="4">
        <v>0</v>
      </c>
    </row>
    <row r="1069" spans="1:1" x14ac:dyDescent="0.35">
      <c r="A1069" s="5">
        <v>5</v>
      </c>
    </row>
    <row r="1070" spans="1:1" x14ac:dyDescent="0.35">
      <c r="A1070" s="4">
        <v>0</v>
      </c>
    </row>
    <row r="1071" spans="1:1" x14ac:dyDescent="0.35">
      <c r="A1071" s="5">
        <v>10</v>
      </c>
    </row>
    <row r="1072" spans="1:1" x14ac:dyDescent="0.35">
      <c r="A1072" s="4">
        <v>5</v>
      </c>
    </row>
    <row r="1073" spans="1:1" x14ac:dyDescent="0.35">
      <c r="A1073" s="5">
        <v>20</v>
      </c>
    </row>
    <row r="1074" spans="1:1" x14ac:dyDescent="0.35">
      <c r="A1074" s="4">
        <v>15</v>
      </c>
    </row>
    <row r="1075" spans="1:1" x14ac:dyDescent="0.35">
      <c r="A1075" s="5">
        <v>15</v>
      </c>
    </row>
    <row r="1076" spans="1:1" x14ac:dyDescent="0.35">
      <c r="A1076" s="4">
        <v>5</v>
      </c>
    </row>
    <row r="1077" spans="1:1" x14ac:dyDescent="0.35">
      <c r="A1077" s="5">
        <v>15</v>
      </c>
    </row>
    <row r="1078" spans="1:1" x14ac:dyDescent="0.35">
      <c r="A1078" s="4">
        <v>15</v>
      </c>
    </row>
    <row r="1079" spans="1:1" x14ac:dyDescent="0.35">
      <c r="A1079" s="5">
        <v>0</v>
      </c>
    </row>
    <row r="1080" spans="1:1" x14ac:dyDescent="0.35">
      <c r="A1080" s="4">
        <v>10</v>
      </c>
    </row>
    <row r="1081" spans="1:1" x14ac:dyDescent="0.35">
      <c r="A1081" s="5">
        <v>0</v>
      </c>
    </row>
    <row r="1082" spans="1:1" x14ac:dyDescent="0.35">
      <c r="A1082" s="4">
        <v>10</v>
      </c>
    </row>
    <row r="1083" spans="1:1" x14ac:dyDescent="0.35">
      <c r="A1083" s="5">
        <v>0</v>
      </c>
    </row>
    <row r="1084" spans="1:1" x14ac:dyDescent="0.35">
      <c r="A1084" s="4">
        <v>5</v>
      </c>
    </row>
    <row r="1085" spans="1:1" x14ac:dyDescent="0.35">
      <c r="A1085" s="5">
        <v>15</v>
      </c>
    </row>
    <row r="1086" spans="1:1" x14ac:dyDescent="0.35">
      <c r="A1086" s="4">
        <v>10</v>
      </c>
    </row>
    <row r="1087" spans="1:1" x14ac:dyDescent="0.35">
      <c r="A1087" s="5">
        <v>20</v>
      </c>
    </row>
    <row r="1088" spans="1:1" x14ac:dyDescent="0.35">
      <c r="A1088" s="4">
        <v>10</v>
      </c>
    </row>
    <row r="1089" spans="1:1" x14ac:dyDescent="0.35">
      <c r="A1089" s="5">
        <v>0</v>
      </c>
    </row>
    <row r="1090" spans="1:1" x14ac:dyDescent="0.35">
      <c r="A1090" s="4">
        <v>0</v>
      </c>
    </row>
    <row r="1091" spans="1:1" x14ac:dyDescent="0.35">
      <c r="A1091" s="5">
        <v>0</v>
      </c>
    </row>
    <row r="1092" spans="1:1" x14ac:dyDescent="0.35">
      <c r="A1092" s="4">
        <v>0</v>
      </c>
    </row>
    <row r="1093" spans="1:1" x14ac:dyDescent="0.35">
      <c r="A1093" s="5">
        <v>0</v>
      </c>
    </row>
    <row r="1094" spans="1:1" x14ac:dyDescent="0.35">
      <c r="A1094" s="4">
        <v>0</v>
      </c>
    </row>
    <row r="1095" spans="1:1" x14ac:dyDescent="0.35">
      <c r="A1095" s="5">
        <v>10</v>
      </c>
    </row>
    <row r="1096" spans="1:1" x14ac:dyDescent="0.35">
      <c r="A1096" s="4">
        <v>15</v>
      </c>
    </row>
    <row r="1097" spans="1:1" x14ac:dyDescent="0.35">
      <c r="A1097" s="5">
        <v>10</v>
      </c>
    </row>
    <row r="1098" spans="1:1" x14ac:dyDescent="0.35">
      <c r="A1098" s="4">
        <v>0</v>
      </c>
    </row>
    <row r="1099" spans="1:1" x14ac:dyDescent="0.35">
      <c r="A1099" s="5">
        <v>0</v>
      </c>
    </row>
    <row r="1100" spans="1:1" x14ac:dyDescent="0.35">
      <c r="A1100" s="4">
        <v>20</v>
      </c>
    </row>
    <row r="1101" spans="1:1" x14ac:dyDescent="0.35">
      <c r="A1101" s="5">
        <v>15</v>
      </c>
    </row>
    <row r="1102" spans="1:1" x14ac:dyDescent="0.35">
      <c r="A1102" s="4">
        <v>5</v>
      </c>
    </row>
    <row r="1103" spans="1:1" x14ac:dyDescent="0.35">
      <c r="A1103" s="5">
        <v>0</v>
      </c>
    </row>
    <row r="1104" spans="1:1" x14ac:dyDescent="0.35">
      <c r="A1104" s="4">
        <v>20</v>
      </c>
    </row>
    <row r="1105" spans="1:1" x14ac:dyDescent="0.35">
      <c r="A1105" s="5">
        <v>5</v>
      </c>
    </row>
    <row r="1106" spans="1:1" x14ac:dyDescent="0.35">
      <c r="A1106" s="4">
        <v>25</v>
      </c>
    </row>
    <row r="1107" spans="1:1" x14ac:dyDescent="0.35">
      <c r="A1107" s="5">
        <v>25</v>
      </c>
    </row>
    <row r="1108" spans="1:1" x14ac:dyDescent="0.35">
      <c r="A1108" s="4">
        <v>10</v>
      </c>
    </row>
    <row r="1109" spans="1:1" x14ac:dyDescent="0.35">
      <c r="A1109" s="5">
        <v>10</v>
      </c>
    </row>
    <row r="1110" spans="1:1" x14ac:dyDescent="0.35">
      <c r="A1110" s="4">
        <v>0</v>
      </c>
    </row>
    <row r="1111" spans="1:1" x14ac:dyDescent="0.35">
      <c r="A1111" s="5">
        <v>10</v>
      </c>
    </row>
    <row r="1112" spans="1:1" x14ac:dyDescent="0.35">
      <c r="A1112" s="4">
        <v>20</v>
      </c>
    </row>
    <row r="1113" spans="1:1" x14ac:dyDescent="0.35">
      <c r="A1113" s="5">
        <v>0</v>
      </c>
    </row>
    <row r="1114" spans="1:1" x14ac:dyDescent="0.35">
      <c r="A1114" s="4">
        <v>15</v>
      </c>
    </row>
    <row r="1115" spans="1:1" x14ac:dyDescent="0.35">
      <c r="A1115" s="5">
        <v>15</v>
      </c>
    </row>
    <row r="1116" spans="1:1" x14ac:dyDescent="0.35">
      <c r="A1116" s="4">
        <v>5</v>
      </c>
    </row>
    <row r="1117" spans="1:1" x14ac:dyDescent="0.35">
      <c r="A1117" s="5">
        <v>5</v>
      </c>
    </row>
    <row r="1118" spans="1:1" x14ac:dyDescent="0.35">
      <c r="A1118" s="4">
        <v>5</v>
      </c>
    </row>
    <row r="1119" spans="1:1" x14ac:dyDescent="0.35">
      <c r="A1119" s="5">
        <v>0</v>
      </c>
    </row>
    <row r="1120" spans="1:1" x14ac:dyDescent="0.35">
      <c r="A1120" s="4">
        <v>10</v>
      </c>
    </row>
    <row r="1121" spans="1:1" x14ac:dyDescent="0.35">
      <c r="A1121" s="5">
        <v>0</v>
      </c>
    </row>
    <row r="1122" spans="1:1" x14ac:dyDescent="0.35">
      <c r="A1122" s="4">
        <v>15</v>
      </c>
    </row>
    <row r="1123" spans="1:1" x14ac:dyDescent="0.35">
      <c r="A1123" s="5">
        <v>15</v>
      </c>
    </row>
    <row r="1124" spans="1:1" x14ac:dyDescent="0.35">
      <c r="A1124" s="4">
        <v>15</v>
      </c>
    </row>
    <row r="1125" spans="1:1" x14ac:dyDescent="0.35">
      <c r="A1125" s="5">
        <v>10</v>
      </c>
    </row>
    <row r="1126" spans="1:1" x14ac:dyDescent="0.35">
      <c r="A1126" s="4">
        <v>0</v>
      </c>
    </row>
    <row r="1127" spans="1:1" x14ac:dyDescent="0.35">
      <c r="A1127" s="5">
        <v>5</v>
      </c>
    </row>
    <row r="1128" spans="1:1" x14ac:dyDescent="0.35">
      <c r="A1128" s="4">
        <v>15</v>
      </c>
    </row>
    <row r="1129" spans="1:1" x14ac:dyDescent="0.35">
      <c r="A1129" s="5">
        <v>20</v>
      </c>
    </row>
    <row r="1130" spans="1:1" x14ac:dyDescent="0.35">
      <c r="A1130" s="4">
        <v>15</v>
      </c>
    </row>
    <row r="1131" spans="1:1" x14ac:dyDescent="0.35">
      <c r="A1131" s="5">
        <v>0</v>
      </c>
    </row>
    <row r="1132" spans="1:1" x14ac:dyDescent="0.35">
      <c r="A1132" s="4">
        <v>5</v>
      </c>
    </row>
    <row r="1133" spans="1:1" x14ac:dyDescent="0.35">
      <c r="A1133" s="5">
        <v>0</v>
      </c>
    </row>
    <row r="1134" spans="1:1" x14ac:dyDescent="0.35">
      <c r="A1134" s="4">
        <v>5</v>
      </c>
    </row>
    <row r="1135" spans="1:1" x14ac:dyDescent="0.35">
      <c r="A1135" s="5">
        <v>15</v>
      </c>
    </row>
    <row r="1136" spans="1:1" x14ac:dyDescent="0.35">
      <c r="A1136" s="4">
        <v>20</v>
      </c>
    </row>
    <row r="1137" spans="1:1" x14ac:dyDescent="0.35">
      <c r="A1137" s="5">
        <v>10</v>
      </c>
    </row>
    <row r="1138" spans="1:1" x14ac:dyDescent="0.35">
      <c r="A1138" s="4">
        <v>5</v>
      </c>
    </row>
    <row r="1139" spans="1:1" x14ac:dyDescent="0.35">
      <c r="A1139" s="5">
        <v>10</v>
      </c>
    </row>
    <row r="1140" spans="1:1" x14ac:dyDescent="0.35">
      <c r="A1140" s="4">
        <v>5</v>
      </c>
    </row>
    <row r="1141" spans="1:1" x14ac:dyDescent="0.35">
      <c r="A1141" s="5">
        <v>0</v>
      </c>
    </row>
    <row r="1142" spans="1:1" x14ac:dyDescent="0.35">
      <c r="A1142" s="4">
        <v>10</v>
      </c>
    </row>
    <row r="1143" spans="1:1" x14ac:dyDescent="0.35">
      <c r="A1143" s="5">
        <v>5</v>
      </c>
    </row>
    <row r="1144" spans="1:1" x14ac:dyDescent="0.35">
      <c r="A1144" s="4">
        <v>5</v>
      </c>
    </row>
    <row r="1145" spans="1:1" x14ac:dyDescent="0.35">
      <c r="A1145" s="5">
        <v>20</v>
      </c>
    </row>
    <row r="1146" spans="1:1" x14ac:dyDescent="0.35">
      <c r="A1146" s="4">
        <v>5</v>
      </c>
    </row>
    <row r="1147" spans="1:1" x14ac:dyDescent="0.35">
      <c r="A1147" s="5">
        <v>10</v>
      </c>
    </row>
    <row r="1148" spans="1:1" x14ac:dyDescent="0.35">
      <c r="A1148" s="4">
        <v>5</v>
      </c>
    </row>
    <row r="1149" spans="1:1" x14ac:dyDescent="0.35">
      <c r="A1149" s="5">
        <v>5</v>
      </c>
    </row>
    <row r="1150" spans="1:1" x14ac:dyDescent="0.35">
      <c r="A1150" s="4">
        <v>5</v>
      </c>
    </row>
    <row r="1151" spans="1:1" x14ac:dyDescent="0.35">
      <c r="A1151" s="5">
        <v>10</v>
      </c>
    </row>
    <row r="1152" spans="1:1" x14ac:dyDescent="0.35">
      <c r="A1152" s="4">
        <v>10</v>
      </c>
    </row>
    <row r="1153" spans="1:1" x14ac:dyDescent="0.35">
      <c r="A1153" s="5">
        <v>15</v>
      </c>
    </row>
    <row r="1154" spans="1:1" x14ac:dyDescent="0.35">
      <c r="A1154" s="4">
        <v>5</v>
      </c>
    </row>
    <row r="1155" spans="1:1" x14ac:dyDescent="0.35">
      <c r="A1155" s="5">
        <v>5</v>
      </c>
    </row>
    <row r="1156" spans="1:1" x14ac:dyDescent="0.35">
      <c r="A1156" s="4">
        <v>10</v>
      </c>
    </row>
    <row r="1157" spans="1:1" x14ac:dyDescent="0.35">
      <c r="A1157" s="5">
        <v>5</v>
      </c>
    </row>
    <row r="1158" spans="1:1" x14ac:dyDescent="0.35">
      <c r="A1158" s="4">
        <v>0</v>
      </c>
    </row>
    <row r="1159" spans="1:1" x14ac:dyDescent="0.35">
      <c r="A1159" s="5">
        <v>0</v>
      </c>
    </row>
    <row r="1160" spans="1:1" x14ac:dyDescent="0.35">
      <c r="A1160" s="4">
        <v>10</v>
      </c>
    </row>
    <row r="1161" spans="1:1" x14ac:dyDescent="0.35">
      <c r="A1161" s="5">
        <v>5</v>
      </c>
    </row>
    <row r="1162" spans="1:1" x14ac:dyDescent="0.35">
      <c r="A1162" s="4">
        <v>10</v>
      </c>
    </row>
    <row r="1163" spans="1:1" x14ac:dyDescent="0.35">
      <c r="A1163" s="5">
        <v>20</v>
      </c>
    </row>
    <row r="1164" spans="1:1" x14ac:dyDescent="0.35">
      <c r="A1164" s="4">
        <v>25</v>
      </c>
    </row>
    <row r="1165" spans="1:1" x14ac:dyDescent="0.35">
      <c r="A1165" s="5">
        <v>5</v>
      </c>
    </row>
    <row r="1166" spans="1:1" x14ac:dyDescent="0.35">
      <c r="A1166" s="4">
        <v>0</v>
      </c>
    </row>
    <row r="1167" spans="1:1" x14ac:dyDescent="0.35">
      <c r="A1167" s="5">
        <v>0</v>
      </c>
    </row>
    <row r="1168" spans="1:1" x14ac:dyDescent="0.35">
      <c r="A1168" s="4">
        <v>20</v>
      </c>
    </row>
    <row r="1169" spans="1:1" x14ac:dyDescent="0.35">
      <c r="A1169" s="5">
        <v>20</v>
      </c>
    </row>
    <row r="1170" spans="1:1" x14ac:dyDescent="0.35">
      <c r="A1170" s="4">
        <v>0</v>
      </c>
    </row>
    <row r="1171" spans="1:1" x14ac:dyDescent="0.35">
      <c r="A1171" s="5">
        <v>5</v>
      </c>
    </row>
    <row r="1172" spans="1:1" x14ac:dyDescent="0.35">
      <c r="A1172" s="4">
        <v>10</v>
      </c>
    </row>
    <row r="1173" spans="1:1" x14ac:dyDescent="0.35">
      <c r="A1173" s="5">
        <v>10</v>
      </c>
    </row>
    <row r="1174" spans="1:1" x14ac:dyDescent="0.35">
      <c r="A1174" s="4">
        <v>5</v>
      </c>
    </row>
    <row r="1175" spans="1:1" x14ac:dyDescent="0.35">
      <c r="A1175" s="5">
        <v>10</v>
      </c>
    </row>
    <row r="1176" spans="1:1" x14ac:dyDescent="0.35">
      <c r="A1176" s="4">
        <v>30</v>
      </c>
    </row>
    <row r="1177" spans="1:1" x14ac:dyDescent="0.35">
      <c r="A1177" s="5">
        <v>0</v>
      </c>
    </row>
    <row r="1178" spans="1:1" x14ac:dyDescent="0.35">
      <c r="A1178" s="4">
        <v>15</v>
      </c>
    </row>
    <row r="1179" spans="1:1" x14ac:dyDescent="0.35">
      <c r="A1179" s="5">
        <v>15</v>
      </c>
    </row>
    <row r="1180" spans="1:1" x14ac:dyDescent="0.35">
      <c r="A1180" s="4">
        <v>20</v>
      </c>
    </row>
    <row r="1181" spans="1:1" x14ac:dyDescent="0.35">
      <c r="A1181" s="5">
        <v>15</v>
      </c>
    </row>
    <row r="1182" spans="1:1" x14ac:dyDescent="0.35">
      <c r="A1182" s="4">
        <v>25</v>
      </c>
    </row>
    <row r="1183" spans="1:1" x14ac:dyDescent="0.35">
      <c r="A1183" s="5">
        <v>25</v>
      </c>
    </row>
    <row r="1184" spans="1:1" x14ac:dyDescent="0.35">
      <c r="A1184" s="4">
        <v>25</v>
      </c>
    </row>
    <row r="1185" spans="1:1" x14ac:dyDescent="0.35">
      <c r="A1185" s="5">
        <v>15</v>
      </c>
    </row>
    <row r="1186" spans="1:1" x14ac:dyDescent="0.35">
      <c r="A1186" s="4">
        <v>0</v>
      </c>
    </row>
    <row r="1187" spans="1:1" x14ac:dyDescent="0.35">
      <c r="A1187" s="5">
        <v>0</v>
      </c>
    </row>
    <row r="1188" spans="1:1" x14ac:dyDescent="0.35">
      <c r="A1188" s="4">
        <v>5</v>
      </c>
    </row>
    <row r="1189" spans="1:1" x14ac:dyDescent="0.35">
      <c r="A1189" s="5">
        <v>5</v>
      </c>
    </row>
    <row r="1190" spans="1:1" x14ac:dyDescent="0.35">
      <c r="A1190" s="4">
        <v>15</v>
      </c>
    </row>
    <row r="1191" spans="1:1" x14ac:dyDescent="0.35">
      <c r="A1191" s="5">
        <v>15</v>
      </c>
    </row>
    <row r="1192" spans="1:1" x14ac:dyDescent="0.35">
      <c r="A1192" s="4">
        <v>15</v>
      </c>
    </row>
    <row r="1193" spans="1:1" x14ac:dyDescent="0.35">
      <c r="A1193" s="5">
        <v>20</v>
      </c>
    </row>
    <row r="1194" spans="1:1" x14ac:dyDescent="0.35">
      <c r="A1194" s="4">
        <v>20</v>
      </c>
    </row>
    <row r="1195" spans="1:1" x14ac:dyDescent="0.35">
      <c r="A1195" s="5">
        <v>10</v>
      </c>
    </row>
    <row r="1196" spans="1:1" x14ac:dyDescent="0.35">
      <c r="A1196" s="4">
        <v>5</v>
      </c>
    </row>
    <row r="1197" spans="1:1" x14ac:dyDescent="0.35">
      <c r="A1197" s="5">
        <v>10</v>
      </c>
    </row>
    <row r="1198" spans="1:1" x14ac:dyDescent="0.35">
      <c r="A1198" s="4">
        <v>20</v>
      </c>
    </row>
    <row r="1199" spans="1:1" x14ac:dyDescent="0.35">
      <c r="A1199" s="5">
        <v>0</v>
      </c>
    </row>
    <row r="1200" spans="1:1" x14ac:dyDescent="0.35">
      <c r="A1200" s="4">
        <v>5</v>
      </c>
    </row>
    <row r="1201" spans="1:1" x14ac:dyDescent="0.35">
      <c r="A1201" s="5">
        <v>0</v>
      </c>
    </row>
    <row r="1202" spans="1:1" x14ac:dyDescent="0.35">
      <c r="A1202" s="4">
        <v>5</v>
      </c>
    </row>
    <row r="1203" spans="1:1" x14ac:dyDescent="0.35">
      <c r="A1203" s="5">
        <v>15</v>
      </c>
    </row>
    <row r="1204" spans="1:1" x14ac:dyDescent="0.35">
      <c r="A1204" s="4">
        <v>0</v>
      </c>
    </row>
    <row r="1205" spans="1:1" x14ac:dyDescent="0.35">
      <c r="A1205" s="5">
        <v>5</v>
      </c>
    </row>
    <row r="1206" spans="1:1" x14ac:dyDescent="0.35">
      <c r="A1206" s="4">
        <v>5</v>
      </c>
    </row>
    <row r="1207" spans="1:1" x14ac:dyDescent="0.35">
      <c r="A1207" s="5">
        <v>10</v>
      </c>
    </row>
    <row r="1208" spans="1:1" x14ac:dyDescent="0.35">
      <c r="A1208" s="4">
        <v>25</v>
      </c>
    </row>
    <row r="1209" spans="1:1" x14ac:dyDescent="0.35">
      <c r="A1209" s="5">
        <v>0</v>
      </c>
    </row>
    <row r="1210" spans="1:1" x14ac:dyDescent="0.35">
      <c r="A1210" s="4">
        <v>10</v>
      </c>
    </row>
    <row r="1211" spans="1:1" x14ac:dyDescent="0.35">
      <c r="A1211" s="5">
        <v>10</v>
      </c>
    </row>
    <row r="1212" spans="1:1" x14ac:dyDescent="0.35">
      <c r="A1212" s="4">
        <v>5</v>
      </c>
    </row>
    <row r="1213" spans="1:1" x14ac:dyDescent="0.35">
      <c r="A1213" s="5">
        <v>0</v>
      </c>
    </row>
    <row r="1214" spans="1:1" x14ac:dyDescent="0.35">
      <c r="A1214" s="4">
        <v>0</v>
      </c>
    </row>
    <row r="1215" spans="1:1" x14ac:dyDescent="0.35">
      <c r="A1215" s="5">
        <v>5</v>
      </c>
    </row>
    <row r="1216" spans="1:1" x14ac:dyDescent="0.35">
      <c r="A1216" s="4">
        <v>15</v>
      </c>
    </row>
    <row r="1217" spans="1:1" x14ac:dyDescent="0.35">
      <c r="A1217" s="5">
        <v>5</v>
      </c>
    </row>
    <row r="1218" spans="1:1" x14ac:dyDescent="0.35">
      <c r="A1218" s="4">
        <v>0</v>
      </c>
    </row>
    <row r="1219" spans="1:1" x14ac:dyDescent="0.35">
      <c r="A1219" s="5">
        <v>10</v>
      </c>
    </row>
    <row r="1220" spans="1:1" x14ac:dyDescent="0.35">
      <c r="A1220" s="4">
        <v>15</v>
      </c>
    </row>
    <row r="1221" spans="1:1" x14ac:dyDescent="0.35">
      <c r="A1221" s="5">
        <v>0</v>
      </c>
    </row>
    <row r="1222" spans="1:1" x14ac:dyDescent="0.35">
      <c r="A1222" s="4">
        <v>15</v>
      </c>
    </row>
    <row r="1223" spans="1:1" x14ac:dyDescent="0.35">
      <c r="A1223" s="5">
        <v>10</v>
      </c>
    </row>
    <row r="1224" spans="1:1" x14ac:dyDescent="0.35">
      <c r="A1224" s="4">
        <v>10</v>
      </c>
    </row>
    <row r="1225" spans="1:1" x14ac:dyDescent="0.35">
      <c r="A1225" s="5">
        <v>0</v>
      </c>
    </row>
    <row r="1226" spans="1:1" x14ac:dyDescent="0.35">
      <c r="A1226" s="4">
        <v>0</v>
      </c>
    </row>
    <row r="1227" spans="1:1" x14ac:dyDescent="0.35">
      <c r="A1227" s="5">
        <v>20</v>
      </c>
    </row>
    <row r="1228" spans="1:1" x14ac:dyDescent="0.35">
      <c r="A1228" s="4">
        <v>10</v>
      </c>
    </row>
    <row r="1229" spans="1:1" x14ac:dyDescent="0.35">
      <c r="A1229" s="5">
        <v>0</v>
      </c>
    </row>
    <row r="1230" spans="1:1" x14ac:dyDescent="0.35">
      <c r="A1230" s="4">
        <v>10</v>
      </c>
    </row>
    <row r="1231" spans="1:1" x14ac:dyDescent="0.35">
      <c r="A1231" s="5">
        <v>5</v>
      </c>
    </row>
    <row r="1232" spans="1:1" x14ac:dyDescent="0.35">
      <c r="A1232" s="4">
        <v>0</v>
      </c>
    </row>
    <row r="1233" spans="1:1" x14ac:dyDescent="0.35">
      <c r="A1233" s="5">
        <v>5</v>
      </c>
    </row>
    <row r="1234" spans="1:1" x14ac:dyDescent="0.35">
      <c r="A1234" s="4">
        <v>15</v>
      </c>
    </row>
    <row r="1235" spans="1:1" x14ac:dyDescent="0.35">
      <c r="A1235" s="5">
        <v>0</v>
      </c>
    </row>
    <row r="1236" spans="1:1" x14ac:dyDescent="0.35">
      <c r="A1236" s="4">
        <v>0</v>
      </c>
    </row>
    <row r="1237" spans="1:1" x14ac:dyDescent="0.35">
      <c r="A1237" s="5">
        <v>5</v>
      </c>
    </row>
    <row r="1238" spans="1:1" x14ac:dyDescent="0.35">
      <c r="A1238" s="4">
        <v>5</v>
      </c>
    </row>
    <row r="1239" spans="1:1" x14ac:dyDescent="0.35">
      <c r="A1239" s="5">
        <v>0</v>
      </c>
    </row>
    <row r="1240" spans="1:1" x14ac:dyDescent="0.35">
      <c r="A1240" s="4">
        <v>0</v>
      </c>
    </row>
    <row r="1241" spans="1:1" x14ac:dyDescent="0.35">
      <c r="A1241" s="5">
        <v>10</v>
      </c>
    </row>
    <row r="1242" spans="1:1" x14ac:dyDescent="0.35">
      <c r="A1242" s="4">
        <v>15</v>
      </c>
    </row>
    <row r="1243" spans="1:1" x14ac:dyDescent="0.35">
      <c r="A1243" s="5">
        <v>10</v>
      </c>
    </row>
    <row r="1244" spans="1:1" x14ac:dyDescent="0.35">
      <c r="A1244" s="4">
        <v>0</v>
      </c>
    </row>
    <row r="1245" spans="1:1" x14ac:dyDescent="0.35">
      <c r="A1245" s="5">
        <v>5</v>
      </c>
    </row>
    <row r="1246" spans="1:1" x14ac:dyDescent="0.35">
      <c r="A1246" s="4">
        <v>15</v>
      </c>
    </row>
    <row r="1247" spans="1:1" x14ac:dyDescent="0.35">
      <c r="A1247" s="5">
        <v>0</v>
      </c>
    </row>
    <row r="1248" spans="1:1" x14ac:dyDescent="0.35">
      <c r="A1248" s="4">
        <v>10</v>
      </c>
    </row>
    <row r="1249" spans="1:1" x14ac:dyDescent="0.35">
      <c r="A1249" s="5">
        <v>20</v>
      </c>
    </row>
    <row r="1250" spans="1:1" x14ac:dyDescent="0.35">
      <c r="A1250" s="4">
        <v>15</v>
      </c>
    </row>
    <row r="1251" spans="1:1" x14ac:dyDescent="0.35">
      <c r="A1251" s="5">
        <v>5</v>
      </c>
    </row>
    <row r="1252" spans="1:1" x14ac:dyDescent="0.35">
      <c r="A1252" s="4">
        <v>20</v>
      </c>
    </row>
    <row r="1253" spans="1:1" x14ac:dyDescent="0.35">
      <c r="A1253" s="5">
        <v>15</v>
      </c>
    </row>
    <row r="1254" spans="1:1" x14ac:dyDescent="0.35">
      <c r="A1254" s="4">
        <v>10</v>
      </c>
    </row>
    <row r="1255" spans="1:1" x14ac:dyDescent="0.35">
      <c r="A1255" s="5">
        <v>0</v>
      </c>
    </row>
    <row r="1256" spans="1:1" x14ac:dyDescent="0.35">
      <c r="A1256" s="4">
        <v>15</v>
      </c>
    </row>
    <row r="1257" spans="1:1" x14ac:dyDescent="0.35">
      <c r="A1257" s="5">
        <v>0</v>
      </c>
    </row>
    <row r="1258" spans="1:1" x14ac:dyDescent="0.35">
      <c r="A1258" s="4">
        <v>0</v>
      </c>
    </row>
    <row r="1259" spans="1:1" x14ac:dyDescent="0.35">
      <c r="A1259" s="5">
        <v>5</v>
      </c>
    </row>
    <row r="1260" spans="1:1" x14ac:dyDescent="0.35">
      <c r="A1260" s="4">
        <v>10</v>
      </c>
    </row>
    <row r="1261" spans="1:1" x14ac:dyDescent="0.35">
      <c r="A1261" s="5">
        <v>5</v>
      </c>
    </row>
    <row r="1262" spans="1:1" x14ac:dyDescent="0.35">
      <c r="A1262" s="4">
        <v>5</v>
      </c>
    </row>
    <row r="1263" spans="1:1" x14ac:dyDescent="0.35">
      <c r="A1263" s="5">
        <v>5</v>
      </c>
    </row>
    <row r="1264" spans="1:1" x14ac:dyDescent="0.35">
      <c r="A1264" s="4">
        <v>10</v>
      </c>
    </row>
    <row r="1265" spans="1:1" x14ac:dyDescent="0.35">
      <c r="A1265" s="5">
        <v>20</v>
      </c>
    </row>
    <row r="1266" spans="1:1" x14ac:dyDescent="0.35">
      <c r="A1266" s="4">
        <v>10</v>
      </c>
    </row>
    <row r="1267" spans="1:1" x14ac:dyDescent="0.35">
      <c r="A1267" s="5">
        <v>20</v>
      </c>
    </row>
    <row r="1268" spans="1:1" x14ac:dyDescent="0.35">
      <c r="A1268" s="4">
        <v>25</v>
      </c>
    </row>
    <row r="1269" spans="1:1" x14ac:dyDescent="0.35">
      <c r="A1269" s="5">
        <v>10</v>
      </c>
    </row>
    <row r="1270" spans="1:1" x14ac:dyDescent="0.35">
      <c r="A1270" s="4">
        <v>0</v>
      </c>
    </row>
    <row r="1271" spans="1:1" x14ac:dyDescent="0.35">
      <c r="A1271" s="5">
        <v>5</v>
      </c>
    </row>
    <row r="1272" spans="1:1" x14ac:dyDescent="0.35">
      <c r="A1272" s="4">
        <v>0</v>
      </c>
    </row>
    <row r="1273" spans="1:1" x14ac:dyDescent="0.35">
      <c r="A1273" s="5">
        <v>15</v>
      </c>
    </row>
    <row r="1274" spans="1:1" x14ac:dyDescent="0.35">
      <c r="A1274" s="4">
        <v>15</v>
      </c>
    </row>
    <row r="1275" spans="1:1" x14ac:dyDescent="0.35">
      <c r="A1275" s="5">
        <v>15</v>
      </c>
    </row>
    <row r="1276" spans="1:1" x14ac:dyDescent="0.35">
      <c r="A1276" s="4">
        <v>15</v>
      </c>
    </row>
    <row r="1277" spans="1:1" x14ac:dyDescent="0.35">
      <c r="A1277" s="5">
        <v>10</v>
      </c>
    </row>
    <row r="1278" spans="1:1" x14ac:dyDescent="0.35">
      <c r="A1278" s="4">
        <v>10</v>
      </c>
    </row>
    <row r="1279" spans="1:1" x14ac:dyDescent="0.35">
      <c r="A1279" s="5">
        <v>25</v>
      </c>
    </row>
    <row r="1280" spans="1:1" x14ac:dyDescent="0.35">
      <c r="A1280" s="4">
        <v>5</v>
      </c>
    </row>
    <row r="1281" spans="1:1" x14ac:dyDescent="0.35">
      <c r="A1281" s="5">
        <v>0</v>
      </c>
    </row>
    <row r="1282" spans="1:1" x14ac:dyDescent="0.35">
      <c r="A1282" s="4">
        <v>0</v>
      </c>
    </row>
    <row r="1283" spans="1:1" x14ac:dyDescent="0.35">
      <c r="A1283" s="5">
        <v>0</v>
      </c>
    </row>
    <row r="1284" spans="1:1" x14ac:dyDescent="0.35">
      <c r="A1284" s="4">
        <v>10</v>
      </c>
    </row>
    <row r="1285" spans="1:1" x14ac:dyDescent="0.35">
      <c r="A1285" s="5">
        <v>0</v>
      </c>
    </row>
    <row r="1286" spans="1:1" x14ac:dyDescent="0.35">
      <c r="A1286" s="4">
        <v>0</v>
      </c>
    </row>
    <row r="1287" spans="1:1" x14ac:dyDescent="0.35">
      <c r="A1287" s="5">
        <v>10</v>
      </c>
    </row>
    <row r="1288" spans="1:1" x14ac:dyDescent="0.35">
      <c r="A1288" s="4">
        <v>5</v>
      </c>
    </row>
    <row r="1289" spans="1:1" x14ac:dyDescent="0.35">
      <c r="A1289" s="5">
        <v>15</v>
      </c>
    </row>
    <row r="1290" spans="1:1" x14ac:dyDescent="0.35">
      <c r="A1290" s="4">
        <v>20</v>
      </c>
    </row>
    <row r="1291" spans="1:1" x14ac:dyDescent="0.35">
      <c r="A1291" s="5">
        <v>5</v>
      </c>
    </row>
    <row r="1292" spans="1:1" x14ac:dyDescent="0.35">
      <c r="A1292" s="4">
        <v>5</v>
      </c>
    </row>
    <row r="1293" spans="1:1" x14ac:dyDescent="0.35">
      <c r="A1293" s="5">
        <v>5</v>
      </c>
    </row>
    <row r="1294" spans="1:1" x14ac:dyDescent="0.35">
      <c r="A1294" s="4">
        <v>0</v>
      </c>
    </row>
    <row r="1295" spans="1:1" x14ac:dyDescent="0.35">
      <c r="A1295" s="5">
        <v>5</v>
      </c>
    </row>
    <row r="1296" spans="1:1" x14ac:dyDescent="0.35">
      <c r="A1296" s="4">
        <v>5</v>
      </c>
    </row>
    <row r="1297" spans="1:1" x14ac:dyDescent="0.35">
      <c r="A1297" s="5">
        <v>15</v>
      </c>
    </row>
    <row r="1298" spans="1:1" x14ac:dyDescent="0.35">
      <c r="A1298" s="4">
        <v>30</v>
      </c>
    </row>
    <row r="1299" spans="1:1" x14ac:dyDescent="0.35">
      <c r="A1299" s="5">
        <v>5</v>
      </c>
    </row>
    <row r="1300" spans="1:1" x14ac:dyDescent="0.35">
      <c r="A1300" s="4">
        <v>5</v>
      </c>
    </row>
    <row r="1301" spans="1:1" x14ac:dyDescent="0.35">
      <c r="A1301" s="5">
        <v>0</v>
      </c>
    </row>
    <row r="1302" spans="1:1" x14ac:dyDescent="0.35">
      <c r="A1302" s="4">
        <v>10</v>
      </c>
    </row>
    <row r="1303" spans="1:1" x14ac:dyDescent="0.35">
      <c r="A1303" s="5">
        <v>5</v>
      </c>
    </row>
    <row r="1304" spans="1:1" x14ac:dyDescent="0.35">
      <c r="A1304" s="4">
        <v>10</v>
      </c>
    </row>
    <row r="1305" spans="1:1" x14ac:dyDescent="0.35">
      <c r="A1305" s="5">
        <v>0</v>
      </c>
    </row>
    <row r="1306" spans="1:1" x14ac:dyDescent="0.35">
      <c r="A1306" s="4">
        <v>5</v>
      </c>
    </row>
    <row r="1307" spans="1:1" x14ac:dyDescent="0.35">
      <c r="A1307" s="5">
        <v>0</v>
      </c>
    </row>
    <row r="1308" spans="1:1" x14ac:dyDescent="0.35">
      <c r="A1308" s="4">
        <v>5</v>
      </c>
    </row>
    <row r="1309" spans="1:1" x14ac:dyDescent="0.35">
      <c r="A1309" s="5">
        <v>0</v>
      </c>
    </row>
    <row r="1310" spans="1:1" x14ac:dyDescent="0.35">
      <c r="A1310" s="4">
        <v>20</v>
      </c>
    </row>
    <row r="1311" spans="1:1" x14ac:dyDescent="0.35">
      <c r="A1311" s="5">
        <v>5</v>
      </c>
    </row>
    <row r="1312" spans="1:1" x14ac:dyDescent="0.35">
      <c r="A1312" s="4">
        <v>5</v>
      </c>
    </row>
    <row r="1313" spans="1:1" x14ac:dyDescent="0.35">
      <c r="A1313" s="5">
        <v>25</v>
      </c>
    </row>
    <row r="1314" spans="1:1" x14ac:dyDescent="0.35">
      <c r="A1314" s="4">
        <v>10</v>
      </c>
    </row>
    <row r="1315" spans="1:1" x14ac:dyDescent="0.35">
      <c r="A1315" s="5">
        <v>0</v>
      </c>
    </row>
    <row r="1316" spans="1:1" x14ac:dyDescent="0.35">
      <c r="A1316" s="4">
        <v>0</v>
      </c>
    </row>
    <row r="1317" spans="1:1" x14ac:dyDescent="0.35">
      <c r="A1317" s="5">
        <v>10</v>
      </c>
    </row>
    <row r="1318" spans="1:1" x14ac:dyDescent="0.35">
      <c r="A1318" s="4">
        <v>15</v>
      </c>
    </row>
    <row r="1319" spans="1:1" x14ac:dyDescent="0.35">
      <c r="A1319" s="5">
        <v>15</v>
      </c>
    </row>
    <row r="1320" spans="1:1" x14ac:dyDescent="0.35">
      <c r="A1320" s="4">
        <v>5</v>
      </c>
    </row>
    <row r="1321" spans="1:1" x14ac:dyDescent="0.35">
      <c r="A1321" s="5">
        <v>0</v>
      </c>
    </row>
    <row r="1322" spans="1:1" x14ac:dyDescent="0.35">
      <c r="A1322" s="4">
        <v>0</v>
      </c>
    </row>
    <row r="1323" spans="1:1" x14ac:dyDescent="0.35">
      <c r="A1323" s="5">
        <v>15</v>
      </c>
    </row>
    <row r="1324" spans="1:1" x14ac:dyDescent="0.35">
      <c r="A1324" s="4">
        <v>0</v>
      </c>
    </row>
    <row r="1325" spans="1:1" x14ac:dyDescent="0.35">
      <c r="A1325" s="5">
        <v>10</v>
      </c>
    </row>
    <row r="1326" spans="1:1" x14ac:dyDescent="0.35">
      <c r="A1326" s="4">
        <v>5</v>
      </c>
    </row>
    <row r="1327" spans="1:1" x14ac:dyDescent="0.35">
      <c r="A1327" s="5">
        <v>0</v>
      </c>
    </row>
    <row r="1328" spans="1:1" x14ac:dyDescent="0.35">
      <c r="A1328" s="4">
        <v>5</v>
      </c>
    </row>
    <row r="1329" spans="1:1" x14ac:dyDescent="0.35">
      <c r="A1329" s="5">
        <v>5</v>
      </c>
    </row>
    <row r="1330" spans="1:1" x14ac:dyDescent="0.35">
      <c r="A1330" s="4">
        <v>20</v>
      </c>
    </row>
    <row r="1331" spans="1:1" x14ac:dyDescent="0.35">
      <c r="A1331" s="5">
        <v>20</v>
      </c>
    </row>
    <row r="1332" spans="1:1" x14ac:dyDescent="0.35">
      <c r="A1332" s="4">
        <v>0</v>
      </c>
    </row>
    <row r="1333" spans="1:1" x14ac:dyDescent="0.35">
      <c r="A1333" s="5">
        <v>0</v>
      </c>
    </row>
    <row r="1334" spans="1:1" x14ac:dyDescent="0.35">
      <c r="A1334" s="4">
        <v>10</v>
      </c>
    </row>
    <row r="1335" spans="1:1" x14ac:dyDescent="0.35">
      <c r="A1335" s="5">
        <v>5</v>
      </c>
    </row>
    <row r="1336" spans="1:1" x14ac:dyDescent="0.35">
      <c r="A1336" s="4">
        <v>10</v>
      </c>
    </row>
    <row r="1337" spans="1:1" x14ac:dyDescent="0.35">
      <c r="A1337" s="5">
        <v>10</v>
      </c>
    </row>
    <row r="1338" spans="1:1" x14ac:dyDescent="0.35">
      <c r="A1338" s="4">
        <v>10</v>
      </c>
    </row>
    <row r="1339" spans="1:1" x14ac:dyDescent="0.35">
      <c r="A1339" s="5">
        <v>5</v>
      </c>
    </row>
    <row r="1340" spans="1:1" x14ac:dyDescent="0.35">
      <c r="A1340" s="4">
        <v>0</v>
      </c>
    </row>
    <row r="1341" spans="1:1" x14ac:dyDescent="0.35">
      <c r="A1341" s="5">
        <v>0</v>
      </c>
    </row>
    <row r="1342" spans="1:1" x14ac:dyDescent="0.35">
      <c r="A1342" s="4">
        <v>10</v>
      </c>
    </row>
    <row r="1343" spans="1:1" x14ac:dyDescent="0.35">
      <c r="A1343" s="5">
        <v>5</v>
      </c>
    </row>
    <row r="1344" spans="1:1" x14ac:dyDescent="0.35">
      <c r="A1344" s="4">
        <v>0</v>
      </c>
    </row>
    <row r="1345" spans="1:1" x14ac:dyDescent="0.35">
      <c r="A1345" s="5">
        <v>20</v>
      </c>
    </row>
    <row r="1346" spans="1:1" x14ac:dyDescent="0.35">
      <c r="A1346" s="4">
        <v>0</v>
      </c>
    </row>
    <row r="1347" spans="1:1" x14ac:dyDescent="0.35">
      <c r="A1347" s="5">
        <v>10</v>
      </c>
    </row>
    <row r="1348" spans="1:1" x14ac:dyDescent="0.35">
      <c r="A1348" s="4">
        <v>0</v>
      </c>
    </row>
    <row r="1349" spans="1:1" x14ac:dyDescent="0.35">
      <c r="A1349" s="5">
        <v>10</v>
      </c>
    </row>
    <row r="1350" spans="1:1" x14ac:dyDescent="0.35">
      <c r="A1350" s="4">
        <v>5</v>
      </c>
    </row>
    <row r="1351" spans="1:1" x14ac:dyDescent="0.35">
      <c r="A1351" s="5">
        <v>0</v>
      </c>
    </row>
    <row r="1352" spans="1:1" x14ac:dyDescent="0.35">
      <c r="A1352" s="4">
        <v>15</v>
      </c>
    </row>
    <row r="1353" spans="1:1" x14ac:dyDescent="0.35">
      <c r="A1353" s="5">
        <v>15</v>
      </c>
    </row>
    <row r="1354" spans="1:1" x14ac:dyDescent="0.35">
      <c r="A1354" s="4">
        <v>20</v>
      </c>
    </row>
    <row r="1355" spans="1:1" x14ac:dyDescent="0.35">
      <c r="A1355" s="5">
        <v>15</v>
      </c>
    </row>
    <row r="1356" spans="1:1" x14ac:dyDescent="0.35">
      <c r="A1356" s="4">
        <v>20</v>
      </c>
    </row>
    <row r="1357" spans="1:1" x14ac:dyDescent="0.35">
      <c r="A1357" s="5">
        <v>5</v>
      </c>
    </row>
    <row r="1358" spans="1:1" x14ac:dyDescent="0.35">
      <c r="A1358" s="4">
        <v>0</v>
      </c>
    </row>
    <row r="1359" spans="1:1" x14ac:dyDescent="0.35">
      <c r="A1359" s="5">
        <v>15</v>
      </c>
    </row>
    <row r="1360" spans="1:1" x14ac:dyDescent="0.35">
      <c r="A1360" s="4">
        <v>10</v>
      </c>
    </row>
    <row r="1361" spans="1:1" x14ac:dyDescent="0.35">
      <c r="A1361" s="5">
        <v>0</v>
      </c>
    </row>
    <row r="1362" spans="1:1" x14ac:dyDescent="0.35">
      <c r="A1362" s="4">
        <v>20</v>
      </c>
    </row>
    <row r="1363" spans="1:1" x14ac:dyDescent="0.35">
      <c r="A1363" s="5">
        <v>0</v>
      </c>
    </row>
    <row r="1364" spans="1:1" x14ac:dyDescent="0.35">
      <c r="A1364" s="4">
        <v>20</v>
      </c>
    </row>
    <row r="1365" spans="1:1" x14ac:dyDescent="0.35">
      <c r="A1365" s="5">
        <v>10</v>
      </c>
    </row>
    <row r="1366" spans="1:1" x14ac:dyDescent="0.35">
      <c r="A1366" s="4">
        <v>10</v>
      </c>
    </row>
    <row r="1367" spans="1:1" x14ac:dyDescent="0.35">
      <c r="A1367" s="5">
        <v>25</v>
      </c>
    </row>
    <row r="1368" spans="1:1" x14ac:dyDescent="0.35">
      <c r="A1368" s="4">
        <v>5</v>
      </c>
    </row>
    <row r="1369" spans="1:1" x14ac:dyDescent="0.35">
      <c r="A1369" s="5">
        <v>5</v>
      </c>
    </row>
    <row r="1370" spans="1:1" x14ac:dyDescent="0.35">
      <c r="A1370" s="4">
        <v>5</v>
      </c>
    </row>
    <row r="1371" spans="1:1" x14ac:dyDescent="0.35">
      <c r="A1371" s="5">
        <v>0</v>
      </c>
    </row>
    <row r="1372" spans="1:1" x14ac:dyDescent="0.35">
      <c r="A1372" s="4">
        <v>10</v>
      </c>
    </row>
    <row r="1373" spans="1:1" x14ac:dyDescent="0.35">
      <c r="A1373" s="5">
        <v>5</v>
      </c>
    </row>
    <row r="1374" spans="1:1" x14ac:dyDescent="0.35">
      <c r="A1374" s="4">
        <v>0</v>
      </c>
    </row>
    <row r="1375" spans="1:1" x14ac:dyDescent="0.35">
      <c r="A1375" s="5">
        <v>15</v>
      </c>
    </row>
    <row r="1376" spans="1:1" x14ac:dyDescent="0.35">
      <c r="A1376" s="4">
        <v>15</v>
      </c>
    </row>
    <row r="1377" spans="1:1" x14ac:dyDescent="0.35">
      <c r="A1377" s="5">
        <v>10</v>
      </c>
    </row>
    <row r="1378" spans="1:1" x14ac:dyDescent="0.35">
      <c r="A1378" s="4">
        <v>15</v>
      </c>
    </row>
    <row r="1379" spans="1:1" x14ac:dyDescent="0.35">
      <c r="A1379" s="5">
        <v>25</v>
      </c>
    </row>
    <row r="1380" spans="1:1" x14ac:dyDescent="0.35">
      <c r="A1380" s="4">
        <v>0</v>
      </c>
    </row>
    <row r="1381" spans="1:1" x14ac:dyDescent="0.35">
      <c r="A1381" s="5">
        <v>10</v>
      </c>
    </row>
    <row r="1382" spans="1:1" x14ac:dyDescent="0.35">
      <c r="A1382" s="4">
        <v>5</v>
      </c>
    </row>
    <row r="1383" spans="1:1" x14ac:dyDescent="0.35">
      <c r="A1383" s="5">
        <v>0</v>
      </c>
    </row>
    <row r="1384" spans="1:1" x14ac:dyDescent="0.35">
      <c r="A1384" s="4">
        <v>10</v>
      </c>
    </row>
    <row r="1385" spans="1:1" x14ac:dyDescent="0.35">
      <c r="A1385" s="5">
        <v>5</v>
      </c>
    </row>
    <row r="1386" spans="1:1" x14ac:dyDescent="0.35">
      <c r="A1386" s="4">
        <v>15</v>
      </c>
    </row>
    <row r="1387" spans="1:1" x14ac:dyDescent="0.35">
      <c r="A1387" s="5">
        <v>20</v>
      </c>
    </row>
    <row r="1388" spans="1:1" x14ac:dyDescent="0.35">
      <c r="A1388" s="4">
        <v>10</v>
      </c>
    </row>
    <row r="1389" spans="1:1" x14ac:dyDescent="0.35">
      <c r="A1389" s="5">
        <v>20</v>
      </c>
    </row>
    <row r="1390" spans="1:1" x14ac:dyDescent="0.35">
      <c r="A1390" s="4">
        <v>0</v>
      </c>
    </row>
    <row r="1391" spans="1:1" x14ac:dyDescent="0.35">
      <c r="A1391" s="5">
        <v>20</v>
      </c>
    </row>
    <row r="1392" spans="1:1" x14ac:dyDescent="0.35">
      <c r="A1392" s="4">
        <v>0</v>
      </c>
    </row>
    <row r="1393" spans="1:1" x14ac:dyDescent="0.35">
      <c r="A1393" s="5">
        <v>5</v>
      </c>
    </row>
    <row r="1394" spans="1:1" x14ac:dyDescent="0.35">
      <c r="A1394" s="4">
        <v>0</v>
      </c>
    </row>
    <row r="1395" spans="1:1" x14ac:dyDescent="0.35">
      <c r="A1395" s="5">
        <v>0</v>
      </c>
    </row>
    <row r="1396" spans="1:1" x14ac:dyDescent="0.35">
      <c r="A1396" s="4">
        <v>5</v>
      </c>
    </row>
    <row r="1397" spans="1:1" x14ac:dyDescent="0.35">
      <c r="A1397" s="5">
        <v>10</v>
      </c>
    </row>
    <row r="1398" spans="1:1" x14ac:dyDescent="0.35">
      <c r="A1398" s="4">
        <v>15</v>
      </c>
    </row>
    <row r="1399" spans="1:1" x14ac:dyDescent="0.35">
      <c r="A1399" s="5">
        <v>0</v>
      </c>
    </row>
    <row r="1400" spans="1:1" x14ac:dyDescent="0.35">
      <c r="A1400" s="4">
        <v>5</v>
      </c>
    </row>
    <row r="1401" spans="1:1" x14ac:dyDescent="0.35">
      <c r="A1401" s="5">
        <v>5</v>
      </c>
    </row>
    <row r="1402" spans="1:1" x14ac:dyDescent="0.35">
      <c r="A1402" s="4">
        <v>15</v>
      </c>
    </row>
    <row r="1403" spans="1:1" x14ac:dyDescent="0.35">
      <c r="A1403" s="5">
        <v>0</v>
      </c>
    </row>
    <row r="1404" spans="1:1" x14ac:dyDescent="0.35">
      <c r="A1404" s="4">
        <v>10</v>
      </c>
    </row>
    <row r="1405" spans="1:1" x14ac:dyDescent="0.35">
      <c r="A1405" s="5">
        <v>10</v>
      </c>
    </row>
    <row r="1406" spans="1:1" x14ac:dyDescent="0.35">
      <c r="A1406" s="4">
        <v>15</v>
      </c>
    </row>
    <row r="1407" spans="1:1" x14ac:dyDescent="0.35">
      <c r="A1407" s="5">
        <v>0</v>
      </c>
    </row>
    <row r="1408" spans="1:1" x14ac:dyDescent="0.35">
      <c r="A1408" s="4">
        <v>5</v>
      </c>
    </row>
    <row r="1409" spans="1:1" x14ac:dyDescent="0.35">
      <c r="A1409" s="5">
        <v>5</v>
      </c>
    </row>
    <row r="1410" spans="1:1" x14ac:dyDescent="0.35">
      <c r="A1410" s="4">
        <v>15</v>
      </c>
    </row>
    <row r="1411" spans="1:1" x14ac:dyDescent="0.35">
      <c r="A1411" s="5">
        <v>0</v>
      </c>
    </row>
    <row r="1412" spans="1:1" x14ac:dyDescent="0.35">
      <c r="A1412" s="4">
        <v>5</v>
      </c>
    </row>
    <row r="1413" spans="1:1" x14ac:dyDescent="0.35">
      <c r="A1413" s="5">
        <v>15</v>
      </c>
    </row>
    <row r="1414" spans="1:1" x14ac:dyDescent="0.35">
      <c r="A1414" s="4">
        <v>5</v>
      </c>
    </row>
    <row r="1415" spans="1:1" x14ac:dyDescent="0.35">
      <c r="A1415" s="5">
        <v>5</v>
      </c>
    </row>
    <row r="1416" spans="1:1" x14ac:dyDescent="0.35">
      <c r="A1416" s="4">
        <v>0</v>
      </c>
    </row>
    <row r="1417" spans="1:1" x14ac:dyDescent="0.35">
      <c r="A1417" s="5">
        <v>10</v>
      </c>
    </row>
    <row r="1418" spans="1:1" x14ac:dyDescent="0.35">
      <c r="A1418" s="4">
        <v>0</v>
      </c>
    </row>
    <row r="1419" spans="1:1" x14ac:dyDescent="0.35">
      <c r="A1419" s="5">
        <v>5</v>
      </c>
    </row>
    <row r="1420" spans="1:1" x14ac:dyDescent="0.35">
      <c r="A1420" s="4">
        <v>20</v>
      </c>
    </row>
    <row r="1421" spans="1:1" x14ac:dyDescent="0.35">
      <c r="A1421" s="5">
        <v>0</v>
      </c>
    </row>
    <row r="1422" spans="1:1" x14ac:dyDescent="0.35">
      <c r="A1422" s="4">
        <v>20</v>
      </c>
    </row>
    <row r="1423" spans="1:1" x14ac:dyDescent="0.35">
      <c r="A1423" s="5">
        <v>0</v>
      </c>
    </row>
    <row r="1424" spans="1:1" x14ac:dyDescent="0.35">
      <c r="A1424" s="4">
        <v>10</v>
      </c>
    </row>
    <row r="1425" spans="1:1" x14ac:dyDescent="0.35">
      <c r="A1425" s="5">
        <v>5</v>
      </c>
    </row>
    <row r="1426" spans="1:1" x14ac:dyDescent="0.35">
      <c r="A1426" s="4">
        <v>20</v>
      </c>
    </row>
    <row r="1427" spans="1:1" x14ac:dyDescent="0.35">
      <c r="A1427" s="5">
        <v>5</v>
      </c>
    </row>
    <row r="1428" spans="1:1" x14ac:dyDescent="0.35">
      <c r="A1428" s="4">
        <v>10</v>
      </c>
    </row>
    <row r="1429" spans="1:1" x14ac:dyDescent="0.35">
      <c r="A1429" s="5">
        <v>0</v>
      </c>
    </row>
    <row r="1430" spans="1:1" x14ac:dyDescent="0.35">
      <c r="A1430" s="4">
        <v>10</v>
      </c>
    </row>
    <row r="1431" spans="1:1" x14ac:dyDescent="0.35">
      <c r="A1431" s="5">
        <v>5</v>
      </c>
    </row>
    <row r="1432" spans="1:1" x14ac:dyDescent="0.35">
      <c r="A1432" s="4">
        <v>5</v>
      </c>
    </row>
    <row r="1433" spans="1:1" x14ac:dyDescent="0.35">
      <c r="A1433" s="5">
        <v>5</v>
      </c>
    </row>
    <row r="1434" spans="1:1" x14ac:dyDescent="0.35">
      <c r="A1434" s="4">
        <v>5</v>
      </c>
    </row>
    <row r="1435" spans="1:1" x14ac:dyDescent="0.35">
      <c r="A1435" s="5">
        <v>5</v>
      </c>
    </row>
    <row r="1436" spans="1:1" x14ac:dyDescent="0.35">
      <c r="A1436" s="4">
        <v>0</v>
      </c>
    </row>
    <row r="1437" spans="1:1" x14ac:dyDescent="0.35">
      <c r="A1437" s="5">
        <v>10</v>
      </c>
    </row>
    <row r="1438" spans="1:1" x14ac:dyDescent="0.35">
      <c r="A1438" s="4">
        <v>10</v>
      </c>
    </row>
    <row r="1439" spans="1:1" x14ac:dyDescent="0.35">
      <c r="A1439" s="5">
        <v>5</v>
      </c>
    </row>
    <row r="1440" spans="1:1" x14ac:dyDescent="0.35">
      <c r="A1440" s="4">
        <v>5</v>
      </c>
    </row>
    <row r="1441" spans="1:1" x14ac:dyDescent="0.35">
      <c r="A1441" s="5">
        <v>20</v>
      </c>
    </row>
    <row r="1442" spans="1:1" x14ac:dyDescent="0.35">
      <c r="A1442" s="4">
        <v>15</v>
      </c>
    </row>
    <row r="1443" spans="1:1" x14ac:dyDescent="0.35">
      <c r="A1443" s="5">
        <v>25</v>
      </c>
    </row>
    <row r="1444" spans="1:1" x14ac:dyDescent="0.35">
      <c r="A1444" s="4">
        <v>5</v>
      </c>
    </row>
    <row r="1445" spans="1:1" x14ac:dyDescent="0.35">
      <c r="A1445" s="5">
        <v>5</v>
      </c>
    </row>
    <row r="1446" spans="1:1" x14ac:dyDescent="0.35">
      <c r="A1446" s="4">
        <v>20</v>
      </c>
    </row>
    <row r="1447" spans="1:1" x14ac:dyDescent="0.35">
      <c r="A1447" s="5">
        <v>10</v>
      </c>
    </row>
    <row r="1448" spans="1:1" x14ac:dyDescent="0.35">
      <c r="A1448" s="4">
        <v>10</v>
      </c>
    </row>
    <row r="1449" spans="1:1" x14ac:dyDescent="0.35">
      <c r="A1449" s="5">
        <v>0</v>
      </c>
    </row>
    <row r="1450" spans="1:1" x14ac:dyDescent="0.35">
      <c r="A1450" s="4">
        <v>15</v>
      </c>
    </row>
    <row r="1451" spans="1:1" x14ac:dyDescent="0.35">
      <c r="A1451" s="5">
        <v>25</v>
      </c>
    </row>
    <row r="1452" spans="1:1" x14ac:dyDescent="0.35">
      <c r="A1452" s="4">
        <v>5</v>
      </c>
    </row>
    <row r="1453" spans="1:1" x14ac:dyDescent="0.35">
      <c r="A1453" s="5">
        <v>0</v>
      </c>
    </row>
    <row r="1454" spans="1:1" x14ac:dyDescent="0.35">
      <c r="A1454" s="4">
        <v>0</v>
      </c>
    </row>
    <row r="1455" spans="1:1" x14ac:dyDescent="0.35">
      <c r="A1455" s="5">
        <v>0</v>
      </c>
    </row>
    <row r="1456" spans="1:1" x14ac:dyDescent="0.35">
      <c r="A1456" s="4">
        <v>5</v>
      </c>
    </row>
    <row r="1457" spans="1:1" x14ac:dyDescent="0.35">
      <c r="A1457" s="5">
        <v>0</v>
      </c>
    </row>
    <row r="1458" spans="1:1" x14ac:dyDescent="0.35">
      <c r="A1458" s="4">
        <v>5</v>
      </c>
    </row>
    <row r="1459" spans="1:1" x14ac:dyDescent="0.35">
      <c r="A1459" s="5">
        <v>5</v>
      </c>
    </row>
    <row r="1460" spans="1:1" x14ac:dyDescent="0.35">
      <c r="A1460" s="4">
        <v>10</v>
      </c>
    </row>
    <row r="1461" spans="1:1" x14ac:dyDescent="0.35">
      <c r="A1461" s="5">
        <v>10</v>
      </c>
    </row>
    <row r="1462" spans="1:1" x14ac:dyDescent="0.35">
      <c r="A1462" s="4">
        <v>0</v>
      </c>
    </row>
    <row r="1463" spans="1:1" x14ac:dyDescent="0.35">
      <c r="A1463" s="5">
        <v>5</v>
      </c>
    </row>
    <row r="1464" spans="1:1" x14ac:dyDescent="0.35">
      <c r="A1464" s="4">
        <v>0</v>
      </c>
    </row>
    <row r="1465" spans="1:1" x14ac:dyDescent="0.35">
      <c r="A1465" s="5">
        <v>25</v>
      </c>
    </row>
    <row r="1466" spans="1:1" x14ac:dyDescent="0.35">
      <c r="A1466" s="4">
        <v>15</v>
      </c>
    </row>
    <row r="1467" spans="1:1" x14ac:dyDescent="0.35">
      <c r="A1467" s="5">
        <v>15</v>
      </c>
    </row>
    <row r="1468" spans="1:1" x14ac:dyDescent="0.35">
      <c r="A1468" s="4">
        <v>10</v>
      </c>
    </row>
    <row r="1469" spans="1:1" x14ac:dyDescent="0.35">
      <c r="A1469" s="5">
        <v>5</v>
      </c>
    </row>
    <row r="1470" spans="1:1" x14ac:dyDescent="0.35">
      <c r="A1470" s="4">
        <v>0</v>
      </c>
    </row>
    <row r="1471" spans="1:1" x14ac:dyDescent="0.35">
      <c r="A1471" s="5">
        <v>10</v>
      </c>
    </row>
    <row r="1472" spans="1:1" x14ac:dyDescent="0.35">
      <c r="A1472" s="4">
        <v>0</v>
      </c>
    </row>
    <row r="1473" spans="1:1" x14ac:dyDescent="0.35">
      <c r="A1473" s="5">
        <v>10</v>
      </c>
    </row>
    <row r="1474" spans="1:1" x14ac:dyDescent="0.35">
      <c r="A1474" s="4">
        <v>10</v>
      </c>
    </row>
    <row r="1475" spans="1:1" x14ac:dyDescent="0.35">
      <c r="A1475" s="5">
        <v>5</v>
      </c>
    </row>
    <row r="1476" spans="1:1" x14ac:dyDescent="0.35">
      <c r="A1476" s="4">
        <v>15</v>
      </c>
    </row>
    <row r="1477" spans="1:1" x14ac:dyDescent="0.35">
      <c r="A1477" s="5">
        <v>10</v>
      </c>
    </row>
    <row r="1478" spans="1:1" x14ac:dyDescent="0.35">
      <c r="A1478" s="4">
        <v>5</v>
      </c>
    </row>
    <row r="1479" spans="1:1" x14ac:dyDescent="0.35">
      <c r="A1479" s="5">
        <v>0</v>
      </c>
    </row>
    <row r="1480" spans="1:1" x14ac:dyDescent="0.35">
      <c r="A1480" s="4">
        <v>5</v>
      </c>
    </row>
    <row r="1481" spans="1:1" x14ac:dyDescent="0.35">
      <c r="A1481" s="5">
        <v>5</v>
      </c>
    </row>
    <row r="1482" spans="1:1" x14ac:dyDescent="0.35">
      <c r="A1482" s="4">
        <v>10</v>
      </c>
    </row>
    <row r="1483" spans="1:1" x14ac:dyDescent="0.35">
      <c r="A1483" s="5">
        <v>10</v>
      </c>
    </row>
    <row r="1484" spans="1:1" x14ac:dyDescent="0.35">
      <c r="A1484" s="4">
        <v>10</v>
      </c>
    </row>
    <row r="1485" spans="1:1" x14ac:dyDescent="0.35">
      <c r="A1485" s="5">
        <v>20</v>
      </c>
    </row>
    <row r="1486" spans="1:1" x14ac:dyDescent="0.35">
      <c r="A1486" s="4">
        <v>0</v>
      </c>
    </row>
    <row r="1487" spans="1:1" x14ac:dyDescent="0.35">
      <c r="A1487" s="5">
        <v>10</v>
      </c>
    </row>
    <row r="1488" spans="1:1" x14ac:dyDescent="0.35">
      <c r="A1488" s="4">
        <v>0</v>
      </c>
    </row>
    <row r="1489" spans="1:1" x14ac:dyDescent="0.35">
      <c r="A1489" s="5">
        <v>15</v>
      </c>
    </row>
    <row r="1490" spans="1:1" x14ac:dyDescent="0.35">
      <c r="A1490" s="4">
        <v>5</v>
      </c>
    </row>
    <row r="1491" spans="1:1" x14ac:dyDescent="0.35">
      <c r="A1491" s="5">
        <v>15</v>
      </c>
    </row>
    <row r="1492" spans="1:1" x14ac:dyDescent="0.35">
      <c r="A1492" s="4">
        <v>0</v>
      </c>
    </row>
    <row r="1493" spans="1:1" x14ac:dyDescent="0.35">
      <c r="A1493" s="5">
        <v>15</v>
      </c>
    </row>
    <row r="1494" spans="1:1" x14ac:dyDescent="0.35">
      <c r="A1494" s="4">
        <v>0</v>
      </c>
    </row>
    <row r="1495" spans="1:1" x14ac:dyDescent="0.35">
      <c r="A1495" s="5">
        <v>0</v>
      </c>
    </row>
    <row r="1496" spans="1:1" x14ac:dyDescent="0.35">
      <c r="A1496" s="4">
        <v>5</v>
      </c>
    </row>
    <row r="1497" spans="1:1" x14ac:dyDescent="0.35">
      <c r="A1497" s="5">
        <v>10</v>
      </c>
    </row>
    <row r="1498" spans="1:1" x14ac:dyDescent="0.35">
      <c r="A1498" s="4">
        <v>0</v>
      </c>
    </row>
    <row r="1499" spans="1:1" x14ac:dyDescent="0.35">
      <c r="A1499" s="5">
        <v>20</v>
      </c>
    </row>
    <row r="1500" spans="1:1" x14ac:dyDescent="0.35">
      <c r="A1500" s="4">
        <v>0</v>
      </c>
    </row>
    <row r="1501" spans="1:1" x14ac:dyDescent="0.35">
      <c r="A1501" s="5">
        <v>20</v>
      </c>
    </row>
    <row r="1502" spans="1:1" x14ac:dyDescent="0.35">
      <c r="A1502" s="4">
        <v>15</v>
      </c>
    </row>
    <row r="1503" spans="1:1" x14ac:dyDescent="0.35">
      <c r="A1503" s="5">
        <v>0</v>
      </c>
    </row>
    <row r="1504" spans="1:1" x14ac:dyDescent="0.35">
      <c r="A1504" s="4">
        <v>0</v>
      </c>
    </row>
    <row r="1505" spans="1:1" x14ac:dyDescent="0.35">
      <c r="A1505" s="5">
        <v>15</v>
      </c>
    </row>
    <row r="1506" spans="1:1" x14ac:dyDescent="0.35">
      <c r="A1506" s="4">
        <v>0</v>
      </c>
    </row>
    <row r="1507" spans="1:1" x14ac:dyDescent="0.35">
      <c r="A1507" s="5">
        <v>10</v>
      </c>
    </row>
    <row r="1508" spans="1:1" x14ac:dyDescent="0.35">
      <c r="A1508" s="4">
        <v>10</v>
      </c>
    </row>
    <row r="1509" spans="1:1" x14ac:dyDescent="0.35">
      <c r="A1509" s="5">
        <v>0</v>
      </c>
    </row>
    <row r="1510" spans="1:1" x14ac:dyDescent="0.35">
      <c r="A1510" s="4">
        <v>0</v>
      </c>
    </row>
    <row r="1511" spans="1:1" x14ac:dyDescent="0.35">
      <c r="A1511" s="5">
        <v>15</v>
      </c>
    </row>
    <row r="1512" spans="1:1" x14ac:dyDescent="0.35">
      <c r="A1512" s="4">
        <v>15</v>
      </c>
    </row>
    <row r="1513" spans="1:1" x14ac:dyDescent="0.35">
      <c r="A1513" s="5">
        <v>10</v>
      </c>
    </row>
    <row r="1514" spans="1:1" x14ac:dyDescent="0.35">
      <c r="A1514" s="4">
        <v>10</v>
      </c>
    </row>
    <row r="1515" spans="1:1" x14ac:dyDescent="0.35">
      <c r="A1515" s="5">
        <v>20</v>
      </c>
    </row>
    <row r="1516" spans="1:1" x14ac:dyDescent="0.35">
      <c r="A1516" s="4">
        <v>15</v>
      </c>
    </row>
    <row r="1517" spans="1:1" x14ac:dyDescent="0.35">
      <c r="A1517" s="5">
        <v>10</v>
      </c>
    </row>
    <row r="1518" spans="1:1" x14ac:dyDescent="0.35">
      <c r="A1518" s="4">
        <v>0</v>
      </c>
    </row>
    <row r="1519" spans="1:1" x14ac:dyDescent="0.35">
      <c r="A1519" s="5">
        <v>30</v>
      </c>
    </row>
    <row r="1520" spans="1:1" x14ac:dyDescent="0.35">
      <c r="A1520" s="4">
        <v>25</v>
      </c>
    </row>
    <row r="1521" spans="1:1" x14ac:dyDescent="0.35">
      <c r="A1521" s="5">
        <v>5</v>
      </c>
    </row>
    <row r="1522" spans="1:1" x14ac:dyDescent="0.35">
      <c r="A1522" s="4">
        <v>15</v>
      </c>
    </row>
    <row r="1523" spans="1:1" x14ac:dyDescent="0.35">
      <c r="A1523" s="5">
        <v>10</v>
      </c>
    </row>
    <row r="1524" spans="1:1" x14ac:dyDescent="0.35">
      <c r="A1524" s="4">
        <v>5</v>
      </c>
    </row>
    <row r="1525" spans="1:1" x14ac:dyDescent="0.35">
      <c r="A1525" s="5">
        <v>15</v>
      </c>
    </row>
    <row r="1526" spans="1:1" x14ac:dyDescent="0.35">
      <c r="A1526" s="4">
        <v>5</v>
      </c>
    </row>
    <row r="1527" spans="1:1" x14ac:dyDescent="0.35">
      <c r="A1527" s="5">
        <v>0</v>
      </c>
    </row>
    <row r="1528" spans="1:1" x14ac:dyDescent="0.35">
      <c r="A1528" s="4">
        <v>5</v>
      </c>
    </row>
    <row r="1529" spans="1:1" x14ac:dyDescent="0.35">
      <c r="A1529" s="5">
        <v>10</v>
      </c>
    </row>
    <row r="1530" spans="1:1" x14ac:dyDescent="0.35">
      <c r="A1530" s="4">
        <v>10</v>
      </c>
    </row>
    <row r="1531" spans="1:1" x14ac:dyDescent="0.35">
      <c r="A1531" s="5">
        <v>0</v>
      </c>
    </row>
    <row r="1532" spans="1:1" x14ac:dyDescent="0.35">
      <c r="A1532" s="4">
        <v>15</v>
      </c>
    </row>
    <row r="1533" spans="1:1" x14ac:dyDescent="0.35">
      <c r="A1533" s="5">
        <v>5</v>
      </c>
    </row>
    <row r="1534" spans="1:1" x14ac:dyDescent="0.35">
      <c r="A1534" s="4">
        <v>5</v>
      </c>
    </row>
    <row r="1535" spans="1:1" x14ac:dyDescent="0.35">
      <c r="A1535" s="5">
        <v>15</v>
      </c>
    </row>
    <row r="1536" spans="1:1" x14ac:dyDescent="0.35">
      <c r="A1536" s="4">
        <v>5</v>
      </c>
    </row>
    <row r="1537" spans="1:1" x14ac:dyDescent="0.35">
      <c r="A1537" s="5">
        <v>0</v>
      </c>
    </row>
    <row r="1538" spans="1:1" x14ac:dyDescent="0.35">
      <c r="A1538" s="4">
        <v>5</v>
      </c>
    </row>
    <row r="1539" spans="1:1" x14ac:dyDescent="0.35">
      <c r="A1539" s="5">
        <v>10</v>
      </c>
    </row>
    <row r="1540" spans="1:1" x14ac:dyDescent="0.35">
      <c r="A1540" s="4">
        <v>15</v>
      </c>
    </row>
    <row r="1541" spans="1:1" x14ac:dyDescent="0.35">
      <c r="A1541" s="5">
        <v>10</v>
      </c>
    </row>
    <row r="1542" spans="1:1" x14ac:dyDescent="0.35">
      <c r="A1542" s="4">
        <v>0</v>
      </c>
    </row>
    <row r="1543" spans="1:1" x14ac:dyDescent="0.35">
      <c r="A1543" s="5">
        <v>20</v>
      </c>
    </row>
    <row r="1544" spans="1:1" x14ac:dyDescent="0.35">
      <c r="A1544" s="4">
        <v>5</v>
      </c>
    </row>
    <row r="1545" spans="1:1" x14ac:dyDescent="0.35">
      <c r="A1545" s="5">
        <v>5</v>
      </c>
    </row>
    <row r="1546" spans="1:1" x14ac:dyDescent="0.35">
      <c r="A1546" s="4">
        <v>10</v>
      </c>
    </row>
    <row r="1547" spans="1:1" x14ac:dyDescent="0.35">
      <c r="A1547" s="5">
        <v>5</v>
      </c>
    </row>
    <row r="1548" spans="1:1" x14ac:dyDescent="0.35">
      <c r="A1548" s="4">
        <v>10</v>
      </c>
    </row>
    <row r="1549" spans="1:1" x14ac:dyDescent="0.35">
      <c r="A1549" s="5">
        <v>0</v>
      </c>
    </row>
    <row r="1550" spans="1:1" x14ac:dyDescent="0.35">
      <c r="A1550" s="4">
        <v>0</v>
      </c>
    </row>
    <row r="1551" spans="1:1" x14ac:dyDescent="0.35">
      <c r="A1551" s="5">
        <v>15</v>
      </c>
    </row>
    <row r="1552" spans="1:1" x14ac:dyDescent="0.35">
      <c r="A1552" s="4">
        <v>10</v>
      </c>
    </row>
    <row r="1553" spans="1:1" x14ac:dyDescent="0.35">
      <c r="A1553" s="5">
        <v>0</v>
      </c>
    </row>
    <row r="1554" spans="1:1" x14ac:dyDescent="0.35">
      <c r="A1554" s="4">
        <v>5</v>
      </c>
    </row>
    <row r="1555" spans="1:1" x14ac:dyDescent="0.35">
      <c r="A1555" s="5">
        <v>5</v>
      </c>
    </row>
    <row r="1556" spans="1:1" x14ac:dyDescent="0.35">
      <c r="A1556" s="4">
        <v>15</v>
      </c>
    </row>
    <row r="1557" spans="1:1" x14ac:dyDescent="0.35">
      <c r="A1557" s="5">
        <v>10</v>
      </c>
    </row>
    <row r="1558" spans="1:1" x14ac:dyDescent="0.35">
      <c r="A1558" s="4">
        <v>15</v>
      </c>
    </row>
    <row r="1559" spans="1:1" x14ac:dyDescent="0.35">
      <c r="A1559" s="5">
        <v>10</v>
      </c>
    </row>
    <row r="1560" spans="1:1" x14ac:dyDescent="0.35">
      <c r="A1560" s="4">
        <v>5</v>
      </c>
    </row>
    <row r="1561" spans="1:1" x14ac:dyDescent="0.35">
      <c r="A1561" s="5">
        <v>0</v>
      </c>
    </row>
    <row r="1562" spans="1:1" x14ac:dyDescent="0.35">
      <c r="A1562" s="4">
        <v>5</v>
      </c>
    </row>
    <row r="1563" spans="1:1" x14ac:dyDescent="0.35">
      <c r="A1563" s="5">
        <v>15</v>
      </c>
    </row>
    <row r="1564" spans="1:1" x14ac:dyDescent="0.35">
      <c r="A1564" s="4">
        <v>10</v>
      </c>
    </row>
    <row r="1565" spans="1:1" x14ac:dyDescent="0.35">
      <c r="A1565" s="5">
        <v>0</v>
      </c>
    </row>
    <row r="1566" spans="1:1" x14ac:dyDescent="0.35">
      <c r="A1566" s="4">
        <v>25</v>
      </c>
    </row>
    <row r="1567" spans="1:1" x14ac:dyDescent="0.35">
      <c r="A1567" s="5">
        <v>10</v>
      </c>
    </row>
    <row r="1568" spans="1:1" x14ac:dyDescent="0.35">
      <c r="A1568" s="4">
        <v>0</v>
      </c>
    </row>
    <row r="1569" spans="1:1" x14ac:dyDescent="0.35">
      <c r="A1569" s="5">
        <v>15</v>
      </c>
    </row>
    <row r="1570" spans="1:1" x14ac:dyDescent="0.35">
      <c r="A1570" s="4">
        <v>5</v>
      </c>
    </row>
    <row r="1571" spans="1:1" x14ac:dyDescent="0.35">
      <c r="A1571" s="5">
        <v>10</v>
      </c>
    </row>
    <row r="1572" spans="1:1" x14ac:dyDescent="0.35">
      <c r="A1572" s="4">
        <v>0</v>
      </c>
    </row>
    <row r="1573" spans="1:1" x14ac:dyDescent="0.35">
      <c r="A1573" s="5">
        <v>5</v>
      </c>
    </row>
    <row r="1574" spans="1:1" x14ac:dyDescent="0.35">
      <c r="A1574" s="4">
        <v>20</v>
      </c>
    </row>
    <row r="1575" spans="1:1" x14ac:dyDescent="0.35">
      <c r="A1575" s="5">
        <v>5</v>
      </c>
    </row>
    <row r="1576" spans="1:1" x14ac:dyDescent="0.35">
      <c r="A1576" s="4">
        <v>15</v>
      </c>
    </row>
    <row r="1577" spans="1:1" x14ac:dyDescent="0.35">
      <c r="A1577" s="5">
        <v>15</v>
      </c>
    </row>
    <row r="1578" spans="1:1" x14ac:dyDescent="0.35">
      <c r="A1578" s="4">
        <v>0</v>
      </c>
    </row>
    <row r="1579" spans="1:1" x14ac:dyDescent="0.35">
      <c r="A1579" s="5">
        <v>5</v>
      </c>
    </row>
    <row r="1580" spans="1:1" x14ac:dyDescent="0.35">
      <c r="A1580" s="4">
        <v>20</v>
      </c>
    </row>
    <row r="1581" spans="1:1" x14ac:dyDescent="0.35">
      <c r="A1581" s="5">
        <v>5</v>
      </c>
    </row>
    <row r="1582" spans="1:1" x14ac:dyDescent="0.35">
      <c r="A1582" s="4">
        <v>0</v>
      </c>
    </row>
    <row r="1583" spans="1:1" x14ac:dyDescent="0.35">
      <c r="A1583" s="5">
        <v>5</v>
      </c>
    </row>
    <row r="1584" spans="1:1" x14ac:dyDescent="0.35">
      <c r="A1584" s="4">
        <v>5</v>
      </c>
    </row>
    <row r="1585" spans="1:1" x14ac:dyDescent="0.35">
      <c r="A1585" s="5">
        <v>5</v>
      </c>
    </row>
    <row r="1586" spans="1:1" x14ac:dyDescent="0.35">
      <c r="A1586" s="4">
        <v>5</v>
      </c>
    </row>
    <row r="1587" spans="1:1" x14ac:dyDescent="0.35">
      <c r="A1587" s="5">
        <v>10</v>
      </c>
    </row>
    <row r="1588" spans="1:1" x14ac:dyDescent="0.35">
      <c r="A1588" s="4">
        <v>5</v>
      </c>
    </row>
    <row r="1589" spans="1:1" x14ac:dyDescent="0.35">
      <c r="A1589" s="5">
        <v>0</v>
      </c>
    </row>
    <row r="1590" spans="1:1" x14ac:dyDescent="0.35">
      <c r="A1590" s="4">
        <v>10</v>
      </c>
    </row>
    <row r="1591" spans="1:1" x14ac:dyDescent="0.35">
      <c r="A1591" s="5">
        <v>10</v>
      </c>
    </row>
    <row r="1592" spans="1:1" x14ac:dyDescent="0.35">
      <c r="A1592" s="4">
        <v>15</v>
      </c>
    </row>
    <row r="1593" spans="1:1" x14ac:dyDescent="0.35">
      <c r="A1593" s="5">
        <v>5</v>
      </c>
    </row>
    <row r="1594" spans="1:1" x14ac:dyDescent="0.35">
      <c r="A1594" s="4">
        <v>10</v>
      </c>
    </row>
    <row r="1595" spans="1:1" x14ac:dyDescent="0.35">
      <c r="A1595" s="5">
        <v>15</v>
      </c>
    </row>
    <row r="1596" spans="1:1" x14ac:dyDescent="0.35">
      <c r="A1596" s="4">
        <v>15</v>
      </c>
    </row>
    <row r="1597" spans="1:1" x14ac:dyDescent="0.35">
      <c r="A1597" s="5">
        <v>5</v>
      </c>
    </row>
    <row r="1598" spans="1:1" x14ac:dyDescent="0.35">
      <c r="A1598" s="4">
        <v>10</v>
      </c>
    </row>
    <row r="1599" spans="1:1" x14ac:dyDescent="0.35">
      <c r="A1599" s="5">
        <v>5</v>
      </c>
    </row>
    <row r="1600" spans="1:1" x14ac:dyDescent="0.35">
      <c r="A1600" s="4">
        <v>25</v>
      </c>
    </row>
    <row r="1601" spans="1:1" x14ac:dyDescent="0.35">
      <c r="A1601" s="5">
        <v>0</v>
      </c>
    </row>
    <row r="1602" spans="1:1" x14ac:dyDescent="0.35">
      <c r="A1602" s="4">
        <v>5</v>
      </c>
    </row>
    <row r="1603" spans="1:1" x14ac:dyDescent="0.35">
      <c r="A1603" s="5">
        <v>0</v>
      </c>
    </row>
    <row r="1604" spans="1:1" x14ac:dyDescent="0.35">
      <c r="A1604" s="4">
        <v>5</v>
      </c>
    </row>
    <row r="1605" spans="1:1" x14ac:dyDescent="0.35">
      <c r="A1605" s="5">
        <v>25</v>
      </c>
    </row>
    <row r="1606" spans="1:1" x14ac:dyDescent="0.35">
      <c r="A1606" s="4">
        <v>15</v>
      </c>
    </row>
    <row r="1607" spans="1:1" x14ac:dyDescent="0.35">
      <c r="A1607" s="5">
        <v>15</v>
      </c>
    </row>
    <row r="1608" spans="1:1" x14ac:dyDescent="0.35">
      <c r="A1608" s="4">
        <v>0</v>
      </c>
    </row>
    <row r="1609" spans="1:1" x14ac:dyDescent="0.35">
      <c r="A1609" s="5">
        <v>10</v>
      </c>
    </row>
    <row r="1610" spans="1:1" x14ac:dyDescent="0.35">
      <c r="A1610" s="4">
        <v>5</v>
      </c>
    </row>
    <row r="1611" spans="1:1" x14ac:dyDescent="0.35">
      <c r="A1611" s="5">
        <v>10</v>
      </c>
    </row>
    <row r="1612" spans="1:1" x14ac:dyDescent="0.35">
      <c r="A1612" s="4">
        <v>30</v>
      </c>
    </row>
    <row r="1613" spans="1:1" x14ac:dyDescent="0.35">
      <c r="A1613" s="5">
        <v>10</v>
      </c>
    </row>
    <row r="1614" spans="1:1" x14ac:dyDescent="0.35">
      <c r="A1614" s="4">
        <v>15</v>
      </c>
    </row>
    <row r="1615" spans="1:1" x14ac:dyDescent="0.35">
      <c r="A1615" s="5">
        <v>5</v>
      </c>
    </row>
    <row r="1616" spans="1:1" x14ac:dyDescent="0.35">
      <c r="A1616" s="4">
        <v>5</v>
      </c>
    </row>
    <row r="1617" spans="1:1" x14ac:dyDescent="0.35">
      <c r="A1617" s="5">
        <v>0</v>
      </c>
    </row>
    <row r="1618" spans="1:1" x14ac:dyDescent="0.35">
      <c r="A1618" s="4">
        <v>5</v>
      </c>
    </row>
    <row r="1619" spans="1:1" x14ac:dyDescent="0.35">
      <c r="A1619" s="5">
        <v>20</v>
      </c>
    </row>
    <row r="1620" spans="1:1" x14ac:dyDescent="0.35">
      <c r="A1620" s="4">
        <v>0</v>
      </c>
    </row>
    <row r="1621" spans="1:1" x14ac:dyDescent="0.35">
      <c r="A1621" s="5">
        <v>10</v>
      </c>
    </row>
    <row r="1622" spans="1:1" x14ac:dyDescent="0.35">
      <c r="A1622" s="4">
        <v>15</v>
      </c>
    </row>
    <row r="1623" spans="1:1" x14ac:dyDescent="0.35">
      <c r="A1623" s="5">
        <v>30</v>
      </c>
    </row>
    <row r="1624" spans="1:1" x14ac:dyDescent="0.35">
      <c r="A1624" s="4">
        <v>0</v>
      </c>
    </row>
    <row r="1625" spans="1:1" x14ac:dyDescent="0.35">
      <c r="A1625" s="5">
        <v>5</v>
      </c>
    </row>
    <row r="1626" spans="1:1" x14ac:dyDescent="0.35">
      <c r="A1626" s="4">
        <v>0</v>
      </c>
    </row>
    <row r="1627" spans="1:1" x14ac:dyDescent="0.35">
      <c r="A1627" s="5">
        <v>15</v>
      </c>
    </row>
    <row r="1628" spans="1:1" x14ac:dyDescent="0.35">
      <c r="A1628" s="4">
        <v>10</v>
      </c>
    </row>
    <row r="1629" spans="1:1" x14ac:dyDescent="0.35">
      <c r="A1629" s="5">
        <v>15</v>
      </c>
    </row>
    <row r="1630" spans="1:1" x14ac:dyDescent="0.35">
      <c r="A1630" s="4">
        <v>25</v>
      </c>
    </row>
    <row r="1631" spans="1:1" x14ac:dyDescent="0.35">
      <c r="A1631" s="5">
        <v>10</v>
      </c>
    </row>
    <row r="1632" spans="1:1" x14ac:dyDescent="0.35">
      <c r="A1632" s="4">
        <v>25</v>
      </c>
    </row>
    <row r="1633" spans="1:1" x14ac:dyDescent="0.35">
      <c r="A1633" s="5">
        <v>0</v>
      </c>
    </row>
    <row r="1634" spans="1:1" x14ac:dyDescent="0.35">
      <c r="A1634" s="4">
        <v>10</v>
      </c>
    </row>
    <row r="1635" spans="1:1" x14ac:dyDescent="0.35">
      <c r="A1635" s="5">
        <v>0</v>
      </c>
    </row>
    <row r="1636" spans="1:1" x14ac:dyDescent="0.35">
      <c r="A1636" s="4">
        <v>20</v>
      </c>
    </row>
    <row r="1637" spans="1:1" x14ac:dyDescent="0.35">
      <c r="A1637" s="5">
        <v>0</v>
      </c>
    </row>
    <row r="1638" spans="1:1" x14ac:dyDescent="0.35">
      <c r="A1638" s="4">
        <v>15</v>
      </c>
    </row>
    <row r="1639" spans="1:1" x14ac:dyDescent="0.35">
      <c r="A1639" s="5">
        <v>20</v>
      </c>
    </row>
    <row r="1640" spans="1:1" x14ac:dyDescent="0.35">
      <c r="A1640" s="4">
        <v>5</v>
      </c>
    </row>
    <row r="1641" spans="1:1" x14ac:dyDescent="0.35">
      <c r="A1641" s="5">
        <v>5</v>
      </c>
    </row>
    <row r="1642" spans="1:1" x14ac:dyDescent="0.35">
      <c r="A1642" s="4">
        <v>10</v>
      </c>
    </row>
    <row r="1643" spans="1:1" x14ac:dyDescent="0.35">
      <c r="A1643" s="5">
        <v>0</v>
      </c>
    </row>
    <row r="1644" spans="1:1" x14ac:dyDescent="0.35">
      <c r="A1644" s="4">
        <v>0</v>
      </c>
    </row>
    <row r="1645" spans="1:1" x14ac:dyDescent="0.35">
      <c r="A1645" s="5">
        <v>10</v>
      </c>
    </row>
    <row r="1646" spans="1:1" x14ac:dyDescent="0.35">
      <c r="A1646" s="4">
        <v>5</v>
      </c>
    </row>
    <row r="1647" spans="1:1" x14ac:dyDescent="0.35">
      <c r="A1647" s="5">
        <v>5</v>
      </c>
    </row>
    <row r="1648" spans="1:1" x14ac:dyDescent="0.35">
      <c r="A1648" s="4">
        <v>0</v>
      </c>
    </row>
    <row r="1649" spans="1:1" x14ac:dyDescent="0.35">
      <c r="A1649" s="5">
        <v>0</v>
      </c>
    </row>
    <row r="1650" spans="1:1" x14ac:dyDescent="0.35">
      <c r="A1650" s="4">
        <v>5</v>
      </c>
    </row>
    <row r="1651" spans="1:1" x14ac:dyDescent="0.35">
      <c r="A1651" s="5">
        <v>10</v>
      </c>
    </row>
    <row r="1652" spans="1:1" x14ac:dyDescent="0.35">
      <c r="A1652" s="4">
        <v>0</v>
      </c>
    </row>
    <row r="1653" spans="1:1" x14ac:dyDescent="0.35">
      <c r="A1653" s="5">
        <v>10</v>
      </c>
    </row>
    <row r="1654" spans="1:1" x14ac:dyDescent="0.35">
      <c r="A1654" s="4">
        <v>5</v>
      </c>
    </row>
    <row r="1655" spans="1:1" x14ac:dyDescent="0.35">
      <c r="A1655" s="5">
        <v>10</v>
      </c>
    </row>
    <row r="1656" spans="1:1" x14ac:dyDescent="0.35">
      <c r="A1656" s="4">
        <v>10</v>
      </c>
    </row>
    <row r="1657" spans="1:1" x14ac:dyDescent="0.35">
      <c r="A1657" s="5">
        <v>0</v>
      </c>
    </row>
    <row r="1658" spans="1:1" x14ac:dyDescent="0.35">
      <c r="A1658" s="4">
        <v>5</v>
      </c>
    </row>
    <row r="1659" spans="1:1" x14ac:dyDescent="0.35">
      <c r="A1659" s="5">
        <v>0</v>
      </c>
    </row>
    <row r="1660" spans="1:1" x14ac:dyDescent="0.35">
      <c r="A1660" s="4">
        <v>25</v>
      </c>
    </row>
    <row r="1661" spans="1:1" x14ac:dyDescent="0.35">
      <c r="A1661" s="5">
        <v>5</v>
      </c>
    </row>
    <row r="1662" spans="1:1" x14ac:dyDescent="0.35">
      <c r="A1662" s="4">
        <v>5</v>
      </c>
    </row>
    <row r="1663" spans="1:1" x14ac:dyDescent="0.35">
      <c r="A1663" s="5">
        <v>0</v>
      </c>
    </row>
    <row r="1664" spans="1:1" x14ac:dyDescent="0.35">
      <c r="A1664" s="4">
        <v>5</v>
      </c>
    </row>
    <row r="1665" spans="1:1" x14ac:dyDescent="0.35">
      <c r="A1665" s="5">
        <v>0</v>
      </c>
    </row>
    <row r="1666" spans="1:1" x14ac:dyDescent="0.35">
      <c r="A1666" s="4">
        <v>0</v>
      </c>
    </row>
    <row r="1667" spans="1:1" x14ac:dyDescent="0.35">
      <c r="A1667" s="5">
        <v>10</v>
      </c>
    </row>
    <row r="1668" spans="1:1" x14ac:dyDescent="0.35">
      <c r="A1668" s="4">
        <v>20</v>
      </c>
    </row>
    <row r="1669" spans="1:1" x14ac:dyDescent="0.35">
      <c r="A1669" s="5">
        <v>0</v>
      </c>
    </row>
    <row r="1670" spans="1:1" x14ac:dyDescent="0.35">
      <c r="A1670" s="4">
        <v>0</v>
      </c>
    </row>
    <row r="1671" spans="1:1" x14ac:dyDescent="0.35">
      <c r="A1671" s="5">
        <v>5</v>
      </c>
    </row>
    <row r="1672" spans="1:1" x14ac:dyDescent="0.35">
      <c r="A1672" s="4">
        <v>0</v>
      </c>
    </row>
    <row r="1673" spans="1:1" x14ac:dyDescent="0.35">
      <c r="A1673" s="5">
        <v>10</v>
      </c>
    </row>
    <row r="1674" spans="1:1" x14ac:dyDescent="0.35">
      <c r="A1674" s="4">
        <v>0</v>
      </c>
    </row>
    <row r="1675" spans="1:1" x14ac:dyDescent="0.35">
      <c r="A1675" s="5">
        <v>15</v>
      </c>
    </row>
    <row r="1676" spans="1:1" x14ac:dyDescent="0.35">
      <c r="A1676" s="4">
        <v>5</v>
      </c>
    </row>
    <row r="1677" spans="1:1" x14ac:dyDescent="0.35">
      <c r="A1677" s="5">
        <v>5</v>
      </c>
    </row>
    <row r="1678" spans="1:1" x14ac:dyDescent="0.35">
      <c r="A1678" s="4">
        <v>20</v>
      </c>
    </row>
    <row r="1679" spans="1:1" x14ac:dyDescent="0.35">
      <c r="A1679" s="5">
        <v>10</v>
      </c>
    </row>
    <row r="1680" spans="1:1" x14ac:dyDescent="0.35">
      <c r="A1680" s="4">
        <v>20</v>
      </c>
    </row>
    <row r="1681" spans="1:1" x14ac:dyDescent="0.35">
      <c r="A1681" s="5">
        <v>0</v>
      </c>
    </row>
    <row r="1682" spans="1:1" x14ac:dyDescent="0.35">
      <c r="A1682" s="4">
        <v>5</v>
      </c>
    </row>
    <row r="1683" spans="1:1" x14ac:dyDescent="0.35">
      <c r="A1683" s="5">
        <v>25</v>
      </c>
    </row>
    <row r="1684" spans="1:1" x14ac:dyDescent="0.35">
      <c r="A1684" s="4">
        <v>25</v>
      </c>
    </row>
    <row r="1685" spans="1:1" x14ac:dyDescent="0.35">
      <c r="A1685" s="5">
        <v>10</v>
      </c>
    </row>
    <row r="1686" spans="1:1" x14ac:dyDescent="0.35">
      <c r="A1686" s="4">
        <v>10</v>
      </c>
    </row>
    <row r="1687" spans="1:1" x14ac:dyDescent="0.35">
      <c r="A1687" s="5">
        <v>0</v>
      </c>
    </row>
    <row r="1688" spans="1:1" x14ac:dyDescent="0.35">
      <c r="A1688" s="4">
        <v>10</v>
      </c>
    </row>
    <row r="1689" spans="1:1" x14ac:dyDescent="0.35">
      <c r="A1689" s="5">
        <v>20</v>
      </c>
    </row>
    <row r="1690" spans="1:1" x14ac:dyDescent="0.35">
      <c r="A1690" s="4">
        <v>5</v>
      </c>
    </row>
    <row r="1691" spans="1:1" x14ac:dyDescent="0.35">
      <c r="A1691" s="5">
        <v>5</v>
      </c>
    </row>
    <row r="1692" spans="1:1" x14ac:dyDescent="0.35">
      <c r="A1692" s="4">
        <v>0</v>
      </c>
    </row>
    <row r="1693" spans="1:1" x14ac:dyDescent="0.35">
      <c r="A1693" s="5">
        <v>0</v>
      </c>
    </row>
    <row r="1694" spans="1:1" x14ac:dyDescent="0.35">
      <c r="A1694" s="4">
        <v>10</v>
      </c>
    </row>
    <row r="1695" spans="1:1" x14ac:dyDescent="0.35">
      <c r="A1695" s="5">
        <v>5</v>
      </c>
    </row>
    <row r="1696" spans="1:1" x14ac:dyDescent="0.35">
      <c r="A1696" s="4">
        <v>10</v>
      </c>
    </row>
    <row r="1697" spans="1:1" x14ac:dyDescent="0.35">
      <c r="A1697" s="5">
        <v>10</v>
      </c>
    </row>
    <row r="1698" spans="1:1" x14ac:dyDescent="0.35">
      <c r="A1698" s="4">
        <v>10</v>
      </c>
    </row>
    <row r="1699" spans="1:1" x14ac:dyDescent="0.35">
      <c r="A1699" s="5">
        <v>10</v>
      </c>
    </row>
    <row r="1700" spans="1:1" x14ac:dyDescent="0.35">
      <c r="A1700" s="4">
        <v>5</v>
      </c>
    </row>
    <row r="1701" spans="1:1" x14ac:dyDescent="0.35">
      <c r="A1701" s="5">
        <v>10</v>
      </c>
    </row>
    <row r="1702" spans="1:1" x14ac:dyDescent="0.35">
      <c r="A1702" s="4">
        <v>5</v>
      </c>
    </row>
    <row r="1703" spans="1:1" x14ac:dyDescent="0.35">
      <c r="A1703" s="5">
        <v>25</v>
      </c>
    </row>
    <row r="1704" spans="1:1" x14ac:dyDescent="0.35">
      <c r="A1704" s="4">
        <v>5</v>
      </c>
    </row>
    <row r="1705" spans="1:1" x14ac:dyDescent="0.35">
      <c r="A1705" s="5">
        <v>10</v>
      </c>
    </row>
    <row r="1706" spans="1:1" x14ac:dyDescent="0.35">
      <c r="A1706" s="4">
        <v>25</v>
      </c>
    </row>
    <row r="1707" spans="1:1" x14ac:dyDescent="0.35">
      <c r="A1707" s="5">
        <v>10</v>
      </c>
    </row>
    <row r="1708" spans="1:1" x14ac:dyDescent="0.35">
      <c r="A1708" s="4">
        <v>25</v>
      </c>
    </row>
    <row r="1709" spans="1:1" x14ac:dyDescent="0.35">
      <c r="A1709" s="5">
        <v>5</v>
      </c>
    </row>
    <row r="1710" spans="1:1" x14ac:dyDescent="0.35">
      <c r="A1710" s="4">
        <v>0</v>
      </c>
    </row>
    <row r="1711" spans="1:1" x14ac:dyDescent="0.35">
      <c r="A1711" s="5">
        <v>20</v>
      </c>
    </row>
    <row r="1712" spans="1:1" x14ac:dyDescent="0.35">
      <c r="A1712" s="4">
        <v>5</v>
      </c>
    </row>
    <row r="1713" spans="1:1" x14ac:dyDescent="0.35">
      <c r="A1713" s="5">
        <v>5</v>
      </c>
    </row>
    <row r="1714" spans="1:1" x14ac:dyDescent="0.35">
      <c r="A1714" s="4">
        <v>20</v>
      </c>
    </row>
    <row r="1715" spans="1:1" x14ac:dyDescent="0.35">
      <c r="A1715" s="5">
        <v>0</v>
      </c>
    </row>
    <row r="1716" spans="1:1" x14ac:dyDescent="0.35">
      <c r="A1716" s="4">
        <v>0</v>
      </c>
    </row>
    <row r="1717" spans="1:1" x14ac:dyDescent="0.35">
      <c r="A1717" s="5">
        <v>5</v>
      </c>
    </row>
    <row r="1718" spans="1:1" x14ac:dyDescent="0.35">
      <c r="A1718" s="4">
        <v>0</v>
      </c>
    </row>
    <row r="1719" spans="1:1" x14ac:dyDescent="0.35">
      <c r="A1719" s="5">
        <v>15</v>
      </c>
    </row>
    <row r="1720" spans="1:1" x14ac:dyDescent="0.35">
      <c r="A1720" s="4">
        <v>5</v>
      </c>
    </row>
    <row r="1721" spans="1:1" x14ac:dyDescent="0.35">
      <c r="A1721" s="5">
        <v>10</v>
      </c>
    </row>
    <row r="1722" spans="1:1" x14ac:dyDescent="0.35">
      <c r="A1722" s="4">
        <v>5</v>
      </c>
    </row>
    <row r="1723" spans="1:1" x14ac:dyDescent="0.35">
      <c r="A1723" s="5">
        <v>15</v>
      </c>
    </row>
    <row r="1724" spans="1:1" x14ac:dyDescent="0.35">
      <c r="A1724" s="4">
        <v>10</v>
      </c>
    </row>
    <row r="1725" spans="1:1" x14ac:dyDescent="0.35">
      <c r="A1725" s="5">
        <v>0</v>
      </c>
    </row>
    <row r="1726" spans="1:1" x14ac:dyDescent="0.35">
      <c r="A1726" s="4">
        <v>5</v>
      </c>
    </row>
    <row r="1727" spans="1:1" x14ac:dyDescent="0.35">
      <c r="A1727" s="5">
        <v>10</v>
      </c>
    </row>
    <row r="1728" spans="1:1" x14ac:dyDescent="0.35">
      <c r="A1728" s="4">
        <v>20</v>
      </c>
    </row>
    <row r="1729" spans="1:1" x14ac:dyDescent="0.35">
      <c r="A1729" s="5">
        <v>10</v>
      </c>
    </row>
    <row r="1730" spans="1:1" x14ac:dyDescent="0.35">
      <c r="A1730" s="4">
        <v>15</v>
      </c>
    </row>
    <row r="1731" spans="1:1" x14ac:dyDescent="0.35">
      <c r="A1731" s="5">
        <v>15</v>
      </c>
    </row>
    <row r="1732" spans="1:1" x14ac:dyDescent="0.35">
      <c r="A1732" s="4">
        <v>5</v>
      </c>
    </row>
    <row r="1733" spans="1:1" x14ac:dyDescent="0.35">
      <c r="A1733" s="5">
        <v>0</v>
      </c>
    </row>
    <row r="1734" spans="1:1" x14ac:dyDescent="0.35">
      <c r="A1734" s="4">
        <v>10</v>
      </c>
    </row>
    <row r="1735" spans="1:1" x14ac:dyDescent="0.35">
      <c r="A1735" s="5">
        <v>10</v>
      </c>
    </row>
    <row r="1736" spans="1:1" x14ac:dyDescent="0.35">
      <c r="A1736" s="4">
        <v>15</v>
      </c>
    </row>
    <row r="1737" spans="1:1" x14ac:dyDescent="0.35">
      <c r="A1737" s="5">
        <v>20</v>
      </c>
    </row>
    <row r="1738" spans="1:1" x14ac:dyDescent="0.35">
      <c r="A1738" s="4">
        <v>10</v>
      </c>
    </row>
    <row r="1739" spans="1:1" x14ac:dyDescent="0.35">
      <c r="A1739" s="5">
        <v>0</v>
      </c>
    </row>
    <row r="1740" spans="1:1" x14ac:dyDescent="0.35">
      <c r="A1740" s="4">
        <v>0</v>
      </c>
    </row>
    <row r="1741" spans="1:1" x14ac:dyDescent="0.35">
      <c r="A1741" s="5">
        <v>0</v>
      </c>
    </row>
    <row r="1742" spans="1:1" x14ac:dyDescent="0.35">
      <c r="A1742" s="4">
        <v>20</v>
      </c>
    </row>
    <row r="1743" spans="1:1" x14ac:dyDescent="0.35">
      <c r="A1743" s="5">
        <v>0</v>
      </c>
    </row>
    <row r="1744" spans="1:1" x14ac:dyDescent="0.35">
      <c r="A1744" s="4">
        <v>15</v>
      </c>
    </row>
    <row r="1745" spans="1:1" x14ac:dyDescent="0.35">
      <c r="A1745" s="5">
        <v>15</v>
      </c>
    </row>
    <row r="1746" spans="1:1" x14ac:dyDescent="0.35">
      <c r="A1746" s="4">
        <v>10</v>
      </c>
    </row>
    <row r="1747" spans="1:1" x14ac:dyDescent="0.35">
      <c r="A1747" s="5">
        <v>15</v>
      </c>
    </row>
    <row r="1748" spans="1:1" x14ac:dyDescent="0.35">
      <c r="A1748" s="4">
        <v>10</v>
      </c>
    </row>
    <row r="1749" spans="1:1" x14ac:dyDescent="0.35">
      <c r="A1749" s="5">
        <v>10</v>
      </c>
    </row>
    <row r="1750" spans="1:1" x14ac:dyDescent="0.35">
      <c r="A1750" s="4">
        <v>10</v>
      </c>
    </row>
    <row r="1751" spans="1:1" x14ac:dyDescent="0.35">
      <c r="A1751" s="5">
        <v>10</v>
      </c>
    </row>
    <row r="1752" spans="1:1" x14ac:dyDescent="0.35">
      <c r="A1752" s="4">
        <v>15</v>
      </c>
    </row>
    <row r="1753" spans="1:1" x14ac:dyDescent="0.35">
      <c r="A1753" s="5">
        <v>10</v>
      </c>
    </row>
    <row r="1754" spans="1:1" x14ac:dyDescent="0.35">
      <c r="A1754" s="4">
        <v>0</v>
      </c>
    </row>
    <row r="1755" spans="1:1" x14ac:dyDescent="0.35">
      <c r="A1755" s="5">
        <v>0</v>
      </c>
    </row>
    <row r="1756" spans="1:1" x14ac:dyDescent="0.35">
      <c r="A1756" s="4">
        <v>10</v>
      </c>
    </row>
    <row r="1757" spans="1:1" x14ac:dyDescent="0.35">
      <c r="A1757" s="5">
        <v>0</v>
      </c>
    </row>
    <row r="1758" spans="1:1" x14ac:dyDescent="0.35">
      <c r="A1758" s="4">
        <v>10</v>
      </c>
    </row>
    <row r="1759" spans="1:1" x14ac:dyDescent="0.35">
      <c r="A1759" s="5">
        <v>20</v>
      </c>
    </row>
    <row r="1760" spans="1:1" x14ac:dyDescent="0.35">
      <c r="A1760" s="4">
        <v>15</v>
      </c>
    </row>
    <row r="1761" spans="1:1" x14ac:dyDescent="0.35">
      <c r="A1761" s="5">
        <v>0</v>
      </c>
    </row>
    <row r="1762" spans="1:1" x14ac:dyDescent="0.35">
      <c r="A1762" s="4">
        <v>15</v>
      </c>
    </row>
    <row r="1763" spans="1:1" x14ac:dyDescent="0.35">
      <c r="A1763" s="5">
        <v>0</v>
      </c>
    </row>
    <row r="1764" spans="1:1" x14ac:dyDescent="0.35">
      <c r="A1764" s="4">
        <v>15</v>
      </c>
    </row>
    <row r="1765" spans="1:1" x14ac:dyDescent="0.35">
      <c r="A1765" s="5">
        <v>5</v>
      </c>
    </row>
    <row r="1766" spans="1:1" x14ac:dyDescent="0.35">
      <c r="A1766" s="4">
        <v>0</v>
      </c>
    </row>
    <row r="1767" spans="1:1" x14ac:dyDescent="0.35">
      <c r="A1767" s="5">
        <v>10</v>
      </c>
    </row>
    <row r="1768" spans="1:1" x14ac:dyDescent="0.35">
      <c r="A1768" s="4">
        <v>10</v>
      </c>
    </row>
    <row r="1769" spans="1:1" x14ac:dyDescent="0.35">
      <c r="A1769" s="5">
        <v>5</v>
      </c>
    </row>
    <row r="1770" spans="1:1" x14ac:dyDescent="0.35">
      <c r="A1770" s="4">
        <v>10</v>
      </c>
    </row>
    <row r="1771" spans="1:1" x14ac:dyDescent="0.35">
      <c r="A1771" s="5">
        <v>10</v>
      </c>
    </row>
    <row r="1772" spans="1:1" x14ac:dyDescent="0.35">
      <c r="A1772" s="4">
        <v>10</v>
      </c>
    </row>
    <row r="1773" spans="1:1" x14ac:dyDescent="0.35">
      <c r="A1773" s="5">
        <v>20</v>
      </c>
    </row>
    <row r="1774" spans="1:1" x14ac:dyDescent="0.35">
      <c r="A1774" s="4">
        <v>15</v>
      </c>
    </row>
    <row r="1775" spans="1:1" x14ac:dyDescent="0.35">
      <c r="A1775" s="5">
        <v>15</v>
      </c>
    </row>
    <row r="1776" spans="1:1" x14ac:dyDescent="0.35">
      <c r="A1776" s="4">
        <v>5</v>
      </c>
    </row>
    <row r="1777" spans="1:1" x14ac:dyDescent="0.35">
      <c r="A1777" s="5">
        <v>0</v>
      </c>
    </row>
    <row r="1778" spans="1:1" x14ac:dyDescent="0.35">
      <c r="A1778" s="4">
        <v>0</v>
      </c>
    </row>
    <row r="1779" spans="1:1" x14ac:dyDescent="0.35">
      <c r="A1779" s="5">
        <v>0</v>
      </c>
    </row>
    <row r="1780" spans="1:1" x14ac:dyDescent="0.35">
      <c r="A1780" s="4">
        <v>20</v>
      </c>
    </row>
    <row r="1781" spans="1:1" x14ac:dyDescent="0.35">
      <c r="A1781" s="5">
        <v>0</v>
      </c>
    </row>
    <row r="1782" spans="1:1" x14ac:dyDescent="0.35">
      <c r="A1782" s="4">
        <v>10</v>
      </c>
    </row>
    <row r="1783" spans="1:1" x14ac:dyDescent="0.35">
      <c r="A1783" s="5">
        <v>5</v>
      </c>
    </row>
    <row r="1784" spans="1:1" x14ac:dyDescent="0.35">
      <c r="A1784" s="4">
        <v>15</v>
      </c>
    </row>
    <row r="1785" spans="1:1" x14ac:dyDescent="0.35">
      <c r="A1785" s="5">
        <v>5</v>
      </c>
    </row>
    <row r="1786" spans="1:1" x14ac:dyDescent="0.35">
      <c r="A1786" s="4">
        <v>20</v>
      </c>
    </row>
    <row r="1787" spans="1:1" x14ac:dyDescent="0.35">
      <c r="A1787" s="5">
        <v>0</v>
      </c>
    </row>
    <row r="1788" spans="1:1" x14ac:dyDescent="0.35">
      <c r="A1788" s="4">
        <v>20</v>
      </c>
    </row>
    <row r="1789" spans="1:1" x14ac:dyDescent="0.35">
      <c r="A1789" s="5">
        <v>10</v>
      </c>
    </row>
    <row r="1790" spans="1:1" x14ac:dyDescent="0.35">
      <c r="A1790" s="4">
        <v>0</v>
      </c>
    </row>
    <row r="1791" spans="1:1" x14ac:dyDescent="0.35">
      <c r="A1791" s="5">
        <v>15</v>
      </c>
    </row>
    <row r="1792" spans="1:1" x14ac:dyDescent="0.35">
      <c r="A1792" s="4">
        <v>10</v>
      </c>
    </row>
    <row r="1793" spans="1:1" x14ac:dyDescent="0.35">
      <c r="A1793" s="5">
        <v>10</v>
      </c>
    </row>
    <row r="1794" spans="1:1" x14ac:dyDescent="0.35">
      <c r="A1794" s="4">
        <v>5</v>
      </c>
    </row>
    <row r="1795" spans="1:1" x14ac:dyDescent="0.35">
      <c r="A1795" s="5">
        <v>15</v>
      </c>
    </row>
    <row r="1796" spans="1:1" x14ac:dyDescent="0.35">
      <c r="A1796" s="4">
        <v>0</v>
      </c>
    </row>
    <row r="1797" spans="1:1" x14ac:dyDescent="0.35">
      <c r="A1797" s="5">
        <v>5</v>
      </c>
    </row>
    <row r="1798" spans="1:1" x14ac:dyDescent="0.35">
      <c r="A1798" s="4">
        <v>5</v>
      </c>
    </row>
    <row r="1799" spans="1:1" x14ac:dyDescent="0.35">
      <c r="A1799" s="5">
        <v>10</v>
      </c>
    </row>
    <row r="1800" spans="1:1" x14ac:dyDescent="0.35">
      <c r="A1800" s="4">
        <v>5</v>
      </c>
    </row>
    <row r="1801" spans="1:1" x14ac:dyDescent="0.35">
      <c r="A1801" s="5">
        <v>25</v>
      </c>
    </row>
    <row r="1802" spans="1:1" x14ac:dyDescent="0.35">
      <c r="A1802" s="4">
        <v>5</v>
      </c>
    </row>
    <row r="1803" spans="1:1" x14ac:dyDescent="0.35">
      <c r="A1803" s="5">
        <v>10</v>
      </c>
    </row>
    <row r="1804" spans="1:1" x14ac:dyDescent="0.35">
      <c r="A1804" s="4">
        <v>25</v>
      </c>
    </row>
    <row r="1805" spans="1:1" x14ac:dyDescent="0.35">
      <c r="A1805" s="5">
        <v>10</v>
      </c>
    </row>
    <row r="1806" spans="1:1" x14ac:dyDescent="0.35">
      <c r="A1806" s="4">
        <v>10</v>
      </c>
    </row>
    <row r="1807" spans="1:1" x14ac:dyDescent="0.35">
      <c r="A1807" s="5">
        <v>0</v>
      </c>
    </row>
    <row r="1808" spans="1:1" x14ac:dyDescent="0.35">
      <c r="A1808" s="4">
        <v>10</v>
      </c>
    </row>
    <row r="1809" spans="1:1" x14ac:dyDescent="0.35">
      <c r="A1809" s="5">
        <v>10</v>
      </c>
    </row>
    <row r="1810" spans="1:1" x14ac:dyDescent="0.35">
      <c r="A1810" s="4">
        <v>0</v>
      </c>
    </row>
    <row r="1811" spans="1:1" x14ac:dyDescent="0.35">
      <c r="A1811" s="5">
        <v>10</v>
      </c>
    </row>
    <row r="1812" spans="1:1" x14ac:dyDescent="0.35">
      <c r="A1812" s="4">
        <v>10</v>
      </c>
    </row>
    <row r="1813" spans="1:1" x14ac:dyDescent="0.35">
      <c r="A1813" s="5">
        <v>20</v>
      </c>
    </row>
    <row r="1814" spans="1:1" x14ac:dyDescent="0.35">
      <c r="A1814" s="4">
        <v>15</v>
      </c>
    </row>
    <row r="1815" spans="1:1" x14ac:dyDescent="0.35">
      <c r="A1815" s="5">
        <v>5</v>
      </c>
    </row>
    <row r="1816" spans="1:1" x14ac:dyDescent="0.35">
      <c r="A1816" s="4">
        <v>0</v>
      </c>
    </row>
    <row r="1817" spans="1:1" x14ac:dyDescent="0.35">
      <c r="A1817" s="5">
        <v>5</v>
      </c>
    </row>
    <row r="1818" spans="1:1" x14ac:dyDescent="0.35">
      <c r="A1818" s="4">
        <v>10</v>
      </c>
    </row>
    <row r="1819" spans="1:1" x14ac:dyDescent="0.35">
      <c r="A1819" s="5">
        <v>5</v>
      </c>
    </row>
    <row r="1820" spans="1:1" x14ac:dyDescent="0.35">
      <c r="A1820" s="4">
        <v>15</v>
      </c>
    </row>
    <row r="1821" spans="1:1" x14ac:dyDescent="0.35">
      <c r="A1821" s="5">
        <v>5</v>
      </c>
    </row>
    <row r="1822" spans="1:1" x14ac:dyDescent="0.35">
      <c r="A1822" s="4">
        <v>5</v>
      </c>
    </row>
    <row r="1823" spans="1:1" x14ac:dyDescent="0.35">
      <c r="A1823" s="5">
        <v>5</v>
      </c>
    </row>
    <row r="1824" spans="1:1" x14ac:dyDescent="0.35">
      <c r="A1824" s="4">
        <v>5</v>
      </c>
    </row>
    <row r="1825" spans="1:1" x14ac:dyDescent="0.35">
      <c r="A1825" s="5">
        <v>5</v>
      </c>
    </row>
    <row r="1826" spans="1:1" x14ac:dyDescent="0.35">
      <c r="A1826" s="4">
        <v>5</v>
      </c>
    </row>
    <row r="1827" spans="1:1" x14ac:dyDescent="0.35">
      <c r="A1827" s="5">
        <v>0</v>
      </c>
    </row>
    <row r="1828" spans="1:1" x14ac:dyDescent="0.35">
      <c r="A1828" s="4">
        <v>0</v>
      </c>
    </row>
    <row r="1829" spans="1:1" x14ac:dyDescent="0.35">
      <c r="A1829" s="5">
        <v>10</v>
      </c>
    </row>
    <row r="1830" spans="1:1" x14ac:dyDescent="0.35">
      <c r="A1830" s="4">
        <v>0</v>
      </c>
    </row>
    <row r="1831" spans="1:1" x14ac:dyDescent="0.35">
      <c r="A1831" s="5">
        <v>10</v>
      </c>
    </row>
    <row r="1832" spans="1:1" x14ac:dyDescent="0.35">
      <c r="A1832" s="4">
        <v>0</v>
      </c>
    </row>
    <row r="1833" spans="1:1" x14ac:dyDescent="0.35">
      <c r="A1833" s="5">
        <v>5</v>
      </c>
    </row>
    <row r="1834" spans="1:1" x14ac:dyDescent="0.35">
      <c r="A1834" s="4">
        <v>10</v>
      </c>
    </row>
    <row r="1835" spans="1:1" x14ac:dyDescent="0.35">
      <c r="A1835" s="5">
        <v>20</v>
      </c>
    </row>
    <row r="1836" spans="1:1" x14ac:dyDescent="0.35">
      <c r="A1836" s="4">
        <v>10</v>
      </c>
    </row>
    <row r="1837" spans="1:1" x14ac:dyDescent="0.35">
      <c r="A1837" s="5">
        <v>10</v>
      </c>
    </row>
    <row r="1838" spans="1:1" x14ac:dyDescent="0.35">
      <c r="A1838" s="4">
        <v>15</v>
      </c>
    </row>
    <row r="1839" spans="1:1" x14ac:dyDescent="0.35">
      <c r="A1839" s="5">
        <v>15</v>
      </c>
    </row>
    <row r="1840" spans="1:1" x14ac:dyDescent="0.35">
      <c r="A1840" s="4">
        <v>5</v>
      </c>
    </row>
    <row r="1841" spans="1:1" x14ac:dyDescent="0.35">
      <c r="A1841" s="5">
        <v>0</v>
      </c>
    </row>
    <row r="1842" spans="1:1" x14ac:dyDescent="0.35">
      <c r="A1842" s="4">
        <v>0</v>
      </c>
    </row>
    <row r="1843" spans="1:1" x14ac:dyDescent="0.35">
      <c r="A1843" s="5">
        <v>0</v>
      </c>
    </row>
    <row r="1844" spans="1:1" x14ac:dyDescent="0.35">
      <c r="A1844" s="4">
        <v>20</v>
      </c>
    </row>
    <row r="1845" spans="1:1" x14ac:dyDescent="0.35">
      <c r="A1845" s="5">
        <v>5</v>
      </c>
    </row>
    <row r="1846" spans="1:1" x14ac:dyDescent="0.35">
      <c r="A1846" s="4">
        <v>0</v>
      </c>
    </row>
    <row r="1847" spans="1:1" x14ac:dyDescent="0.35">
      <c r="A1847" s="5">
        <v>5</v>
      </c>
    </row>
    <row r="1848" spans="1:1" x14ac:dyDescent="0.35">
      <c r="A1848" s="4">
        <v>0</v>
      </c>
    </row>
    <row r="1849" spans="1:1" x14ac:dyDescent="0.35">
      <c r="A1849" s="5">
        <v>10</v>
      </c>
    </row>
    <row r="1850" spans="1:1" x14ac:dyDescent="0.35">
      <c r="A1850" s="4">
        <v>10</v>
      </c>
    </row>
    <row r="1851" spans="1:1" x14ac:dyDescent="0.35">
      <c r="A1851" s="5">
        <v>0</v>
      </c>
    </row>
    <row r="1852" spans="1:1" x14ac:dyDescent="0.35">
      <c r="A1852" s="4">
        <v>15</v>
      </c>
    </row>
    <row r="1853" spans="1:1" x14ac:dyDescent="0.35">
      <c r="A1853" s="5">
        <v>5</v>
      </c>
    </row>
    <row r="1854" spans="1:1" x14ac:dyDescent="0.35">
      <c r="A1854" s="4">
        <v>0</v>
      </c>
    </row>
    <row r="1855" spans="1:1" x14ac:dyDescent="0.35">
      <c r="A1855" s="5">
        <v>20</v>
      </c>
    </row>
    <row r="1856" spans="1:1" x14ac:dyDescent="0.35">
      <c r="A1856" s="4">
        <v>10</v>
      </c>
    </row>
    <row r="1857" spans="1:1" x14ac:dyDescent="0.35">
      <c r="A1857" s="5">
        <v>0</v>
      </c>
    </row>
    <row r="1858" spans="1:1" x14ac:dyDescent="0.35">
      <c r="A1858" s="4">
        <v>0</v>
      </c>
    </row>
    <row r="1859" spans="1:1" x14ac:dyDescent="0.35">
      <c r="A1859" s="5">
        <v>20</v>
      </c>
    </row>
    <row r="1860" spans="1:1" x14ac:dyDescent="0.35">
      <c r="A1860" s="4">
        <v>15</v>
      </c>
    </row>
    <row r="1861" spans="1:1" x14ac:dyDescent="0.35">
      <c r="A1861" s="5">
        <v>10</v>
      </c>
    </row>
    <row r="1862" spans="1:1" x14ac:dyDescent="0.35">
      <c r="A1862" s="4">
        <v>0</v>
      </c>
    </row>
    <row r="1863" spans="1:1" x14ac:dyDescent="0.35">
      <c r="A1863" s="5">
        <v>5</v>
      </c>
    </row>
    <row r="1864" spans="1:1" x14ac:dyDescent="0.35">
      <c r="A1864" s="4">
        <v>10</v>
      </c>
    </row>
    <row r="1865" spans="1:1" x14ac:dyDescent="0.35">
      <c r="A1865" s="5">
        <v>5</v>
      </c>
    </row>
    <row r="1866" spans="1:1" x14ac:dyDescent="0.35">
      <c r="A1866" s="4">
        <v>10</v>
      </c>
    </row>
    <row r="1867" spans="1:1" x14ac:dyDescent="0.35">
      <c r="A1867" s="5">
        <v>15</v>
      </c>
    </row>
    <row r="1868" spans="1:1" x14ac:dyDescent="0.35">
      <c r="A1868" s="4">
        <v>0</v>
      </c>
    </row>
    <row r="1869" spans="1:1" x14ac:dyDescent="0.35">
      <c r="A1869" s="5">
        <v>5</v>
      </c>
    </row>
    <row r="1870" spans="1:1" x14ac:dyDescent="0.35">
      <c r="A1870" s="4">
        <v>10</v>
      </c>
    </row>
    <row r="1871" spans="1:1" x14ac:dyDescent="0.35">
      <c r="A1871" s="5">
        <v>10</v>
      </c>
    </row>
    <row r="1872" spans="1:1" x14ac:dyDescent="0.35">
      <c r="A1872" s="4">
        <v>20</v>
      </c>
    </row>
    <row r="1873" spans="1:1" x14ac:dyDescent="0.35">
      <c r="A1873" s="5">
        <v>20</v>
      </c>
    </row>
    <row r="1874" spans="1:1" x14ac:dyDescent="0.35">
      <c r="A1874" s="4">
        <v>15</v>
      </c>
    </row>
    <row r="1875" spans="1:1" x14ac:dyDescent="0.35">
      <c r="A1875" s="5">
        <v>15</v>
      </c>
    </row>
    <row r="1876" spans="1:1" x14ac:dyDescent="0.35">
      <c r="A1876" s="4">
        <v>10</v>
      </c>
    </row>
    <row r="1877" spans="1:1" x14ac:dyDescent="0.35">
      <c r="A1877" s="5">
        <v>15</v>
      </c>
    </row>
    <row r="1878" spans="1:1" x14ac:dyDescent="0.35">
      <c r="A1878" s="4">
        <v>10</v>
      </c>
    </row>
    <row r="1879" spans="1:1" x14ac:dyDescent="0.35">
      <c r="A1879" s="5">
        <v>0</v>
      </c>
    </row>
    <row r="1880" spans="1:1" x14ac:dyDescent="0.35">
      <c r="A1880" s="4">
        <v>0</v>
      </c>
    </row>
    <row r="1881" spans="1:1" x14ac:dyDescent="0.35">
      <c r="A1881" s="5">
        <v>20</v>
      </c>
    </row>
    <row r="1882" spans="1:1" x14ac:dyDescent="0.35">
      <c r="A1882" s="4">
        <v>0</v>
      </c>
    </row>
    <row r="1883" spans="1:1" x14ac:dyDescent="0.35">
      <c r="A1883" s="5">
        <v>15</v>
      </c>
    </row>
    <row r="1884" spans="1:1" x14ac:dyDescent="0.35">
      <c r="A1884" s="4">
        <v>0</v>
      </c>
    </row>
    <row r="1885" spans="1:1" x14ac:dyDescent="0.35">
      <c r="A1885" s="5">
        <v>25</v>
      </c>
    </row>
    <row r="1886" spans="1:1" x14ac:dyDescent="0.35">
      <c r="A1886" s="4">
        <v>15</v>
      </c>
    </row>
    <row r="1887" spans="1:1" x14ac:dyDescent="0.35">
      <c r="A1887" s="5">
        <v>10</v>
      </c>
    </row>
    <row r="1888" spans="1:1" x14ac:dyDescent="0.35">
      <c r="A1888" s="4">
        <v>15</v>
      </c>
    </row>
    <row r="1889" spans="1:1" x14ac:dyDescent="0.35">
      <c r="A1889" s="5">
        <v>0</v>
      </c>
    </row>
    <row r="1890" spans="1:1" x14ac:dyDescent="0.35">
      <c r="A1890" s="4">
        <v>0</v>
      </c>
    </row>
    <row r="1891" spans="1:1" x14ac:dyDescent="0.35">
      <c r="A1891" s="5">
        <v>0</v>
      </c>
    </row>
    <row r="1892" spans="1:1" x14ac:dyDescent="0.35">
      <c r="A1892" s="4">
        <v>15</v>
      </c>
    </row>
    <row r="1893" spans="1:1" x14ac:dyDescent="0.35">
      <c r="A1893" s="5">
        <v>0</v>
      </c>
    </row>
    <row r="1894" spans="1:1" x14ac:dyDescent="0.35">
      <c r="A1894" s="4">
        <v>5</v>
      </c>
    </row>
    <row r="1895" spans="1:1" x14ac:dyDescent="0.35">
      <c r="A1895" s="5">
        <v>0</v>
      </c>
    </row>
    <row r="1896" spans="1:1" x14ac:dyDescent="0.35">
      <c r="A1896" s="4">
        <v>5</v>
      </c>
    </row>
    <row r="1897" spans="1:1" x14ac:dyDescent="0.35">
      <c r="A1897" s="5">
        <v>5</v>
      </c>
    </row>
    <row r="1898" spans="1:1" x14ac:dyDescent="0.35">
      <c r="A1898" s="4">
        <v>10</v>
      </c>
    </row>
    <row r="1899" spans="1:1" x14ac:dyDescent="0.35">
      <c r="A1899" s="5">
        <v>15</v>
      </c>
    </row>
    <row r="1900" spans="1:1" x14ac:dyDescent="0.35">
      <c r="A1900" s="4">
        <v>5</v>
      </c>
    </row>
    <row r="1901" spans="1:1" x14ac:dyDescent="0.35">
      <c r="A1901" s="5">
        <v>0</v>
      </c>
    </row>
    <row r="1902" spans="1:1" x14ac:dyDescent="0.35">
      <c r="A1902" s="4">
        <v>15</v>
      </c>
    </row>
    <row r="1903" spans="1:1" x14ac:dyDescent="0.35">
      <c r="A1903" s="5">
        <v>0</v>
      </c>
    </row>
    <row r="1904" spans="1:1" x14ac:dyDescent="0.35">
      <c r="A1904" s="4">
        <v>20</v>
      </c>
    </row>
    <row r="1905" spans="1:1" x14ac:dyDescent="0.35">
      <c r="A1905" s="5">
        <v>0</v>
      </c>
    </row>
    <row r="1906" spans="1:1" x14ac:dyDescent="0.35">
      <c r="A1906" s="4">
        <v>15</v>
      </c>
    </row>
    <row r="1907" spans="1:1" x14ac:dyDescent="0.35">
      <c r="A1907" s="5">
        <v>5</v>
      </c>
    </row>
    <row r="1908" spans="1:1" x14ac:dyDescent="0.35">
      <c r="A1908" s="4">
        <v>5</v>
      </c>
    </row>
    <row r="1909" spans="1:1" x14ac:dyDescent="0.35">
      <c r="A1909" s="5">
        <v>0</v>
      </c>
    </row>
    <row r="1910" spans="1:1" x14ac:dyDescent="0.35">
      <c r="A1910" s="4">
        <v>5</v>
      </c>
    </row>
    <row r="1911" spans="1:1" x14ac:dyDescent="0.35">
      <c r="A1911" s="5">
        <v>5</v>
      </c>
    </row>
    <row r="1912" spans="1:1" x14ac:dyDescent="0.35">
      <c r="A1912" s="4">
        <v>30</v>
      </c>
    </row>
    <row r="1913" spans="1:1" x14ac:dyDescent="0.35">
      <c r="A1913" s="5">
        <v>5</v>
      </c>
    </row>
    <row r="1914" spans="1:1" x14ac:dyDescent="0.35">
      <c r="A1914" s="4">
        <v>15</v>
      </c>
    </row>
    <row r="1915" spans="1:1" x14ac:dyDescent="0.35">
      <c r="A1915" s="5">
        <v>10</v>
      </c>
    </row>
    <row r="1916" spans="1:1" x14ac:dyDescent="0.35">
      <c r="A1916" s="4">
        <v>30</v>
      </c>
    </row>
    <row r="1917" spans="1:1" x14ac:dyDescent="0.35">
      <c r="A1917" s="5">
        <v>5</v>
      </c>
    </row>
    <row r="1918" spans="1:1" x14ac:dyDescent="0.35">
      <c r="A1918" s="4">
        <v>0</v>
      </c>
    </row>
    <row r="1919" spans="1:1" x14ac:dyDescent="0.35">
      <c r="A1919" s="5">
        <v>5</v>
      </c>
    </row>
    <row r="1920" spans="1:1" x14ac:dyDescent="0.35">
      <c r="A1920" s="4">
        <v>5</v>
      </c>
    </row>
    <row r="1921" spans="1:1" x14ac:dyDescent="0.35">
      <c r="A1921" s="5">
        <v>10</v>
      </c>
    </row>
    <row r="1922" spans="1:1" x14ac:dyDescent="0.35">
      <c r="A1922" s="4">
        <v>5</v>
      </c>
    </row>
    <row r="1923" spans="1:1" x14ac:dyDescent="0.35">
      <c r="A1923" s="5">
        <v>5</v>
      </c>
    </row>
    <row r="1924" spans="1:1" x14ac:dyDescent="0.35">
      <c r="A1924" s="4">
        <v>10</v>
      </c>
    </row>
    <row r="1925" spans="1:1" x14ac:dyDescent="0.35">
      <c r="A1925" s="5">
        <v>15</v>
      </c>
    </row>
    <row r="1926" spans="1:1" x14ac:dyDescent="0.35">
      <c r="A1926" s="4">
        <v>10</v>
      </c>
    </row>
    <row r="1927" spans="1:1" x14ac:dyDescent="0.35">
      <c r="A1927" s="5">
        <v>15</v>
      </c>
    </row>
    <row r="1928" spans="1:1" x14ac:dyDescent="0.35">
      <c r="A1928" s="4">
        <v>10</v>
      </c>
    </row>
    <row r="1929" spans="1:1" x14ac:dyDescent="0.35">
      <c r="A1929" s="5">
        <v>0</v>
      </c>
    </row>
    <row r="1930" spans="1:1" x14ac:dyDescent="0.35">
      <c r="A1930" s="4">
        <v>5</v>
      </c>
    </row>
    <row r="1931" spans="1:1" x14ac:dyDescent="0.35">
      <c r="A1931" s="5">
        <v>10</v>
      </c>
    </row>
    <row r="1932" spans="1:1" x14ac:dyDescent="0.35">
      <c r="A1932" s="4">
        <v>10</v>
      </c>
    </row>
    <row r="1933" spans="1:1" x14ac:dyDescent="0.35">
      <c r="A1933" s="5">
        <v>5</v>
      </c>
    </row>
    <row r="1934" spans="1:1" x14ac:dyDescent="0.35">
      <c r="A1934" s="4">
        <v>0</v>
      </c>
    </row>
    <row r="1935" spans="1:1" x14ac:dyDescent="0.35">
      <c r="A1935" s="5">
        <v>5</v>
      </c>
    </row>
    <row r="1936" spans="1:1" x14ac:dyDescent="0.35">
      <c r="A1936" s="4">
        <v>10</v>
      </c>
    </row>
    <row r="1937" spans="1:1" x14ac:dyDescent="0.35">
      <c r="A1937" s="5">
        <v>10</v>
      </c>
    </row>
    <row r="1938" spans="1:1" x14ac:dyDescent="0.35">
      <c r="A1938" s="4">
        <v>15</v>
      </c>
    </row>
    <row r="1939" spans="1:1" x14ac:dyDescent="0.35">
      <c r="A1939" s="5">
        <v>15</v>
      </c>
    </row>
    <row r="1940" spans="1:1" x14ac:dyDescent="0.35">
      <c r="A1940" s="4">
        <v>5</v>
      </c>
    </row>
    <row r="1941" spans="1:1" x14ac:dyDescent="0.35">
      <c r="A1941" s="5">
        <v>10</v>
      </c>
    </row>
    <row r="1942" spans="1:1" x14ac:dyDescent="0.35">
      <c r="A1942" s="4">
        <v>10</v>
      </c>
    </row>
    <row r="1943" spans="1:1" x14ac:dyDescent="0.35">
      <c r="A1943" s="5">
        <v>10</v>
      </c>
    </row>
    <row r="1944" spans="1:1" x14ac:dyDescent="0.35">
      <c r="A1944" s="4">
        <v>5</v>
      </c>
    </row>
    <row r="1945" spans="1:1" x14ac:dyDescent="0.35">
      <c r="A1945" s="5">
        <v>0</v>
      </c>
    </row>
    <row r="1946" spans="1:1" x14ac:dyDescent="0.35">
      <c r="A1946" s="4">
        <v>0</v>
      </c>
    </row>
    <row r="1947" spans="1:1" x14ac:dyDescent="0.35">
      <c r="A1947" s="5">
        <v>15</v>
      </c>
    </row>
    <row r="1948" spans="1:1" x14ac:dyDescent="0.35">
      <c r="A1948" s="4">
        <v>0</v>
      </c>
    </row>
    <row r="1949" spans="1:1" x14ac:dyDescent="0.35">
      <c r="A1949" s="5">
        <v>5</v>
      </c>
    </row>
    <row r="1950" spans="1:1" x14ac:dyDescent="0.35">
      <c r="A1950" s="4">
        <v>10</v>
      </c>
    </row>
    <row r="1951" spans="1:1" x14ac:dyDescent="0.35">
      <c r="A1951" s="5">
        <v>10</v>
      </c>
    </row>
    <row r="1952" spans="1:1" x14ac:dyDescent="0.35">
      <c r="A1952" s="4">
        <v>0</v>
      </c>
    </row>
    <row r="1953" spans="1:1" x14ac:dyDescent="0.35">
      <c r="A1953" s="5">
        <v>0</v>
      </c>
    </row>
    <row r="1954" spans="1:1" x14ac:dyDescent="0.35">
      <c r="A1954" s="4">
        <v>20</v>
      </c>
    </row>
    <row r="1955" spans="1:1" x14ac:dyDescent="0.35">
      <c r="A1955" s="5">
        <v>15</v>
      </c>
    </row>
    <row r="1956" spans="1:1" x14ac:dyDescent="0.35">
      <c r="A1956" s="4">
        <v>10</v>
      </c>
    </row>
    <row r="1957" spans="1:1" x14ac:dyDescent="0.35">
      <c r="A1957" s="5">
        <v>0</v>
      </c>
    </row>
    <row r="1958" spans="1:1" x14ac:dyDescent="0.35">
      <c r="A1958" s="4">
        <v>5</v>
      </c>
    </row>
    <row r="1959" spans="1:1" x14ac:dyDescent="0.35">
      <c r="A1959" s="5">
        <v>5</v>
      </c>
    </row>
    <row r="1960" spans="1:1" x14ac:dyDescent="0.35">
      <c r="A1960" s="4">
        <v>5</v>
      </c>
    </row>
    <row r="1961" spans="1:1" x14ac:dyDescent="0.35">
      <c r="A1961" s="5">
        <v>25</v>
      </c>
    </row>
    <row r="1962" spans="1:1" x14ac:dyDescent="0.35">
      <c r="A1962" s="4">
        <v>0</v>
      </c>
    </row>
    <row r="1963" spans="1:1" x14ac:dyDescent="0.35">
      <c r="A1963" s="5">
        <v>20</v>
      </c>
    </row>
    <row r="1964" spans="1:1" x14ac:dyDescent="0.35">
      <c r="A1964" s="4">
        <v>25</v>
      </c>
    </row>
    <row r="1965" spans="1:1" x14ac:dyDescent="0.35">
      <c r="A1965" s="5">
        <v>0</v>
      </c>
    </row>
    <row r="1966" spans="1:1" x14ac:dyDescent="0.35">
      <c r="A1966" s="4">
        <v>20</v>
      </c>
    </row>
    <row r="1967" spans="1:1" x14ac:dyDescent="0.35">
      <c r="A1967" s="5">
        <v>0</v>
      </c>
    </row>
    <row r="1968" spans="1:1" x14ac:dyDescent="0.35">
      <c r="A1968" s="4">
        <v>15</v>
      </c>
    </row>
    <row r="1969" spans="1:1" x14ac:dyDescent="0.35">
      <c r="A1969" s="5">
        <v>0</v>
      </c>
    </row>
    <row r="1970" spans="1:1" x14ac:dyDescent="0.35">
      <c r="A1970" s="4">
        <v>10</v>
      </c>
    </row>
    <row r="1971" spans="1:1" x14ac:dyDescent="0.35">
      <c r="A1971" s="5">
        <v>0</v>
      </c>
    </row>
    <row r="1972" spans="1:1" x14ac:dyDescent="0.35">
      <c r="A1972" s="4">
        <v>10</v>
      </c>
    </row>
    <row r="1973" spans="1:1" x14ac:dyDescent="0.35">
      <c r="A1973" s="5">
        <v>0</v>
      </c>
    </row>
    <row r="1974" spans="1:1" x14ac:dyDescent="0.35">
      <c r="A1974" s="4">
        <v>0</v>
      </c>
    </row>
    <row r="1975" spans="1:1" x14ac:dyDescent="0.35">
      <c r="A1975" s="5">
        <v>0</v>
      </c>
    </row>
    <row r="1976" spans="1:1" x14ac:dyDescent="0.35">
      <c r="A1976" s="4">
        <v>10</v>
      </c>
    </row>
    <row r="1977" spans="1:1" x14ac:dyDescent="0.35">
      <c r="A1977" s="5">
        <v>5</v>
      </c>
    </row>
    <row r="1978" spans="1:1" x14ac:dyDescent="0.35">
      <c r="A1978" s="4">
        <v>20</v>
      </c>
    </row>
    <row r="1979" spans="1:1" x14ac:dyDescent="0.35">
      <c r="A1979" s="5">
        <v>20</v>
      </c>
    </row>
    <row r="1980" spans="1:1" x14ac:dyDescent="0.35">
      <c r="A1980" s="4">
        <v>15</v>
      </c>
    </row>
    <row r="1981" spans="1:1" x14ac:dyDescent="0.35">
      <c r="A1981" s="5">
        <v>0</v>
      </c>
    </row>
    <row r="1982" spans="1:1" x14ac:dyDescent="0.35">
      <c r="A1982" s="4">
        <v>15</v>
      </c>
    </row>
    <row r="1983" spans="1:1" x14ac:dyDescent="0.35">
      <c r="A1983" s="5">
        <v>15</v>
      </c>
    </row>
    <row r="1984" spans="1:1" x14ac:dyDescent="0.35">
      <c r="A1984" s="4">
        <v>15</v>
      </c>
    </row>
    <row r="1985" spans="1:1" x14ac:dyDescent="0.35">
      <c r="A1985" s="5">
        <v>15</v>
      </c>
    </row>
    <row r="1986" spans="1:1" x14ac:dyDescent="0.35">
      <c r="A1986" s="4">
        <v>0</v>
      </c>
    </row>
    <row r="1987" spans="1:1" x14ac:dyDescent="0.35">
      <c r="A1987" s="5">
        <v>15</v>
      </c>
    </row>
    <row r="1988" spans="1:1" x14ac:dyDescent="0.35">
      <c r="A1988" s="4">
        <v>10</v>
      </c>
    </row>
    <row r="1989" spans="1:1" x14ac:dyDescent="0.35">
      <c r="A1989" s="5">
        <v>5</v>
      </c>
    </row>
    <row r="1990" spans="1:1" x14ac:dyDescent="0.35">
      <c r="A1990" s="4">
        <v>15</v>
      </c>
    </row>
    <row r="1991" spans="1:1" x14ac:dyDescent="0.35">
      <c r="A1991" s="5">
        <v>5</v>
      </c>
    </row>
    <row r="1992" spans="1:1" x14ac:dyDescent="0.35">
      <c r="A1992" s="4">
        <v>10</v>
      </c>
    </row>
    <row r="1993" spans="1:1" x14ac:dyDescent="0.35">
      <c r="A1993" s="5">
        <v>20</v>
      </c>
    </row>
    <row r="1994" spans="1:1" x14ac:dyDescent="0.35">
      <c r="A1994" s="4">
        <v>5</v>
      </c>
    </row>
    <row r="1995" spans="1:1" x14ac:dyDescent="0.35">
      <c r="A1995" s="5">
        <v>10</v>
      </c>
    </row>
    <row r="1996" spans="1:1" x14ac:dyDescent="0.35">
      <c r="A1996" s="4">
        <v>10</v>
      </c>
    </row>
    <row r="1997" spans="1:1" x14ac:dyDescent="0.35">
      <c r="A1997" s="5">
        <v>0</v>
      </c>
    </row>
    <row r="1998" spans="1:1" x14ac:dyDescent="0.35">
      <c r="A1998" s="4">
        <v>5</v>
      </c>
    </row>
    <row r="1999" spans="1:1" x14ac:dyDescent="0.35">
      <c r="A1999" s="5">
        <v>15</v>
      </c>
    </row>
    <row r="2000" spans="1:1" x14ac:dyDescent="0.35">
      <c r="A2000" s="4">
        <v>5</v>
      </c>
    </row>
    <row r="2001" spans="1:1" x14ac:dyDescent="0.35">
      <c r="A2001" s="5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04"/>
  <sheetViews>
    <sheetView topLeftCell="A2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15" t="s">
        <v>3628</v>
      </c>
      <c r="B3" t="s">
        <v>3631</v>
      </c>
    </row>
    <row r="4" spans="1:2" x14ac:dyDescent="0.35">
      <c r="A4" s="16" t="s">
        <v>779</v>
      </c>
      <c r="B4" s="23">
        <v>3.56</v>
      </c>
    </row>
    <row r="5" spans="1:2" x14ac:dyDescent="0.35">
      <c r="A5" s="16" t="s">
        <v>2884</v>
      </c>
      <c r="B5" s="23">
        <v>40.130000000000003</v>
      </c>
    </row>
    <row r="6" spans="1:2" x14ac:dyDescent="0.35">
      <c r="A6" s="16" t="s">
        <v>704</v>
      </c>
      <c r="B6" s="23">
        <v>24.98</v>
      </c>
    </row>
    <row r="7" spans="1:2" x14ac:dyDescent="0.35">
      <c r="A7" s="16" t="s">
        <v>1454</v>
      </c>
      <c r="B7" s="23">
        <v>413.7</v>
      </c>
    </row>
    <row r="8" spans="1:2" x14ac:dyDescent="0.35">
      <c r="A8" s="16" t="s">
        <v>1528</v>
      </c>
      <c r="B8" s="23">
        <v>-0.01</v>
      </c>
    </row>
    <row r="9" spans="1:2" x14ac:dyDescent="0.35">
      <c r="A9" s="16" t="s">
        <v>1650</v>
      </c>
      <c r="B9" s="23">
        <v>-0.71</v>
      </c>
    </row>
    <row r="10" spans="1:2" x14ac:dyDescent="0.35">
      <c r="A10" s="16" t="s">
        <v>1108</v>
      </c>
      <c r="B10" s="23">
        <v>139.12</v>
      </c>
    </row>
    <row r="11" spans="1:2" x14ac:dyDescent="0.35">
      <c r="A11" s="16" t="s">
        <v>691</v>
      </c>
      <c r="B11" s="23">
        <v>-3.55</v>
      </c>
    </row>
    <row r="12" spans="1:2" x14ac:dyDescent="0.35">
      <c r="A12" s="16" t="s">
        <v>880</v>
      </c>
      <c r="B12" s="23">
        <v>37.46</v>
      </c>
    </row>
    <row r="13" spans="1:2" x14ac:dyDescent="0.35">
      <c r="A13" s="16" t="s">
        <v>1378</v>
      </c>
      <c r="B13" s="23">
        <v>174.52</v>
      </c>
    </row>
    <row r="14" spans="1:2" x14ac:dyDescent="0.35">
      <c r="A14" s="16" t="s">
        <v>2168</v>
      </c>
      <c r="B14" s="23">
        <v>646.52</v>
      </c>
    </row>
    <row r="15" spans="1:2" x14ac:dyDescent="0.35">
      <c r="A15" s="16" t="s">
        <v>1897</v>
      </c>
      <c r="B15" s="23">
        <v>11.46</v>
      </c>
    </row>
    <row r="16" spans="1:2" x14ac:dyDescent="0.35">
      <c r="A16" s="16" t="s">
        <v>3504</v>
      </c>
      <c r="B16" s="23">
        <v>60</v>
      </c>
    </row>
    <row r="17" spans="1:2" x14ac:dyDescent="0.35">
      <c r="A17" s="16" t="s">
        <v>2345</v>
      </c>
      <c r="B17" s="23">
        <v>79.67</v>
      </c>
    </row>
    <row r="18" spans="1:2" x14ac:dyDescent="0.35">
      <c r="A18" s="16" t="s">
        <v>719</v>
      </c>
      <c r="B18" s="23">
        <v>9.14</v>
      </c>
    </row>
    <row r="19" spans="1:2" x14ac:dyDescent="0.35">
      <c r="A19" s="16" t="s">
        <v>1788</v>
      </c>
      <c r="B19" s="23">
        <v>91.6</v>
      </c>
    </row>
    <row r="20" spans="1:2" x14ac:dyDescent="0.35">
      <c r="A20" s="16" t="s">
        <v>158</v>
      </c>
      <c r="B20" s="23">
        <v>14.57</v>
      </c>
    </row>
    <row r="21" spans="1:2" x14ac:dyDescent="0.35">
      <c r="A21" s="16" t="s">
        <v>2010</v>
      </c>
      <c r="B21" s="23">
        <v>83.79</v>
      </c>
    </row>
    <row r="22" spans="1:2" x14ac:dyDescent="0.35">
      <c r="A22" s="16" t="s">
        <v>3411</v>
      </c>
      <c r="B22" s="23">
        <v>43.58</v>
      </c>
    </row>
    <row r="23" spans="1:2" x14ac:dyDescent="0.35">
      <c r="A23" s="16" t="s">
        <v>353</v>
      </c>
      <c r="B23" s="23">
        <v>58.02</v>
      </c>
    </row>
    <row r="24" spans="1:2" x14ac:dyDescent="0.35">
      <c r="A24" s="16" t="s">
        <v>2227</v>
      </c>
      <c r="B24" s="23">
        <v>20.95</v>
      </c>
    </row>
    <row r="25" spans="1:2" x14ac:dyDescent="0.35">
      <c r="A25" s="16" t="s">
        <v>2576</v>
      </c>
      <c r="B25" s="23">
        <v>45.17</v>
      </c>
    </row>
    <row r="26" spans="1:2" x14ac:dyDescent="0.35">
      <c r="A26" s="16" t="s">
        <v>889</v>
      </c>
      <c r="B26" s="23">
        <v>-1.95</v>
      </c>
    </row>
    <row r="27" spans="1:2" x14ac:dyDescent="0.35">
      <c r="A27" s="16" t="s">
        <v>705</v>
      </c>
      <c r="B27" s="23">
        <v>-11.28</v>
      </c>
    </row>
    <row r="28" spans="1:2" x14ac:dyDescent="0.35">
      <c r="A28" s="16" t="s">
        <v>574</v>
      </c>
      <c r="B28" s="23">
        <v>74.59</v>
      </c>
    </row>
    <row r="29" spans="1:2" x14ac:dyDescent="0.35">
      <c r="A29" s="16" t="s">
        <v>2521</v>
      </c>
      <c r="B29" s="23">
        <v>23.67</v>
      </c>
    </row>
    <row r="30" spans="1:2" x14ac:dyDescent="0.35">
      <c r="A30" s="16" t="s">
        <v>2829</v>
      </c>
      <c r="B30" s="23">
        <v>40.92</v>
      </c>
    </row>
    <row r="31" spans="1:2" x14ac:dyDescent="0.35">
      <c r="A31" s="16" t="s">
        <v>3202</v>
      </c>
      <c r="B31" s="23">
        <v>43.54</v>
      </c>
    </row>
    <row r="32" spans="1:2" x14ac:dyDescent="0.35">
      <c r="A32" s="16" t="s">
        <v>2491</v>
      </c>
      <c r="B32" s="23">
        <v>29.08</v>
      </c>
    </row>
    <row r="33" spans="1:2" x14ac:dyDescent="0.35">
      <c r="A33" s="16" t="s">
        <v>830</v>
      </c>
      <c r="B33" s="23">
        <v>1.08</v>
      </c>
    </row>
    <row r="34" spans="1:2" x14ac:dyDescent="0.35">
      <c r="A34" s="16" t="s">
        <v>1479</v>
      </c>
      <c r="B34" s="23">
        <v>105.1</v>
      </c>
    </row>
    <row r="35" spans="1:2" x14ac:dyDescent="0.35">
      <c r="A35" s="16" t="s">
        <v>1452</v>
      </c>
      <c r="B35" s="23">
        <v>29.66</v>
      </c>
    </row>
    <row r="36" spans="1:2" x14ac:dyDescent="0.35">
      <c r="A36" s="16" t="s">
        <v>3033</v>
      </c>
      <c r="B36" s="23">
        <v>106.32</v>
      </c>
    </row>
    <row r="37" spans="1:2" x14ac:dyDescent="0.35">
      <c r="A37" s="16" t="s">
        <v>1703</v>
      </c>
      <c r="B37" s="23">
        <v>-4.3899999999999997</v>
      </c>
    </row>
    <row r="38" spans="1:2" x14ac:dyDescent="0.35">
      <c r="A38" s="16" t="s">
        <v>2647</v>
      </c>
      <c r="B38" s="23">
        <v>389.06</v>
      </c>
    </row>
    <row r="39" spans="1:2" x14ac:dyDescent="0.35">
      <c r="A39" s="16" t="s">
        <v>3132</v>
      </c>
      <c r="B39" s="23">
        <v>185.39</v>
      </c>
    </row>
    <row r="40" spans="1:2" x14ac:dyDescent="0.35">
      <c r="A40" s="16" t="s">
        <v>3225</v>
      </c>
      <c r="B40" s="23">
        <v>101.45</v>
      </c>
    </row>
    <row r="41" spans="1:2" x14ac:dyDescent="0.35">
      <c r="A41" s="16" t="s">
        <v>2266</v>
      </c>
      <c r="B41" s="23">
        <v>2.5099999999999998</v>
      </c>
    </row>
    <row r="42" spans="1:2" x14ac:dyDescent="0.35">
      <c r="A42" s="16" t="s">
        <v>2889</v>
      </c>
      <c r="B42" s="23">
        <v>16.38</v>
      </c>
    </row>
    <row r="43" spans="1:2" x14ac:dyDescent="0.35">
      <c r="A43" s="16" t="s">
        <v>1580</v>
      </c>
      <c r="B43" s="23">
        <v>-0.76</v>
      </c>
    </row>
    <row r="44" spans="1:2" x14ac:dyDescent="0.35">
      <c r="A44" s="16" t="s">
        <v>1210</v>
      </c>
      <c r="B44" s="23">
        <v>13.45</v>
      </c>
    </row>
    <row r="45" spans="1:2" x14ac:dyDescent="0.35">
      <c r="A45" s="16" t="s">
        <v>634</v>
      </c>
      <c r="B45" s="23">
        <v>89.26</v>
      </c>
    </row>
    <row r="46" spans="1:2" x14ac:dyDescent="0.35">
      <c r="A46" s="16" t="s">
        <v>1174</v>
      </c>
      <c r="B46" s="23">
        <v>61.48</v>
      </c>
    </row>
    <row r="47" spans="1:2" x14ac:dyDescent="0.35">
      <c r="A47" s="16" t="s">
        <v>1236</v>
      </c>
      <c r="B47" s="23">
        <v>129.05000000000001</v>
      </c>
    </row>
    <row r="48" spans="1:2" x14ac:dyDescent="0.35">
      <c r="A48" s="16" t="s">
        <v>773</v>
      </c>
      <c r="B48" s="23">
        <v>-3.63</v>
      </c>
    </row>
    <row r="49" spans="1:2" x14ac:dyDescent="0.35">
      <c r="A49" s="16" t="s">
        <v>2423</v>
      </c>
      <c r="B49" s="23">
        <v>7.76</v>
      </c>
    </row>
    <row r="50" spans="1:2" x14ac:dyDescent="0.35">
      <c r="A50" s="16" t="s">
        <v>3278</v>
      </c>
      <c r="B50" s="23">
        <v>85.2</v>
      </c>
    </row>
    <row r="51" spans="1:2" x14ac:dyDescent="0.35">
      <c r="A51" s="16" t="s">
        <v>2389</v>
      </c>
      <c r="B51" s="23">
        <v>2.09</v>
      </c>
    </row>
    <row r="52" spans="1:2" x14ac:dyDescent="0.35">
      <c r="A52" s="16" t="s">
        <v>1744</v>
      </c>
      <c r="B52" s="23">
        <v>-7.15</v>
      </c>
    </row>
    <row r="53" spans="1:2" x14ac:dyDescent="0.35">
      <c r="A53" s="16" t="s">
        <v>2163</v>
      </c>
      <c r="B53" s="23">
        <v>7.37</v>
      </c>
    </row>
    <row r="54" spans="1:2" x14ac:dyDescent="0.35">
      <c r="A54" s="16" t="s">
        <v>1455</v>
      </c>
      <c r="B54" s="23">
        <v>10.47</v>
      </c>
    </row>
    <row r="55" spans="1:2" x14ac:dyDescent="0.35">
      <c r="A55" s="16" t="s">
        <v>1382</v>
      </c>
      <c r="B55" s="23">
        <v>22.87</v>
      </c>
    </row>
    <row r="56" spans="1:2" x14ac:dyDescent="0.35">
      <c r="A56" s="16" t="s">
        <v>3246</v>
      </c>
      <c r="B56" s="23">
        <v>87.13</v>
      </c>
    </row>
    <row r="57" spans="1:2" x14ac:dyDescent="0.35">
      <c r="A57" s="16" t="s">
        <v>1151</v>
      </c>
      <c r="B57" s="23">
        <v>1.89</v>
      </c>
    </row>
    <row r="58" spans="1:2" x14ac:dyDescent="0.35">
      <c r="A58" s="16" t="s">
        <v>2087</v>
      </c>
      <c r="B58" s="23">
        <v>36.78</v>
      </c>
    </row>
    <row r="59" spans="1:2" x14ac:dyDescent="0.35">
      <c r="A59" s="16" t="s">
        <v>1737</v>
      </c>
      <c r="B59" s="23">
        <v>11.65</v>
      </c>
    </row>
    <row r="60" spans="1:2" x14ac:dyDescent="0.35">
      <c r="A60" s="16" t="s">
        <v>1689</v>
      </c>
      <c r="B60" s="23">
        <v>274.69</v>
      </c>
    </row>
    <row r="61" spans="1:2" x14ac:dyDescent="0.35">
      <c r="A61" s="16" t="s">
        <v>2030</v>
      </c>
      <c r="B61" s="23">
        <v>266.81</v>
      </c>
    </row>
    <row r="62" spans="1:2" x14ac:dyDescent="0.35">
      <c r="A62" s="16" t="s">
        <v>1806</v>
      </c>
      <c r="B62" s="23">
        <v>346.19</v>
      </c>
    </row>
    <row r="63" spans="1:2" x14ac:dyDescent="0.35">
      <c r="A63" s="16" t="s">
        <v>3513</v>
      </c>
      <c r="B63" s="23">
        <v>-7.68</v>
      </c>
    </row>
    <row r="64" spans="1:2" x14ac:dyDescent="0.35">
      <c r="A64" s="16" t="s">
        <v>2343</v>
      </c>
      <c r="B64" s="23">
        <v>460.6</v>
      </c>
    </row>
    <row r="65" spans="1:2" x14ac:dyDescent="0.35">
      <c r="A65" s="16" t="s">
        <v>3489</v>
      </c>
      <c r="B65" s="23">
        <v>139.03</v>
      </c>
    </row>
    <row r="66" spans="1:2" x14ac:dyDescent="0.35">
      <c r="A66" s="16" t="s">
        <v>1006</v>
      </c>
      <c r="B66" s="23">
        <v>78.28</v>
      </c>
    </row>
    <row r="67" spans="1:2" x14ac:dyDescent="0.35">
      <c r="A67" s="16" t="s">
        <v>1614</v>
      </c>
      <c r="B67" s="23">
        <v>2.4300000000000002</v>
      </c>
    </row>
    <row r="68" spans="1:2" x14ac:dyDescent="0.35">
      <c r="A68" s="16" t="s">
        <v>3137</v>
      </c>
      <c r="B68" s="23">
        <v>-2.73</v>
      </c>
    </row>
    <row r="69" spans="1:2" x14ac:dyDescent="0.35">
      <c r="A69" s="16" t="s">
        <v>1994</v>
      </c>
      <c r="B69" s="23">
        <v>10.7</v>
      </c>
    </row>
    <row r="70" spans="1:2" x14ac:dyDescent="0.35">
      <c r="A70" s="16" t="s">
        <v>1440</v>
      </c>
      <c r="B70" s="23">
        <v>65.58</v>
      </c>
    </row>
    <row r="71" spans="1:2" x14ac:dyDescent="0.35">
      <c r="A71" s="16" t="s">
        <v>3366</v>
      </c>
      <c r="B71" s="23">
        <v>21.09</v>
      </c>
    </row>
    <row r="72" spans="1:2" x14ac:dyDescent="0.35">
      <c r="A72" s="16" t="s">
        <v>572</v>
      </c>
      <c r="B72" s="23">
        <v>27.81</v>
      </c>
    </row>
    <row r="73" spans="1:2" x14ac:dyDescent="0.35">
      <c r="A73" s="16" t="s">
        <v>332</v>
      </c>
      <c r="B73" s="23">
        <v>247.62</v>
      </c>
    </row>
    <row r="74" spans="1:2" x14ac:dyDescent="0.35">
      <c r="A74" s="16" t="s">
        <v>414</v>
      </c>
      <c r="B74" s="23">
        <v>194.02</v>
      </c>
    </row>
    <row r="75" spans="1:2" x14ac:dyDescent="0.35">
      <c r="A75" s="16" t="s">
        <v>1742</v>
      </c>
      <c r="B75" s="23">
        <v>51.43</v>
      </c>
    </row>
    <row r="76" spans="1:2" x14ac:dyDescent="0.35">
      <c r="A76" s="16" t="s">
        <v>2445</v>
      </c>
      <c r="B76" s="23">
        <v>50.5</v>
      </c>
    </row>
    <row r="77" spans="1:2" x14ac:dyDescent="0.35">
      <c r="A77" s="16" t="s">
        <v>2531</v>
      </c>
      <c r="B77" s="23">
        <v>63.26</v>
      </c>
    </row>
    <row r="78" spans="1:2" x14ac:dyDescent="0.35">
      <c r="A78" s="16" t="s">
        <v>1660</v>
      </c>
      <c r="B78" s="23">
        <v>-8.26</v>
      </c>
    </row>
    <row r="79" spans="1:2" x14ac:dyDescent="0.35">
      <c r="A79" s="16" t="s">
        <v>2176</v>
      </c>
      <c r="B79" s="23">
        <v>34.64</v>
      </c>
    </row>
    <row r="80" spans="1:2" x14ac:dyDescent="0.35">
      <c r="A80" s="16" t="s">
        <v>3593</v>
      </c>
      <c r="B80" s="23">
        <v>25.41</v>
      </c>
    </row>
    <row r="81" spans="1:2" x14ac:dyDescent="0.35">
      <c r="A81" s="16" t="s">
        <v>1625</v>
      </c>
      <c r="B81" s="23">
        <v>155.03</v>
      </c>
    </row>
    <row r="82" spans="1:2" x14ac:dyDescent="0.35">
      <c r="A82" s="16" t="s">
        <v>2630</v>
      </c>
      <c r="B82" s="23">
        <v>48.33</v>
      </c>
    </row>
    <row r="83" spans="1:2" x14ac:dyDescent="0.35">
      <c r="A83" s="16" t="s">
        <v>2802</v>
      </c>
      <c r="B83" s="23">
        <v>178.79</v>
      </c>
    </row>
    <row r="84" spans="1:2" x14ac:dyDescent="0.35">
      <c r="A84" s="16" t="s">
        <v>2876</v>
      </c>
      <c r="B84" s="23">
        <v>13.51</v>
      </c>
    </row>
    <row r="85" spans="1:2" x14ac:dyDescent="0.35">
      <c r="A85" s="16" t="s">
        <v>1708</v>
      </c>
      <c r="B85" s="23">
        <v>25.94</v>
      </c>
    </row>
    <row r="86" spans="1:2" x14ac:dyDescent="0.35">
      <c r="A86" s="16" t="s">
        <v>699</v>
      </c>
      <c r="B86" s="23">
        <v>-2.67</v>
      </c>
    </row>
    <row r="87" spans="1:2" x14ac:dyDescent="0.35">
      <c r="A87" s="16" t="s">
        <v>1570</v>
      </c>
      <c r="B87" s="23">
        <v>50.19</v>
      </c>
    </row>
    <row r="88" spans="1:2" x14ac:dyDescent="0.35">
      <c r="A88" s="16" t="s">
        <v>1014</v>
      </c>
      <c r="B88" s="23">
        <v>47.2</v>
      </c>
    </row>
    <row r="89" spans="1:2" x14ac:dyDescent="0.35">
      <c r="A89" s="16" t="s">
        <v>3475</v>
      </c>
      <c r="B89" s="23">
        <v>19.149999999999999</v>
      </c>
    </row>
    <row r="90" spans="1:2" x14ac:dyDescent="0.35">
      <c r="A90" s="16" t="s">
        <v>2739</v>
      </c>
      <c r="B90" s="23">
        <v>701.93</v>
      </c>
    </row>
    <row r="91" spans="1:2" x14ac:dyDescent="0.35">
      <c r="A91" s="16" t="s">
        <v>2300</v>
      </c>
      <c r="B91" s="23">
        <v>67.88</v>
      </c>
    </row>
    <row r="92" spans="1:2" x14ac:dyDescent="0.35">
      <c r="A92" s="16" t="s">
        <v>3109</v>
      </c>
      <c r="B92" s="23">
        <v>132.69999999999999</v>
      </c>
    </row>
    <row r="93" spans="1:2" x14ac:dyDescent="0.35">
      <c r="A93" s="16" t="s">
        <v>737</v>
      </c>
      <c r="B93" s="23">
        <v>15.76</v>
      </c>
    </row>
    <row r="94" spans="1:2" x14ac:dyDescent="0.35">
      <c r="A94" s="16" t="s">
        <v>444</v>
      </c>
      <c r="B94" s="23">
        <v>14.94</v>
      </c>
    </row>
    <row r="95" spans="1:2" x14ac:dyDescent="0.35">
      <c r="A95" s="16" t="s">
        <v>1629</v>
      </c>
      <c r="B95" s="23">
        <v>52.95</v>
      </c>
    </row>
    <row r="96" spans="1:2" x14ac:dyDescent="0.35">
      <c r="A96" s="16" t="s">
        <v>2412</v>
      </c>
      <c r="B96" s="23">
        <v>179.52</v>
      </c>
    </row>
    <row r="97" spans="1:2" x14ac:dyDescent="0.35">
      <c r="A97" s="16" t="s">
        <v>3112</v>
      </c>
      <c r="B97" s="23">
        <v>0.33</v>
      </c>
    </row>
    <row r="98" spans="1:2" x14ac:dyDescent="0.35">
      <c r="A98" s="16" t="s">
        <v>1951</v>
      </c>
      <c r="B98" s="23">
        <v>125.37</v>
      </c>
    </row>
    <row r="99" spans="1:2" x14ac:dyDescent="0.35">
      <c r="A99" s="16" t="s">
        <v>3568</v>
      </c>
      <c r="B99" s="23">
        <v>57.64</v>
      </c>
    </row>
    <row r="100" spans="1:2" x14ac:dyDescent="0.35">
      <c r="A100" s="16" t="s">
        <v>3380</v>
      </c>
      <c r="B100" s="23">
        <v>1.04</v>
      </c>
    </row>
    <row r="101" spans="1:2" x14ac:dyDescent="0.35">
      <c r="A101" s="16" t="s">
        <v>202</v>
      </c>
      <c r="B101" s="23">
        <v>54.76</v>
      </c>
    </row>
    <row r="102" spans="1:2" x14ac:dyDescent="0.35">
      <c r="A102" s="16" t="s">
        <v>3368</v>
      </c>
      <c r="B102" s="23">
        <v>-2.68</v>
      </c>
    </row>
    <row r="103" spans="1:2" x14ac:dyDescent="0.35">
      <c r="A103" s="16" t="s">
        <v>1462</v>
      </c>
      <c r="B103" s="23">
        <v>25.88</v>
      </c>
    </row>
    <row r="104" spans="1:2" x14ac:dyDescent="0.35">
      <c r="A104" s="16" t="s">
        <v>3082</v>
      </c>
      <c r="B104" s="23">
        <v>53.86</v>
      </c>
    </row>
    <row r="105" spans="1:2" x14ac:dyDescent="0.35">
      <c r="A105" s="16" t="s">
        <v>478</v>
      </c>
      <c r="B105" s="23">
        <v>128.75</v>
      </c>
    </row>
    <row r="106" spans="1:2" x14ac:dyDescent="0.35">
      <c r="A106" s="16" t="s">
        <v>365</v>
      </c>
      <c r="B106" s="23">
        <v>23.83</v>
      </c>
    </row>
    <row r="107" spans="1:2" x14ac:dyDescent="0.35">
      <c r="A107" s="16" t="s">
        <v>1784</v>
      </c>
      <c r="B107" s="23">
        <v>0.14000000000000001</v>
      </c>
    </row>
    <row r="108" spans="1:2" x14ac:dyDescent="0.35">
      <c r="A108" s="16" t="s">
        <v>521</v>
      </c>
      <c r="B108" s="23">
        <v>26.11</v>
      </c>
    </row>
    <row r="109" spans="1:2" x14ac:dyDescent="0.35">
      <c r="A109" s="16" t="s">
        <v>2184</v>
      </c>
      <c r="B109" s="23">
        <v>36.53</v>
      </c>
    </row>
    <row r="110" spans="1:2" x14ac:dyDescent="0.35">
      <c r="A110" s="16" t="s">
        <v>713</v>
      </c>
      <c r="B110" s="23">
        <v>-6.11</v>
      </c>
    </row>
    <row r="111" spans="1:2" x14ac:dyDescent="0.35">
      <c r="A111" s="16" t="s">
        <v>2077</v>
      </c>
      <c r="B111" s="23">
        <v>44.8</v>
      </c>
    </row>
    <row r="112" spans="1:2" x14ac:dyDescent="0.35">
      <c r="A112" s="16" t="s">
        <v>1257</v>
      </c>
      <c r="B112" s="23">
        <v>22.41</v>
      </c>
    </row>
    <row r="113" spans="1:2" x14ac:dyDescent="0.35">
      <c r="A113" s="16" t="s">
        <v>1464</v>
      </c>
      <c r="B113" s="23">
        <v>20.350000000000001</v>
      </c>
    </row>
    <row r="114" spans="1:2" x14ac:dyDescent="0.35">
      <c r="A114" s="16" t="s">
        <v>3258</v>
      </c>
      <c r="B114" s="23">
        <v>31.68</v>
      </c>
    </row>
    <row r="115" spans="1:2" x14ac:dyDescent="0.35">
      <c r="A115" s="16" t="s">
        <v>700</v>
      </c>
      <c r="B115" s="23">
        <v>74.05</v>
      </c>
    </row>
    <row r="116" spans="1:2" x14ac:dyDescent="0.35">
      <c r="A116" s="16" t="s">
        <v>276</v>
      </c>
      <c r="B116" s="23">
        <v>27.71</v>
      </c>
    </row>
    <row r="117" spans="1:2" x14ac:dyDescent="0.35">
      <c r="A117" s="16" t="s">
        <v>620</v>
      </c>
      <c r="B117" s="23">
        <v>131.02000000000001</v>
      </c>
    </row>
    <row r="118" spans="1:2" x14ac:dyDescent="0.35">
      <c r="A118" s="16" t="s">
        <v>3142</v>
      </c>
      <c r="B118" s="23">
        <v>13.96</v>
      </c>
    </row>
    <row r="119" spans="1:2" x14ac:dyDescent="0.35">
      <c r="A119" s="16" t="s">
        <v>1426</v>
      </c>
      <c r="B119" s="23">
        <v>23.33</v>
      </c>
    </row>
    <row r="120" spans="1:2" x14ac:dyDescent="0.35">
      <c r="A120" s="16" t="s">
        <v>1836</v>
      </c>
      <c r="B120" s="23">
        <v>4.25</v>
      </c>
    </row>
    <row r="121" spans="1:2" x14ac:dyDescent="0.35">
      <c r="A121" s="16" t="s">
        <v>3183</v>
      </c>
      <c r="B121" s="23">
        <v>120.46</v>
      </c>
    </row>
    <row r="122" spans="1:2" x14ac:dyDescent="0.35">
      <c r="A122" s="16" t="s">
        <v>2225</v>
      </c>
      <c r="B122" s="23">
        <v>36.81</v>
      </c>
    </row>
    <row r="123" spans="1:2" x14ac:dyDescent="0.35">
      <c r="A123" s="16" t="s">
        <v>2365</v>
      </c>
      <c r="B123" s="23">
        <v>35.15</v>
      </c>
    </row>
    <row r="124" spans="1:2" x14ac:dyDescent="0.35">
      <c r="A124" s="16" t="s">
        <v>1906</v>
      </c>
      <c r="B124" s="23">
        <v>8.83</v>
      </c>
    </row>
    <row r="125" spans="1:2" x14ac:dyDescent="0.35">
      <c r="A125" s="16" t="s">
        <v>2940</v>
      </c>
      <c r="B125" s="23">
        <v>1.18</v>
      </c>
    </row>
    <row r="126" spans="1:2" x14ac:dyDescent="0.35">
      <c r="A126" s="16" t="s">
        <v>2773</v>
      </c>
      <c r="B126" s="23">
        <v>45.96</v>
      </c>
    </row>
    <row r="127" spans="1:2" x14ac:dyDescent="0.35">
      <c r="A127" s="16" t="s">
        <v>310</v>
      </c>
      <c r="B127" s="23">
        <v>12.09</v>
      </c>
    </row>
    <row r="128" spans="1:2" x14ac:dyDescent="0.35">
      <c r="A128" s="16" t="s">
        <v>3392</v>
      </c>
      <c r="B128" s="23">
        <v>47.71</v>
      </c>
    </row>
    <row r="129" spans="1:2" x14ac:dyDescent="0.35">
      <c r="A129" s="16" t="s">
        <v>1329</v>
      </c>
      <c r="B129" s="23">
        <v>90.91</v>
      </c>
    </row>
    <row r="130" spans="1:2" x14ac:dyDescent="0.35">
      <c r="A130" s="16" t="s">
        <v>1343</v>
      </c>
      <c r="B130" s="23">
        <v>34.01</v>
      </c>
    </row>
    <row r="131" spans="1:2" x14ac:dyDescent="0.35">
      <c r="A131" s="16" t="s">
        <v>998</v>
      </c>
      <c r="B131" s="23">
        <v>-5.24</v>
      </c>
    </row>
    <row r="132" spans="1:2" x14ac:dyDescent="0.35">
      <c r="A132" s="16" t="s">
        <v>562</v>
      </c>
      <c r="B132" s="23">
        <v>77.25</v>
      </c>
    </row>
    <row r="133" spans="1:2" x14ac:dyDescent="0.35">
      <c r="A133" s="16" t="s">
        <v>3511</v>
      </c>
      <c r="B133" s="23">
        <v>57.16</v>
      </c>
    </row>
    <row r="134" spans="1:2" x14ac:dyDescent="0.35">
      <c r="A134" s="16" t="s">
        <v>1965</v>
      </c>
      <c r="B134" s="23">
        <v>33.67</v>
      </c>
    </row>
    <row r="135" spans="1:2" x14ac:dyDescent="0.35">
      <c r="A135" s="16" t="s">
        <v>367</v>
      </c>
      <c r="B135" s="23">
        <v>464.29</v>
      </c>
    </row>
    <row r="136" spans="1:2" x14ac:dyDescent="0.35">
      <c r="A136" s="16" t="s">
        <v>3268</v>
      </c>
      <c r="B136" s="23">
        <v>9.56</v>
      </c>
    </row>
    <row r="137" spans="1:2" x14ac:dyDescent="0.35">
      <c r="A137" s="16" t="s">
        <v>2447</v>
      </c>
      <c r="B137" s="23">
        <v>58.19</v>
      </c>
    </row>
    <row r="138" spans="1:2" x14ac:dyDescent="0.35">
      <c r="A138" s="16" t="s">
        <v>2865</v>
      </c>
      <c r="B138" s="23">
        <v>146.47</v>
      </c>
    </row>
    <row r="139" spans="1:2" x14ac:dyDescent="0.35">
      <c r="A139" s="16" t="s">
        <v>2690</v>
      </c>
      <c r="B139" s="23">
        <v>6.68</v>
      </c>
    </row>
    <row r="140" spans="1:2" x14ac:dyDescent="0.35">
      <c r="A140" s="16" t="s">
        <v>1029</v>
      </c>
      <c r="B140" s="23">
        <v>25.22</v>
      </c>
    </row>
    <row r="141" spans="1:2" x14ac:dyDescent="0.35">
      <c r="A141" s="16" t="s">
        <v>1978</v>
      </c>
      <c r="B141" s="23">
        <v>12.81</v>
      </c>
    </row>
    <row r="142" spans="1:2" x14ac:dyDescent="0.35">
      <c r="A142" s="16" t="s">
        <v>3454</v>
      </c>
      <c r="B142" s="23">
        <v>47.6</v>
      </c>
    </row>
    <row r="143" spans="1:2" x14ac:dyDescent="0.35">
      <c r="A143" s="16" t="s">
        <v>2093</v>
      </c>
      <c r="B143" s="23">
        <v>19.510000000000002</v>
      </c>
    </row>
    <row r="144" spans="1:2" x14ac:dyDescent="0.35">
      <c r="A144" s="16" t="s">
        <v>2171</v>
      </c>
      <c r="B144" s="23">
        <v>-0.38</v>
      </c>
    </row>
    <row r="145" spans="1:2" x14ac:dyDescent="0.35">
      <c r="A145" s="16" t="s">
        <v>3577</v>
      </c>
      <c r="B145" s="23">
        <v>15.69</v>
      </c>
    </row>
    <row r="146" spans="1:2" x14ac:dyDescent="0.35">
      <c r="A146" s="16" t="s">
        <v>503</v>
      </c>
      <c r="B146" s="23">
        <v>-2.89</v>
      </c>
    </row>
    <row r="147" spans="1:2" x14ac:dyDescent="0.35">
      <c r="A147" s="16" t="s">
        <v>1896</v>
      </c>
      <c r="B147" s="23">
        <v>2.76</v>
      </c>
    </row>
    <row r="148" spans="1:2" x14ac:dyDescent="0.35">
      <c r="A148" s="16" t="s">
        <v>3254</v>
      </c>
      <c r="B148" s="23">
        <v>27.01</v>
      </c>
    </row>
    <row r="149" spans="1:2" x14ac:dyDescent="0.35">
      <c r="A149" s="16" t="s">
        <v>610</v>
      </c>
      <c r="B149" s="23">
        <v>657.16</v>
      </c>
    </row>
    <row r="150" spans="1:2" x14ac:dyDescent="0.35">
      <c r="A150" s="16" t="s">
        <v>1747</v>
      </c>
      <c r="B150" s="23">
        <v>24.09</v>
      </c>
    </row>
    <row r="151" spans="1:2" x14ac:dyDescent="0.35">
      <c r="A151" s="16" t="s">
        <v>2794</v>
      </c>
      <c r="B151" s="23">
        <v>-8.07</v>
      </c>
    </row>
    <row r="152" spans="1:2" x14ac:dyDescent="0.35">
      <c r="A152" s="16" t="s">
        <v>1352</v>
      </c>
      <c r="B152" s="23">
        <v>29.07</v>
      </c>
    </row>
    <row r="153" spans="1:2" x14ac:dyDescent="0.35">
      <c r="A153" s="16" t="s">
        <v>2377</v>
      </c>
      <c r="B153" s="23">
        <v>370.69</v>
      </c>
    </row>
    <row r="154" spans="1:2" x14ac:dyDescent="0.35">
      <c r="A154" s="16" t="s">
        <v>2379</v>
      </c>
      <c r="B154" s="23">
        <v>-1.69</v>
      </c>
    </row>
    <row r="155" spans="1:2" x14ac:dyDescent="0.35">
      <c r="A155" s="16" t="s">
        <v>1416</v>
      </c>
      <c r="B155" s="23">
        <v>47.74</v>
      </c>
    </row>
    <row r="156" spans="1:2" x14ac:dyDescent="0.35">
      <c r="A156" s="16" t="s">
        <v>912</v>
      </c>
      <c r="B156" s="23">
        <v>55.33</v>
      </c>
    </row>
    <row r="157" spans="1:2" x14ac:dyDescent="0.35">
      <c r="A157" s="16" t="s">
        <v>1587</v>
      </c>
      <c r="B157" s="23">
        <v>166.41</v>
      </c>
    </row>
    <row r="158" spans="1:2" x14ac:dyDescent="0.35">
      <c r="A158" s="16" t="s">
        <v>3564</v>
      </c>
      <c r="B158" s="23">
        <v>8.42</v>
      </c>
    </row>
    <row r="159" spans="1:2" x14ac:dyDescent="0.35">
      <c r="A159" s="16" t="s">
        <v>1518</v>
      </c>
      <c r="B159" s="23">
        <v>16.14</v>
      </c>
    </row>
    <row r="160" spans="1:2" x14ac:dyDescent="0.35">
      <c r="A160" s="16" t="s">
        <v>1843</v>
      </c>
      <c r="B160" s="23">
        <v>5.66</v>
      </c>
    </row>
    <row r="161" spans="1:2" x14ac:dyDescent="0.35">
      <c r="A161" s="16" t="s">
        <v>2891</v>
      </c>
      <c r="B161" s="23">
        <v>503.45</v>
      </c>
    </row>
    <row r="162" spans="1:2" x14ac:dyDescent="0.35">
      <c r="A162" s="16" t="s">
        <v>2686</v>
      </c>
      <c r="B162" s="23">
        <v>10.93</v>
      </c>
    </row>
    <row r="163" spans="1:2" x14ac:dyDescent="0.35">
      <c r="A163" s="16" t="s">
        <v>2451</v>
      </c>
      <c r="B163" s="23">
        <v>295.87</v>
      </c>
    </row>
    <row r="164" spans="1:2" x14ac:dyDescent="0.35">
      <c r="A164" s="16" t="s">
        <v>3068</v>
      </c>
      <c r="B164" s="23">
        <v>-0.5</v>
      </c>
    </row>
    <row r="165" spans="1:2" x14ac:dyDescent="0.35">
      <c r="A165" s="16" t="s">
        <v>2262</v>
      </c>
      <c r="B165" s="23">
        <v>1.33</v>
      </c>
    </row>
    <row r="166" spans="1:2" x14ac:dyDescent="0.35">
      <c r="A166" s="16" t="s">
        <v>2944</v>
      </c>
      <c r="B166" s="23">
        <v>60.66</v>
      </c>
    </row>
    <row r="167" spans="1:2" x14ac:dyDescent="0.35">
      <c r="A167" s="16" t="s">
        <v>3214</v>
      </c>
      <c r="B167" s="23">
        <v>90.6</v>
      </c>
    </row>
    <row r="168" spans="1:2" x14ac:dyDescent="0.35">
      <c r="A168" s="16" t="s">
        <v>1508</v>
      </c>
      <c r="B168" s="23">
        <v>10.83</v>
      </c>
    </row>
    <row r="169" spans="1:2" x14ac:dyDescent="0.35">
      <c r="A169" s="16" t="s">
        <v>3249</v>
      </c>
      <c r="B169" s="23">
        <v>155.44</v>
      </c>
    </row>
    <row r="170" spans="1:2" x14ac:dyDescent="0.35">
      <c r="A170" s="16" t="s">
        <v>1732</v>
      </c>
      <c r="B170" s="23">
        <v>-4.43</v>
      </c>
    </row>
    <row r="171" spans="1:2" x14ac:dyDescent="0.35">
      <c r="A171" s="16" t="s">
        <v>2267</v>
      </c>
      <c r="B171" s="23">
        <v>-1.8</v>
      </c>
    </row>
    <row r="172" spans="1:2" x14ac:dyDescent="0.35">
      <c r="A172" s="16" t="s">
        <v>1770</v>
      </c>
      <c r="B172" s="23">
        <v>14.19</v>
      </c>
    </row>
    <row r="173" spans="1:2" x14ac:dyDescent="0.35">
      <c r="A173" s="16" t="s">
        <v>3314</v>
      </c>
      <c r="B173" s="23">
        <v>667.79</v>
      </c>
    </row>
    <row r="174" spans="1:2" x14ac:dyDescent="0.35">
      <c r="A174" s="16" t="s">
        <v>1664</v>
      </c>
      <c r="B174" s="23">
        <v>14.28</v>
      </c>
    </row>
    <row r="175" spans="1:2" x14ac:dyDescent="0.35">
      <c r="A175" s="16" t="s">
        <v>2823</v>
      </c>
      <c r="B175" s="23">
        <v>200.48</v>
      </c>
    </row>
    <row r="176" spans="1:2" x14ac:dyDescent="0.35">
      <c r="A176" s="16" t="s">
        <v>3554</v>
      </c>
      <c r="B176" s="23">
        <v>95.27</v>
      </c>
    </row>
    <row r="177" spans="1:2" x14ac:dyDescent="0.35">
      <c r="A177" s="16" t="s">
        <v>2102</v>
      </c>
      <c r="B177" s="23">
        <v>18.28</v>
      </c>
    </row>
    <row r="178" spans="1:2" x14ac:dyDescent="0.35">
      <c r="A178" s="16" t="s">
        <v>3396</v>
      </c>
      <c r="B178" s="23">
        <v>103.04</v>
      </c>
    </row>
    <row r="179" spans="1:2" x14ac:dyDescent="0.35">
      <c r="A179" s="16" t="s">
        <v>420</v>
      </c>
      <c r="B179" s="23">
        <v>109.12</v>
      </c>
    </row>
    <row r="180" spans="1:2" x14ac:dyDescent="0.35">
      <c r="A180" s="16" t="s">
        <v>592</v>
      </c>
      <c r="B180" s="23">
        <v>34.32</v>
      </c>
    </row>
    <row r="181" spans="1:2" x14ac:dyDescent="0.35">
      <c r="A181" s="16" t="s">
        <v>2453</v>
      </c>
      <c r="B181" s="23">
        <v>2.08</v>
      </c>
    </row>
    <row r="182" spans="1:2" x14ac:dyDescent="0.35">
      <c r="A182" s="16" t="s">
        <v>3328</v>
      </c>
      <c r="B182" s="23">
        <v>101.71</v>
      </c>
    </row>
    <row r="183" spans="1:2" x14ac:dyDescent="0.35">
      <c r="A183" s="16" t="s">
        <v>1180</v>
      </c>
      <c r="B183" s="23">
        <v>124.82</v>
      </c>
    </row>
    <row r="184" spans="1:2" x14ac:dyDescent="0.35">
      <c r="A184" s="16" t="s">
        <v>2964</v>
      </c>
      <c r="B184" s="23">
        <v>19.739999999999998</v>
      </c>
    </row>
    <row r="185" spans="1:2" x14ac:dyDescent="0.35">
      <c r="A185" s="16" t="s">
        <v>652</v>
      </c>
      <c r="B185" s="23">
        <v>101.55</v>
      </c>
    </row>
    <row r="186" spans="1:2" x14ac:dyDescent="0.35">
      <c r="A186" s="16" t="s">
        <v>1282</v>
      </c>
      <c r="B186" s="23">
        <v>248.72</v>
      </c>
    </row>
    <row r="187" spans="1:2" x14ac:dyDescent="0.35">
      <c r="A187" s="16" t="s">
        <v>2136</v>
      </c>
      <c r="B187" s="23">
        <v>29.97</v>
      </c>
    </row>
    <row r="188" spans="1:2" x14ac:dyDescent="0.35">
      <c r="A188" s="16" t="s">
        <v>3251</v>
      </c>
      <c r="B188" s="23">
        <v>163.09</v>
      </c>
    </row>
    <row r="189" spans="1:2" x14ac:dyDescent="0.35">
      <c r="A189" s="16" t="s">
        <v>3579</v>
      </c>
      <c r="B189" s="23">
        <v>134.01</v>
      </c>
    </row>
    <row r="190" spans="1:2" x14ac:dyDescent="0.35">
      <c r="A190" s="16" t="s">
        <v>2804</v>
      </c>
      <c r="B190" s="23">
        <v>-6.98</v>
      </c>
    </row>
    <row r="191" spans="1:2" x14ac:dyDescent="0.35">
      <c r="A191" s="16" t="s">
        <v>3612</v>
      </c>
      <c r="B191" s="23">
        <v>338.84</v>
      </c>
    </row>
    <row r="192" spans="1:2" x14ac:dyDescent="0.35">
      <c r="A192" s="16" t="s">
        <v>1265</v>
      </c>
      <c r="B192" s="23">
        <v>9.3800000000000008</v>
      </c>
    </row>
    <row r="193" spans="1:2" x14ac:dyDescent="0.35">
      <c r="A193" s="16" t="s">
        <v>3514</v>
      </c>
      <c r="B193" s="23">
        <v>1.1499999999999999</v>
      </c>
    </row>
    <row r="194" spans="1:2" x14ac:dyDescent="0.35">
      <c r="A194" s="16" t="s">
        <v>2847</v>
      </c>
      <c r="B194" s="23">
        <v>98.99</v>
      </c>
    </row>
    <row r="195" spans="1:2" x14ac:dyDescent="0.35">
      <c r="A195" s="16" t="s">
        <v>3099</v>
      </c>
      <c r="B195" s="23">
        <v>32.200000000000003</v>
      </c>
    </row>
    <row r="196" spans="1:2" x14ac:dyDescent="0.35">
      <c r="A196" s="16" t="s">
        <v>2351</v>
      </c>
      <c r="B196" s="23">
        <v>-1.61</v>
      </c>
    </row>
    <row r="197" spans="1:2" x14ac:dyDescent="0.35">
      <c r="A197" s="16" t="s">
        <v>2950</v>
      </c>
      <c r="B197" s="23">
        <v>106.85</v>
      </c>
    </row>
    <row r="198" spans="1:2" x14ac:dyDescent="0.35">
      <c r="A198" s="16" t="s">
        <v>3319</v>
      </c>
      <c r="B198" s="23">
        <v>38.46</v>
      </c>
    </row>
    <row r="199" spans="1:2" x14ac:dyDescent="0.35">
      <c r="A199" s="16" t="s">
        <v>1031</v>
      </c>
      <c r="B199" s="23">
        <v>20.45</v>
      </c>
    </row>
    <row r="200" spans="1:2" x14ac:dyDescent="0.35">
      <c r="A200" s="16" t="s">
        <v>1334</v>
      </c>
      <c r="B200" s="23">
        <v>-3.98</v>
      </c>
    </row>
    <row r="201" spans="1:2" x14ac:dyDescent="0.35">
      <c r="A201" s="16" t="s">
        <v>2805</v>
      </c>
      <c r="B201" s="23">
        <v>-0.17</v>
      </c>
    </row>
    <row r="202" spans="1:2" x14ac:dyDescent="0.35">
      <c r="A202" s="16" t="s">
        <v>1293</v>
      </c>
      <c r="B202" s="23">
        <v>33</v>
      </c>
    </row>
    <row r="203" spans="1:2" x14ac:dyDescent="0.35">
      <c r="A203" s="16" t="s">
        <v>3028</v>
      </c>
      <c r="B203" s="23">
        <v>155.69</v>
      </c>
    </row>
    <row r="204" spans="1:2" x14ac:dyDescent="0.35">
      <c r="A204" s="16" t="s">
        <v>900</v>
      </c>
      <c r="B204" s="23">
        <v>-7.92</v>
      </c>
    </row>
    <row r="205" spans="1:2" x14ac:dyDescent="0.35">
      <c r="A205" s="16" t="s">
        <v>488</v>
      </c>
      <c r="B205" s="23">
        <v>4.45</v>
      </c>
    </row>
    <row r="206" spans="1:2" x14ac:dyDescent="0.35">
      <c r="A206" s="16" t="s">
        <v>1047</v>
      </c>
      <c r="B206" s="23">
        <v>272.54000000000002</v>
      </c>
    </row>
    <row r="207" spans="1:2" x14ac:dyDescent="0.35">
      <c r="A207" s="16" t="s">
        <v>3321</v>
      </c>
      <c r="B207" s="23">
        <v>89.67</v>
      </c>
    </row>
    <row r="208" spans="1:2" x14ac:dyDescent="0.35">
      <c r="A208" s="16" t="s">
        <v>3123</v>
      </c>
      <c r="B208" s="23">
        <v>72.7</v>
      </c>
    </row>
    <row r="209" spans="1:2" x14ac:dyDescent="0.35">
      <c r="A209" s="16" t="s">
        <v>2952</v>
      </c>
      <c r="B209" s="23">
        <v>59.82</v>
      </c>
    </row>
    <row r="210" spans="1:2" x14ac:dyDescent="0.35">
      <c r="A210" s="16" t="s">
        <v>416</v>
      </c>
      <c r="B210" s="23">
        <v>54.62</v>
      </c>
    </row>
    <row r="211" spans="1:2" x14ac:dyDescent="0.35">
      <c r="A211" s="16" t="s">
        <v>2118</v>
      </c>
      <c r="B211" s="23">
        <v>47.9</v>
      </c>
    </row>
    <row r="212" spans="1:2" x14ac:dyDescent="0.35">
      <c r="A212" s="16" t="s">
        <v>2954</v>
      </c>
      <c r="B212" s="23">
        <v>-3.59</v>
      </c>
    </row>
    <row r="213" spans="1:2" x14ac:dyDescent="0.35">
      <c r="A213" s="16" t="s">
        <v>1016</v>
      </c>
      <c r="B213" s="23">
        <v>273.61</v>
      </c>
    </row>
    <row r="214" spans="1:2" x14ac:dyDescent="0.35">
      <c r="A214" s="16" t="s">
        <v>1110</v>
      </c>
      <c r="B214" s="23">
        <v>4.6900000000000004</v>
      </c>
    </row>
    <row r="215" spans="1:2" x14ac:dyDescent="0.35">
      <c r="A215" s="16" t="s">
        <v>660</v>
      </c>
      <c r="B215" s="23">
        <v>39.840000000000003</v>
      </c>
    </row>
    <row r="216" spans="1:2" x14ac:dyDescent="0.35">
      <c r="A216" s="16" t="s">
        <v>2005</v>
      </c>
      <c r="B216" s="23">
        <v>33.68</v>
      </c>
    </row>
    <row r="217" spans="1:2" x14ac:dyDescent="0.35">
      <c r="A217" s="16" t="s">
        <v>3360</v>
      </c>
      <c r="B217" s="23">
        <v>132.07</v>
      </c>
    </row>
    <row r="218" spans="1:2" x14ac:dyDescent="0.35">
      <c r="A218" s="16" t="s">
        <v>2554</v>
      </c>
      <c r="B218" s="23">
        <v>138.19</v>
      </c>
    </row>
    <row r="219" spans="1:2" x14ac:dyDescent="0.35">
      <c r="A219" s="16" t="s">
        <v>3405</v>
      </c>
      <c r="B219" s="23">
        <v>-3</v>
      </c>
    </row>
    <row r="220" spans="1:2" x14ac:dyDescent="0.35">
      <c r="A220" s="16" t="s">
        <v>2319</v>
      </c>
      <c r="B220" s="23">
        <v>46.31</v>
      </c>
    </row>
    <row r="221" spans="1:2" x14ac:dyDescent="0.35">
      <c r="A221" s="16" t="s">
        <v>1355</v>
      </c>
      <c r="B221" s="23">
        <v>2.35</v>
      </c>
    </row>
    <row r="222" spans="1:2" x14ac:dyDescent="0.35">
      <c r="A222" s="16" t="s">
        <v>904</v>
      </c>
      <c r="B222" s="23">
        <v>2.65</v>
      </c>
    </row>
    <row r="223" spans="1:2" x14ac:dyDescent="0.35">
      <c r="A223" s="16" t="s">
        <v>1278</v>
      </c>
      <c r="B223" s="23">
        <v>129.69999999999999</v>
      </c>
    </row>
    <row r="224" spans="1:2" x14ac:dyDescent="0.35">
      <c r="A224" s="16" t="s">
        <v>3206</v>
      </c>
      <c r="B224" s="23">
        <v>314.14</v>
      </c>
    </row>
    <row r="225" spans="1:2" x14ac:dyDescent="0.35">
      <c r="A225" s="16" t="s">
        <v>1943</v>
      </c>
      <c r="B225" s="23">
        <v>44.26</v>
      </c>
    </row>
    <row r="226" spans="1:2" x14ac:dyDescent="0.35">
      <c r="A226" s="16" t="s">
        <v>2188</v>
      </c>
      <c r="B226" s="23">
        <v>38.44</v>
      </c>
    </row>
    <row r="227" spans="1:2" x14ac:dyDescent="0.35">
      <c r="A227" s="16" t="s">
        <v>1767</v>
      </c>
      <c r="B227" s="23">
        <v>11.85</v>
      </c>
    </row>
    <row r="228" spans="1:2" x14ac:dyDescent="0.35">
      <c r="A228" s="16" t="s">
        <v>789</v>
      </c>
      <c r="B228" s="23">
        <v>142.02000000000001</v>
      </c>
    </row>
    <row r="229" spans="1:2" x14ac:dyDescent="0.35">
      <c r="A229" s="16" t="s">
        <v>3152</v>
      </c>
      <c r="B229" s="23">
        <v>47.98</v>
      </c>
    </row>
    <row r="230" spans="1:2" x14ac:dyDescent="0.35">
      <c r="A230" s="16" t="s">
        <v>1869</v>
      </c>
      <c r="B230" s="23">
        <v>128.02000000000001</v>
      </c>
    </row>
    <row r="231" spans="1:2" x14ac:dyDescent="0.35">
      <c r="A231" s="16" t="s">
        <v>806</v>
      </c>
      <c r="B231" s="23">
        <v>1.46</v>
      </c>
    </row>
    <row r="232" spans="1:2" x14ac:dyDescent="0.35">
      <c r="A232" s="16" t="s">
        <v>2138</v>
      </c>
      <c r="B232" s="23">
        <v>80.63</v>
      </c>
    </row>
    <row r="233" spans="1:2" x14ac:dyDescent="0.35">
      <c r="A233" s="16" t="s">
        <v>1345</v>
      </c>
      <c r="B233" s="23">
        <v>60.05</v>
      </c>
    </row>
    <row r="234" spans="1:2" x14ac:dyDescent="0.35">
      <c r="A234" s="16" t="s">
        <v>1003</v>
      </c>
      <c r="B234" s="23">
        <v>43.4</v>
      </c>
    </row>
    <row r="235" spans="1:2" x14ac:dyDescent="0.35">
      <c r="A235" s="16" t="s">
        <v>3056</v>
      </c>
      <c r="B235" s="23">
        <v>167.66</v>
      </c>
    </row>
    <row r="236" spans="1:2" x14ac:dyDescent="0.35">
      <c r="A236" s="16" t="s">
        <v>286</v>
      </c>
      <c r="B236" s="23">
        <v>-1.41</v>
      </c>
    </row>
    <row r="237" spans="1:2" x14ac:dyDescent="0.35">
      <c r="A237" s="16" t="s">
        <v>3252</v>
      </c>
      <c r="B237" s="23">
        <v>54.94</v>
      </c>
    </row>
    <row r="238" spans="1:2" x14ac:dyDescent="0.35">
      <c r="A238" s="16" t="s">
        <v>3279</v>
      </c>
      <c r="B238" s="23">
        <v>50.38</v>
      </c>
    </row>
    <row r="239" spans="1:2" x14ac:dyDescent="0.35">
      <c r="A239" s="16" t="s">
        <v>1677</v>
      </c>
      <c r="B239" s="23">
        <v>3.87</v>
      </c>
    </row>
    <row r="240" spans="1:2" x14ac:dyDescent="0.35">
      <c r="A240" s="16" t="s">
        <v>1338</v>
      </c>
      <c r="B240" s="23">
        <v>38.020000000000003</v>
      </c>
    </row>
    <row r="241" spans="1:2" x14ac:dyDescent="0.35">
      <c r="A241" s="16" t="s">
        <v>3343</v>
      </c>
      <c r="B241" s="23">
        <v>35.090000000000003</v>
      </c>
    </row>
    <row r="242" spans="1:2" x14ac:dyDescent="0.35">
      <c r="A242" s="16" t="s">
        <v>2418</v>
      </c>
      <c r="B242" s="23">
        <v>-2.66</v>
      </c>
    </row>
    <row r="243" spans="1:2" x14ac:dyDescent="0.35">
      <c r="A243" s="16" t="s">
        <v>765</v>
      </c>
      <c r="B243" s="23">
        <v>-7.85</v>
      </c>
    </row>
    <row r="244" spans="1:2" x14ac:dyDescent="0.35">
      <c r="A244" s="16" t="s">
        <v>2515</v>
      </c>
      <c r="B244" s="23">
        <v>17.37</v>
      </c>
    </row>
    <row r="245" spans="1:2" x14ac:dyDescent="0.35">
      <c r="A245" s="16" t="s">
        <v>312</v>
      </c>
      <c r="B245" s="23">
        <v>26.59</v>
      </c>
    </row>
    <row r="246" spans="1:2" x14ac:dyDescent="0.35">
      <c r="A246" s="16" t="s">
        <v>2387</v>
      </c>
      <c r="B246" s="23">
        <v>37.840000000000003</v>
      </c>
    </row>
    <row r="247" spans="1:2" x14ac:dyDescent="0.35">
      <c r="A247" s="16" t="s">
        <v>2835</v>
      </c>
      <c r="B247" s="23">
        <v>70.73</v>
      </c>
    </row>
    <row r="248" spans="1:2" x14ac:dyDescent="0.35">
      <c r="A248" s="16" t="s">
        <v>2072</v>
      </c>
      <c r="B248" s="23">
        <v>55.29</v>
      </c>
    </row>
    <row r="249" spans="1:2" x14ac:dyDescent="0.35">
      <c r="A249" s="16" t="s">
        <v>301</v>
      </c>
      <c r="B249" s="23">
        <v>0.3</v>
      </c>
    </row>
    <row r="250" spans="1:2" x14ac:dyDescent="0.35">
      <c r="A250" s="16" t="s">
        <v>2687</v>
      </c>
      <c r="B250" s="23">
        <v>1.44</v>
      </c>
    </row>
    <row r="251" spans="1:2" x14ac:dyDescent="0.35">
      <c r="A251" s="16" t="s">
        <v>2058</v>
      </c>
      <c r="B251" s="23">
        <v>43.51</v>
      </c>
    </row>
    <row r="252" spans="1:2" x14ac:dyDescent="0.35">
      <c r="A252" s="16" t="s">
        <v>2578</v>
      </c>
      <c r="B252" s="23">
        <v>11.68</v>
      </c>
    </row>
    <row r="253" spans="1:2" x14ac:dyDescent="0.35">
      <c r="A253" s="16" t="s">
        <v>1639</v>
      </c>
      <c r="B253" s="23">
        <v>-2.87</v>
      </c>
    </row>
    <row r="254" spans="1:2" x14ac:dyDescent="0.35">
      <c r="A254" s="16" t="s">
        <v>3409</v>
      </c>
      <c r="B254" s="23">
        <v>28.94</v>
      </c>
    </row>
    <row r="255" spans="1:2" x14ac:dyDescent="0.35">
      <c r="A255" s="16" t="s">
        <v>376</v>
      </c>
      <c r="B255" s="23">
        <v>70.42</v>
      </c>
    </row>
    <row r="256" spans="1:2" x14ac:dyDescent="0.35">
      <c r="A256" s="16" t="s">
        <v>1967</v>
      </c>
      <c r="B256" s="23">
        <v>583.04</v>
      </c>
    </row>
    <row r="257" spans="1:2" x14ac:dyDescent="0.35">
      <c r="A257" s="16" t="s">
        <v>808</v>
      </c>
      <c r="B257" s="23">
        <v>12.48</v>
      </c>
    </row>
    <row r="258" spans="1:2" x14ac:dyDescent="0.35">
      <c r="A258" s="16" t="s">
        <v>2750</v>
      </c>
      <c r="B258" s="23">
        <v>20.04</v>
      </c>
    </row>
    <row r="259" spans="1:2" x14ac:dyDescent="0.35">
      <c r="A259" s="16" t="s">
        <v>220</v>
      </c>
      <c r="B259" s="23">
        <v>-0.4</v>
      </c>
    </row>
    <row r="260" spans="1:2" x14ac:dyDescent="0.35">
      <c r="A260" s="16" t="s">
        <v>1923</v>
      </c>
      <c r="B260" s="23">
        <v>-0.69</v>
      </c>
    </row>
    <row r="261" spans="1:2" x14ac:dyDescent="0.35">
      <c r="A261" s="16" t="s">
        <v>2192</v>
      </c>
      <c r="B261" s="23">
        <v>3.23</v>
      </c>
    </row>
    <row r="262" spans="1:2" x14ac:dyDescent="0.35">
      <c r="A262" s="16" t="s">
        <v>2536</v>
      </c>
      <c r="B262" s="23">
        <v>74.23</v>
      </c>
    </row>
    <row r="263" spans="1:2" x14ac:dyDescent="0.35">
      <c r="A263" s="16" t="s">
        <v>2486</v>
      </c>
      <c r="B263" s="23">
        <v>80.569999999999993</v>
      </c>
    </row>
    <row r="264" spans="1:2" x14ac:dyDescent="0.35">
      <c r="A264" s="16" t="s">
        <v>1925</v>
      </c>
      <c r="B264" s="23">
        <v>9.1</v>
      </c>
    </row>
    <row r="265" spans="1:2" x14ac:dyDescent="0.35">
      <c r="A265" s="16" t="s">
        <v>2159</v>
      </c>
      <c r="B265" s="23">
        <v>-1.04</v>
      </c>
    </row>
    <row r="266" spans="1:2" x14ac:dyDescent="0.35">
      <c r="A266" s="16" t="s">
        <v>1992</v>
      </c>
      <c r="B266" s="23">
        <v>37.049999999999997</v>
      </c>
    </row>
    <row r="267" spans="1:2" x14ac:dyDescent="0.35">
      <c r="A267" s="16" t="s">
        <v>2758</v>
      </c>
      <c r="B267" s="23">
        <v>6.24</v>
      </c>
    </row>
    <row r="268" spans="1:2" x14ac:dyDescent="0.35">
      <c r="A268" s="16" t="s">
        <v>1444</v>
      </c>
      <c r="B268" s="23">
        <v>7.14</v>
      </c>
    </row>
    <row r="269" spans="1:2" x14ac:dyDescent="0.35">
      <c r="A269" s="16" t="s">
        <v>741</v>
      </c>
      <c r="B269" s="23">
        <v>13.02</v>
      </c>
    </row>
    <row r="270" spans="1:2" x14ac:dyDescent="0.35">
      <c r="A270" s="16" t="s">
        <v>2893</v>
      </c>
      <c r="B270" s="23">
        <v>6.72</v>
      </c>
    </row>
    <row r="271" spans="1:2" x14ac:dyDescent="0.35">
      <c r="A271" s="16" t="s">
        <v>3587</v>
      </c>
      <c r="B271" s="23">
        <v>47.69</v>
      </c>
    </row>
    <row r="272" spans="1:2" x14ac:dyDescent="0.35">
      <c r="A272" s="16" t="s">
        <v>3302</v>
      </c>
      <c r="B272" s="23">
        <v>26.44</v>
      </c>
    </row>
    <row r="273" spans="1:2" x14ac:dyDescent="0.35">
      <c r="A273" s="16" t="s">
        <v>2985</v>
      </c>
      <c r="B273" s="23">
        <v>2.34</v>
      </c>
    </row>
    <row r="274" spans="1:2" x14ac:dyDescent="0.35">
      <c r="A274" s="16" t="s">
        <v>74</v>
      </c>
      <c r="B274" s="23">
        <v>8.9499999999999993</v>
      </c>
    </row>
    <row r="275" spans="1:2" x14ac:dyDescent="0.35">
      <c r="A275" s="16" t="s">
        <v>3555</v>
      </c>
      <c r="B275" s="23">
        <v>251.41</v>
      </c>
    </row>
    <row r="276" spans="1:2" x14ac:dyDescent="0.35">
      <c r="A276" s="16" t="s">
        <v>1544</v>
      </c>
      <c r="B276" s="23">
        <v>-1.65</v>
      </c>
    </row>
    <row r="277" spans="1:2" x14ac:dyDescent="0.35">
      <c r="A277" s="16" t="s">
        <v>426</v>
      </c>
      <c r="B277" s="23">
        <v>-5.95</v>
      </c>
    </row>
    <row r="278" spans="1:2" x14ac:dyDescent="0.35">
      <c r="A278" s="16" t="s">
        <v>1932</v>
      </c>
      <c r="B278" s="23">
        <v>24.36</v>
      </c>
    </row>
    <row r="279" spans="1:2" x14ac:dyDescent="0.35">
      <c r="A279" s="16" t="s">
        <v>3546</v>
      </c>
      <c r="B279" s="23">
        <v>38.659999999999997</v>
      </c>
    </row>
    <row r="280" spans="1:2" x14ac:dyDescent="0.35">
      <c r="A280" s="16" t="s">
        <v>848</v>
      </c>
      <c r="B280" s="23">
        <v>3.16</v>
      </c>
    </row>
    <row r="281" spans="1:2" x14ac:dyDescent="0.35">
      <c r="A281" s="16" t="s">
        <v>1892</v>
      </c>
      <c r="B281" s="23">
        <v>512.22</v>
      </c>
    </row>
    <row r="282" spans="1:2" x14ac:dyDescent="0.35">
      <c r="A282" s="16" t="s">
        <v>113</v>
      </c>
      <c r="B282" s="23">
        <v>7.71</v>
      </c>
    </row>
    <row r="283" spans="1:2" x14ac:dyDescent="0.35">
      <c r="A283" s="16" t="s">
        <v>3134</v>
      </c>
      <c r="B283" s="23">
        <v>59.57</v>
      </c>
    </row>
    <row r="284" spans="1:2" x14ac:dyDescent="0.35">
      <c r="A284" s="16" t="s">
        <v>791</v>
      </c>
      <c r="B284" s="23">
        <v>59.93</v>
      </c>
    </row>
    <row r="285" spans="1:2" x14ac:dyDescent="0.35">
      <c r="A285" s="16" t="s">
        <v>3269</v>
      </c>
      <c r="B285" s="23">
        <v>49.76</v>
      </c>
    </row>
    <row r="286" spans="1:2" x14ac:dyDescent="0.35">
      <c r="A286" s="16" t="s">
        <v>729</v>
      </c>
      <c r="B286" s="23">
        <v>184.13</v>
      </c>
    </row>
    <row r="287" spans="1:2" x14ac:dyDescent="0.35">
      <c r="A287" s="16" t="s">
        <v>3369</v>
      </c>
      <c r="B287" s="23">
        <v>44.7</v>
      </c>
    </row>
    <row r="288" spans="1:2" x14ac:dyDescent="0.35">
      <c r="A288" s="16" t="s">
        <v>3073</v>
      </c>
      <c r="B288" s="23">
        <v>10.130000000000001</v>
      </c>
    </row>
    <row r="289" spans="1:2" x14ac:dyDescent="0.35">
      <c r="A289" s="16" t="s">
        <v>2140</v>
      </c>
      <c r="B289" s="23">
        <v>2.64</v>
      </c>
    </row>
    <row r="290" spans="1:2" x14ac:dyDescent="0.35">
      <c r="A290" s="16" t="s">
        <v>3212</v>
      </c>
      <c r="B290" s="23">
        <v>-2.96</v>
      </c>
    </row>
    <row r="291" spans="1:2" x14ac:dyDescent="0.35">
      <c r="A291" s="16" t="s">
        <v>1240</v>
      </c>
      <c r="B291" s="23">
        <v>139.01</v>
      </c>
    </row>
    <row r="292" spans="1:2" x14ac:dyDescent="0.35">
      <c r="A292" s="16" t="s">
        <v>2838</v>
      </c>
      <c r="B292" s="23">
        <v>28.08</v>
      </c>
    </row>
    <row r="293" spans="1:2" x14ac:dyDescent="0.35">
      <c r="A293" s="16" t="s">
        <v>3270</v>
      </c>
      <c r="B293" s="23">
        <v>7.09</v>
      </c>
    </row>
    <row r="294" spans="1:2" x14ac:dyDescent="0.35">
      <c r="A294" s="16" t="s">
        <v>1786</v>
      </c>
      <c r="B294" s="23">
        <v>69.760000000000005</v>
      </c>
    </row>
    <row r="295" spans="1:2" x14ac:dyDescent="0.35">
      <c r="A295" s="16" t="s">
        <v>1500</v>
      </c>
      <c r="B295" s="23">
        <v>-5.15</v>
      </c>
    </row>
    <row r="296" spans="1:2" x14ac:dyDescent="0.35">
      <c r="A296" s="16" t="s">
        <v>2858</v>
      </c>
      <c r="B296" s="23">
        <v>14.6</v>
      </c>
    </row>
    <row r="297" spans="1:2" x14ac:dyDescent="0.35">
      <c r="A297" s="16" t="s">
        <v>2018</v>
      </c>
      <c r="B297" s="23">
        <v>22.47</v>
      </c>
    </row>
    <row r="298" spans="1:2" x14ac:dyDescent="0.35">
      <c r="A298" s="16" t="s">
        <v>1607</v>
      </c>
      <c r="B298" s="23">
        <v>2.86</v>
      </c>
    </row>
    <row r="299" spans="1:2" x14ac:dyDescent="0.35">
      <c r="A299" s="16" t="s">
        <v>2199</v>
      </c>
      <c r="B299" s="23">
        <v>4.51</v>
      </c>
    </row>
    <row r="300" spans="1:2" x14ac:dyDescent="0.35">
      <c r="A300" s="16" t="s">
        <v>1474</v>
      </c>
      <c r="B300" s="23">
        <v>286.92</v>
      </c>
    </row>
    <row r="301" spans="1:2" x14ac:dyDescent="0.35">
      <c r="A301" s="16" t="s">
        <v>1000</v>
      </c>
      <c r="B301" s="23">
        <v>38.64</v>
      </c>
    </row>
    <row r="302" spans="1:2" x14ac:dyDescent="0.35">
      <c r="A302" s="16" t="s">
        <v>3329</v>
      </c>
      <c r="B302" s="23">
        <v>21.53</v>
      </c>
    </row>
    <row r="303" spans="1:2" x14ac:dyDescent="0.35">
      <c r="A303" s="16" t="s">
        <v>2754</v>
      </c>
      <c r="B303" s="23">
        <v>252.39</v>
      </c>
    </row>
    <row r="304" spans="1:2" x14ac:dyDescent="0.35">
      <c r="A304" s="16" t="s">
        <v>882</v>
      </c>
      <c r="B304" s="23">
        <v>-4.99</v>
      </c>
    </row>
    <row r="305" spans="1:2" x14ac:dyDescent="0.35">
      <c r="A305" s="16" t="s">
        <v>1849</v>
      </c>
      <c r="B305" s="23">
        <v>5.18</v>
      </c>
    </row>
    <row r="306" spans="1:2" x14ac:dyDescent="0.35">
      <c r="A306" s="16" t="s">
        <v>3483</v>
      </c>
      <c r="B306" s="23">
        <v>109.53</v>
      </c>
    </row>
    <row r="307" spans="1:2" x14ac:dyDescent="0.35">
      <c r="A307" s="16" t="s">
        <v>2995</v>
      </c>
      <c r="B307" s="23">
        <v>-5.54</v>
      </c>
    </row>
    <row r="308" spans="1:2" x14ac:dyDescent="0.35">
      <c r="A308" s="16" t="s">
        <v>1646</v>
      </c>
      <c r="B308" s="23">
        <v>56.16</v>
      </c>
    </row>
    <row r="309" spans="1:2" x14ac:dyDescent="0.35">
      <c r="A309" s="16" t="s">
        <v>404</v>
      </c>
      <c r="B309" s="23">
        <v>3.85</v>
      </c>
    </row>
    <row r="310" spans="1:2" x14ac:dyDescent="0.35">
      <c r="A310" s="16" t="s">
        <v>3217</v>
      </c>
      <c r="B310" s="23">
        <v>30.46</v>
      </c>
    </row>
    <row r="311" spans="1:2" x14ac:dyDescent="0.35">
      <c r="A311" s="16" t="s">
        <v>2593</v>
      </c>
      <c r="B311" s="23">
        <v>10.63</v>
      </c>
    </row>
    <row r="312" spans="1:2" x14ac:dyDescent="0.35">
      <c r="A312" s="16" t="s">
        <v>1550</v>
      </c>
      <c r="B312" s="23">
        <v>-5.32</v>
      </c>
    </row>
    <row r="313" spans="1:2" x14ac:dyDescent="0.35">
      <c r="A313" s="16" t="s">
        <v>3167</v>
      </c>
      <c r="B313" s="23">
        <v>-7.12</v>
      </c>
    </row>
    <row r="314" spans="1:2" x14ac:dyDescent="0.35">
      <c r="A314" s="16" t="s">
        <v>2007</v>
      </c>
      <c r="B314" s="23">
        <v>-4.47</v>
      </c>
    </row>
    <row r="315" spans="1:2" x14ac:dyDescent="0.35">
      <c r="A315" s="16" t="s">
        <v>2202</v>
      </c>
      <c r="B315" s="23">
        <v>244.78</v>
      </c>
    </row>
    <row r="316" spans="1:2" x14ac:dyDescent="0.35">
      <c r="A316" s="16" t="s">
        <v>3299</v>
      </c>
      <c r="B316" s="23">
        <v>-0.88</v>
      </c>
    </row>
    <row r="317" spans="1:2" x14ac:dyDescent="0.35">
      <c r="A317" s="16" t="s">
        <v>204</v>
      </c>
      <c r="B317" s="23">
        <v>24.46</v>
      </c>
    </row>
    <row r="318" spans="1:2" x14ac:dyDescent="0.35">
      <c r="A318" s="16" t="s">
        <v>2052</v>
      </c>
      <c r="B318" s="23">
        <v>74.52</v>
      </c>
    </row>
    <row r="319" spans="1:2" x14ac:dyDescent="0.35">
      <c r="A319" s="16" t="s">
        <v>1138</v>
      </c>
      <c r="B319" s="23">
        <v>-2.61</v>
      </c>
    </row>
    <row r="320" spans="1:2" x14ac:dyDescent="0.35">
      <c r="A320" s="16" t="s">
        <v>2661</v>
      </c>
      <c r="B320" s="23">
        <v>245.6</v>
      </c>
    </row>
    <row r="321" spans="1:2" x14ac:dyDescent="0.35">
      <c r="A321" s="16" t="s">
        <v>1347</v>
      </c>
      <c r="B321" s="23">
        <v>118.24</v>
      </c>
    </row>
    <row r="322" spans="1:2" x14ac:dyDescent="0.35">
      <c r="A322" s="16" t="s">
        <v>3301</v>
      </c>
      <c r="B322" s="23">
        <v>7.1</v>
      </c>
    </row>
    <row r="323" spans="1:2" x14ac:dyDescent="0.35">
      <c r="A323" s="16" t="s">
        <v>914</v>
      </c>
      <c r="B323" s="23">
        <v>17.010000000000002</v>
      </c>
    </row>
    <row r="324" spans="1:2" x14ac:dyDescent="0.35">
      <c r="A324" s="16" t="s">
        <v>986</v>
      </c>
      <c r="B324" s="23">
        <v>2.09</v>
      </c>
    </row>
    <row r="325" spans="1:2" x14ac:dyDescent="0.35">
      <c r="A325" s="16" t="s">
        <v>206</v>
      </c>
      <c r="B325" s="23">
        <v>-6.1</v>
      </c>
    </row>
    <row r="326" spans="1:2" x14ac:dyDescent="0.35">
      <c r="A326" s="16" t="s">
        <v>1393</v>
      </c>
      <c r="B326" s="23">
        <v>104.61</v>
      </c>
    </row>
    <row r="327" spans="1:2" x14ac:dyDescent="0.35">
      <c r="A327" s="16" t="s">
        <v>2886</v>
      </c>
      <c r="B327" s="23">
        <v>38.51</v>
      </c>
    </row>
    <row r="328" spans="1:2" x14ac:dyDescent="0.35">
      <c r="A328" s="16" t="s">
        <v>28</v>
      </c>
      <c r="B328" s="23">
        <v>3.69</v>
      </c>
    </row>
    <row r="329" spans="1:2" x14ac:dyDescent="0.35">
      <c r="A329" s="16" t="s">
        <v>749</v>
      </c>
      <c r="B329" s="23">
        <v>2.1800000000000002</v>
      </c>
    </row>
    <row r="330" spans="1:2" x14ac:dyDescent="0.35">
      <c r="A330" s="16" t="s">
        <v>3538</v>
      </c>
      <c r="B330" s="23">
        <v>26.25</v>
      </c>
    </row>
    <row r="331" spans="1:2" x14ac:dyDescent="0.35">
      <c r="A331" s="16" t="s">
        <v>2919</v>
      </c>
      <c r="B331" s="23">
        <v>6.62</v>
      </c>
    </row>
    <row r="332" spans="1:2" x14ac:dyDescent="0.35">
      <c r="A332" s="16" t="s">
        <v>2167</v>
      </c>
      <c r="B332" s="23">
        <v>14.38</v>
      </c>
    </row>
    <row r="333" spans="1:2" x14ac:dyDescent="0.35">
      <c r="A333" s="16" t="s">
        <v>450</v>
      </c>
      <c r="B333" s="23">
        <v>486.56</v>
      </c>
    </row>
    <row r="334" spans="1:2" x14ac:dyDescent="0.35">
      <c r="A334" s="16" t="s">
        <v>2732</v>
      </c>
      <c r="B334" s="23">
        <v>73.900000000000006</v>
      </c>
    </row>
    <row r="335" spans="1:2" x14ac:dyDescent="0.35">
      <c r="A335" s="16" t="s">
        <v>1670</v>
      </c>
      <c r="B335" s="23">
        <v>5.25</v>
      </c>
    </row>
    <row r="336" spans="1:2" x14ac:dyDescent="0.35">
      <c r="A336" s="16" t="s">
        <v>3506</v>
      </c>
      <c r="B336" s="23">
        <v>56.14</v>
      </c>
    </row>
    <row r="337" spans="1:2" x14ac:dyDescent="0.35">
      <c r="A337" s="16" t="s">
        <v>3125</v>
      </c>
      <c r="B337" s="23">
        <v>3.05</v>
      </c>
    </row>
    <row r="338" spans="1:2" x14ac:dyDescent="0.35">
      <c r="A338" s="16" t="s">
        <v>1808</v>
      </c>
      <c r="B338" s="23">
        <v>0.27</v>
      </c>
    </row>
    <row r="339" spans="1:2" x14ac:dyDescent="0.35">
      <c r="A339" s="16" t="s">
        <v>546</v>
      </c>
      <c r="B339" s="23">
        <v>58.87</v>
      </c>
    </row>
    <row r="340" spans="1:2" x14ac:dyDescent="0.35">
      <c r="A340" s="16" t="s">
        <v>2725</v>
      </c>
      <c r="B340" s="23">
        <v>15.54</v>
      </c>
    </row>
    <row r="341" spans="1:2" x14ac:dyDescent="0.35">
      <c r="A341" s="16" t="s">
        <v>1492</v>
      </c>
      <c r="B341" s="23">
        <v>19.7</v>
      </c>
    </row>
    <row r="342" spans="1:2" x14ac:dyDescent="0.35">
      <c r="A342" s="16" t="s">
        <v>90</v>
      </c>
      <c r="B342" s="23">
        <v>299.17</v>
      </c>
    </row>
    <row r="343" spans="1:2" x14ac:dyDescent="0.35">
      <c r="A343" s="16" t="s">
        <v>1980</v>
      </c>
      <c r="B343" s="23">
        <v>37.979999999999997</v>
      </c>
    </row>
    <row r="344" spans="1:2" x14ac:dyDescent="0.35">
      <c r="A344" s="16" t="s">
        <v>930</v>
      </c>
      <c r="B344" s="23">
        <v>-7.04</v>
      </c>
    </row>
    <row r="345" spans="1:2" x14ac:dyDescent="0.35">
      <c r="A345" s="16" t="s">
        <v>1721</v>
      </c>
      <c r="B345" s="23">
        <v>5.14</v>
      </c>
    </row>
    <row r="346" spans="1:2" x14ac:dyDescent="0.35">
      <c r="A346" s="16" t="s">
        <v>1008</v>
      </c>
      <c r="B346" s="23">
        <v>46.68</v>
      </c>
    </row>
    <row r="347" spans="1:2" x14ac:dyDescent="0.35">
      <c r="A347" s="16" t="s">
        <v>116</v>
      </c>
      <c r="B347" s="23">
        <v>36.159999999999997</v>
      </c>
    </row>
    <row r="348" spans="1:2" x14ac:dyDescent="0.35">
      <c r="A348" s="16" t="s">
        <v>1840</v>
      </c>
      <c r="B348" s="23">
        <v>140.47999999999999</v>
      </c>
    </row>
    <row r="349" spans="1:2" x14ac:dyDescent="0.35">
      <c r="A349" s="16" t="s">
        <v>1490</v>
      </c>
      <c r="B349" s="23">
        <v>13.2</v>
      </c>
    </row>
    <row r="350" spans="1:2" x14ac:dyDescent="0.35">
      <c r="A350" s="16" t="s">
        <v>1127</v>
      </c>
      <c r="B350" s="23">
        <v>46.9</v>
      </c>
    </row>
    <row r="351" spans="1:2" x14ac:dyDescent="0.35">
      <c r="A351" s="16" t="s">
        <v>2702</v>
      </c>
      <c r="B351" s="23">
        <v>39.590000000000003</v>
      </c>
    </row>
    <row r="352" spans="1:2" x14ac:dyDescent="0.35">
      <c r="A352" s="16" t="s">
        <v>626</v>
      </c>
      <c r="B352" s="23">
        <v>2.4500000000000002</v>
      </c>
    </row>
    <row r="353" spans="1:2" x14ac:dyDescent="0.35">
      <c r="A353" s="16" t="s">
        <v>1189</v>
      </c>
      <c r="B353" s="23">
        <v>9.44</v>
      </c>
    </row>
    <row r="354" spans="1:2" x14ac:dyDescent="0.35">
      <c r="A354" s="16" t="s">
        <v>3231</v>
      </c>
      <c r="B354" s="23">
        <v>100.34</v>
      </c>
    </row>
    <row r="355" spans="1:2" x14ac:dyDescent="0.35">
      <c r="A355" s="16" t="s">
        <v>3552</v>
      </c>
      <c r="B355" s="23">
        <v>-3.28</v>
      </c>
    </row>
    <row r="356" spans="1:2" x14ac:dyDescent="0.35">
      <c r="A356" s="16" t="s">
        <v>3547</v>
      </c>
      <c r="B356" s="23">
        <v>29.11</v>
      </c>
    </row>
    <row r="357" spans="1:2" x14ac:dyDescent="0.35">
      <c r="A357" s="16" t="s">
        <v>1666</v>
      </c>
      <c r="B357" s="23">
        <v>3.33</v>
      </c>
    </row>
    <row r="358" spans="1:2" x14ac:dyDescent="0.35">
      <c r="A358" s="16" t="s">
        <v>1734</v>
      </c>
      <c r="B358" s="23">
        <v>167.35</v>
      </c>
    </row>
    <row r="359" spans="1:2" x14ac:dyDescent="0.35">
      <c r="A359" s="16" t="s">
        <v>850</v>
      </c>
      <c r="B359" s="23">
        <v>16.21</v>
      </c>
    </row>
    <row r="360" spans="1:2" x14ac:dyDescent="0.35">
      <c r="A360" s="16" t="s">
        <v>3008</v>
      </c>
      <c r="B360" s="23">
        <v>-3.6</v>
      </c>
    </row>
    <row r="361" spans="1:2" x14ac:dyDescent="0.35">
      <c r="A361" s="16" t="s">
        <v>630</v>
      </c>
      <c r="B361" s="23">
        <v>26.9</v>
      </c>
    </row>
    <row r="362" spans="1:2" x14ac:dyDescent="0.35">
      <c r="A362" s="16" t="s">
        <v>1790</v>
      </c>
      <c r="B362" s="23">
        <v>1017.49</v>
      </c>
    </row>
    <row r="363" spans="1:2" x14ac:dyDescent="0.35">
      <c r="A363" s="16" t="s">
        <v>1202</v>
      </c>
      <c r="B363" s="23">
        <v>19.7</v>
      </c>
    </row>
    <row r="364" spans="1:2" x14ac:dyDescent="0.35">
      <c r="A364" s="16" t="s">
        <v>1710</v>
      </c>
      <c r="B364" s="23">
        <v>2.58</v>
      </c>
    </row>
    <row r="365" spans="1:2" x14ac:dyDescent="0.35">
      <c r="A365" s="16" t="s">
        <v>1187</v>
      </c>
      <c r="B365" s="23">
        <v>111.11</v>
      </c>
    </row>
    <row r="366" spans="1:2" x14ac:dyDescent="0.35">
      <c r="A366" s="16" t="s">
        <v>820</v>
      </c>
      <c r="B366" s="23">
        <v>87.16</v>
      </c>
    </row>
    <row r="367" spans="1:2" x14ac:dyDescent="0.35">
      <c r="A367" s="16" t="s">
        <v>1819</v>
      </c>
      <c r="B367" s="23">
        <v>48.95</v>
      </c>
    </row>
    <row r="368" spans="1:2" x14ac:dyDescent="0.35">
      <c r="A368" s="16" t="s">
        <v>1212</v>
      </c>
      <c r="B368" s="23">
        <v>71.010000000000005</v>
      </c>
    </row>
    <row r="369" spans="1:2" x14ac:dyDescent="0.35">
      <c r="A369" s="16" t="s">
        <v>1723</v>
      </c>
      <c r="B369" s="23">
        <v>268.14999999999998</v>
      </c>
    </row>
    <row r="370" spans="1:2" x14ac:dyDescent="0.35">
      <c r="A370" s="16" t="s">
        <v>852</v>
      </c>
      <c r="B370" s="23">
        <v>98.95</v>
      </c>
    </row>
    <row r="371" spans="1:2" x14ac:dyDescent="0.35">
      <c r="A371" s="16" t="s">
        <v>3324</v>
      </c>
      <c r="B371" s="23">
        <v>27.53</v>
      </c>
    </row>
    <row r="372" spans="1:2" x14ac:dyDescent="0.35">
      <c r="A372" s="16" t="s">
        <v>3192</v>
      </c>
      <c r="B372" s="23">
        <v>117.75</v>
      </c>
    </row>
    <row r="373" spans="1:2" x14ac:dyDescent="0.35">
      <c r="A373" s="16" t="s">
        <v>2130</v>
      </c>
      <c r="B373" s="23">
        <v>43.91</v>
      </c>
    </row>
    <row r="374" spans="1:2" x14ac:dyDescent="0.35">
      <c r="A374" s="16" t="s">
        <v>2843</v>
      </c>
      <c r="B374" s="23">
        <v>2.1800000000000002</v>
      </c>
    </row>
    <row r="375" spans="1:2" x14ac:dyDescent="0.35">
      <c r="A375" s="16" t="s">
        <v>3609</v>
      </c>
      <c r="B375" s="23">
        <v>148.24</v>
      </c>
    </row>
    <row r="376" spans="1:2" x14ac:dyDescent="0.35">
      <c r="A376" s="16" t="s">
        <v>1739</v>
      </c>
      <c r="B376" s="23">
        <v>-4.91</v>
      </c>
    </row>
    <row r="377" spans="1:2" x14ac:dyDescent="0.35">
      <c r="A377" s="16" t="s">
        <v>178</v>
      </c>
      <c r="B377" s="23">
        <v>113.76</v>
      </c>
    </row>
    <row r="378" spans="1:2" x14ac:dyDescent="0.35">
      <c r="A378" s="16" t="s">
        <v>1183</v>
      </c>
      <c r="B378" s="23">
        <v>2.56</v>
      </c>
    </row>
    <row r="379" spans="1:2" x14ac:dyDescent="0.35">
      <c r="A379" s="16" t="s">
        <v>597</v>
      </c>
      <c r="B379" s="23">
        <v>-5.16</v>
      </c>
    </row>
    <row r="380" spans="1:2" x14ac:dyDescent="0.35">
      <c r="A380" s="16" t="s">
        <v>472</v>
      </c>
      <c r="B380" s="23">
        <v>51.17</v>
      </c>
    </row>
    <row r="381" spans="1:2" x14ac:dyDescent="0.35">
      <c r="A381" s="16" t="s">
        <v>3590</v>
      </c>
      <c r="B381" s="23">
        <v>67.62</v>
      </c>
    </row>
    <row r="382" spans="1:2" x14ac:dyDescent="0.35">
      <c r="A382" s="16" t="s">
        <v>1591</v>
      </c>
      <c r="B382" s="23">
        <v>-6.07</v>
      </c>
    </row>
    <row r="383" spans="1:2" x14ac:dyDescent="0.35">
      <c r="A383" s="16" t="s">
        <v>1039</v>
      </c>
      <c r="B383" s="23">
        <v>212.18</v>
      </c>
    </row>
    <row r="384" spans="1:2" x14ac:dyDescent="0.35">
      <c r="A384" s="16" t="s">
        <v>685</v>
      </c>
      <c r="B384" s="23">
        <v>24.56</v>
      </c>
    </row>
    <row r="385" spans="1:2" x14ac:dyDescent="0.35">
      <c r="A385" s="16" t="s">
        <v>1134</v>
      </c>
      <c r="B385" s="23">
        <v>43.57</v>
      </c>
    </row>
    <row r="386" spans="1:2" x14ac:dyDescent="0.35">
      <c r="A386" s="16" t="s">
        <v>154</v>
      </c>
      <c r="B386" s="23">
        <v>15.54</v>
      </c>
    </row>
    <row r="387" spans="1:2" x14ac:dyDescent="0.35">
      <c r="A387" s="16" t="s">
        <v>194</v>
      </c>
      <c r="B387" s="23">
        <v>-6.6</v>
      </c>
    </row>
    <row r="388" spans="1:2" x14ac:dyDescent="0.35">
      <c r="A388" s="16" t="s">
        <v>1945</v>
      </c>
      <c r="B388" s="23">
        <v>0.14000000000000001</v>
      </c>
    </row>
    <row r="389" spans="1:2" x14ac:dyDescent="0.35">
      <c r="A389" s="16" t="s">
        <v>3281</v>
      </c>
      <c r="B389" s="23">
        <v>-3.64</v>
      </c>
    </row>
    <row r="390" spans="1:2" x14ac:dyDescent="0.35">
      <c r="A390" s="16" t="s">
        <v>2692</v>
      </c>
      <c r="B390" s="23">
        <v>13.75</v>
      </c>
    </row>
    <row r="391" spans="1:2" x14ac:dyDescent="0.35">
      <c r="A391" s="16" t="s">
        <v>1981</v>
      </c>
      <c r="B391" s="23">
        <v>138.83000000000001</v>
      </c>
    </row>
    <row r="392" spans="1:2" x14ac:dyDescent="0.35">
      <c r="A392" s="16" t="s">
        <v>2334</v>
      </c>
      <c r="B392" s="23">
        <v>24.03</v>
      </c>
    </row>
    <row r="393" spans="1:2" x14ac:dyDescent="0.35">
      <c r="A393" s="16" t="s">
        <v>2956</v>
      </c>
      <c r="B393" s="23">
        <v>46.78</v>
      </c>
    </row>
    <row r="394" spans="1:2" x14ac:dyDescent="0.35">
      <c r="A394" s="16" t="s">
        <v>2257</v>
      </c>
      <c r="B394" s="23">
        <v>46.78</v>
      </c>
    </row>
    <row r="395" spans="1:2" x14ac:dyDescent="0.35">
      <c r="A395" s="16" t="s">
        <v>265</v>
      </c>
      <c r="B395" s="23">
        <v>4.18</v>
      </c>
    </row>
    <row r="396" spans="1:2" x14ac:dyDescent="0.35">
      <c r="A396" s="16" t="s">
        <v>3199</v>
      </c>
      <c r="B396" s="23">
        <v>1.38</v>
      </c>
    </row>
    <row r="397" spans="1:2" x14ac:dyDescent="0.35">
      <c r="A397" s="16" t="s">
        <v>1593</v>
      </c>
      <c r="B397" s="23">
        <v>6.95</v>
      </c>
    </row>
    <row r="398" spans="1:2" x14ac:dyDescent="0.35">
      <c r="A398" s="16" t="s">
        <v>372</v>
      </c>
      <c r="B398" s="23">
        <v>98.71</v>
      </c>
    </row>
    <row r="399" spans="1:2" x14ac:dyDescent="0.35">
      <c r="A399" s="16" t="s">
        <v>1772</v>
      </c>
      <c r="B399" s="23">
        <v>94.78</v>
      </c>
    </row>
    <row r="400" spans="1:2" x14ac:dyDescent="0.35">
      <c r="A400" s="16" t="s">
        <v>3169</v>
      </c>
      <c r="B400" s="23">
        <v>34.29</v>
      </c>
    </row>
    <row r="401" spans="1:2" x14ac:dyDescent="0.35">
      <c r="A401" s="16" t="s">
        <v>1049</v>
      </c>
      <c r="B401" s="23">
        <v>3.66</v>
      </c>
    </row>
    <row r="402" spans="1:2" x14ac:dyDescent="0.35">
      <c r="A402" s="16" t="s">
        <v>963</v>
      </c>
      <c r="B402" s="23">
        <v>7.14</v>
      </c>
    </row>
    <row r="403" spans="1:2" x14ac:dyDescent="0.35">
      <c r="A403" s="16" t="s">
        <v>2381</v>
      </c>
      <c r="B403" s="23">
        <v>-2.29</v>
      </c>
    </row>
    <row r="404" spans="1:2" x14ac:dyDescent="0.35">
      <c r="A404" s="16" t="s">
        <v>2391</v>
      </c>
      <c r="B404" s="23">
        <v>72.94</v>
      </c>
    </row>
    <row r="405" spans="1:2" x14ac:dyDescent="0.35">
      <c r="A405" s="16" t="s">
        <v>94</v>
      </c>
      <c r="B405" s="23">
        <v>221.57</v>
      </c>
    </row>
    <row r="406" spans="1:2" x14ac:dyDescent="0.35">
      <c r="A406" s="16" t="s">
        <v>2091</v>
      </c>
      <c r="B406" s="23">
        <v>81.12</v>
      </c>
    </row>
    <row r="407" spans="1:2" x14ac:dyDescent="0.35">
      <c r="A407" s="16" t="s">
        <v>707</v>
      </c>
      <c r="B407" s="23">
        <v>3.38</v>
      </c>
    </row>
    <row r="408" spans="1:2" x14ac:dyDescent="0.35">
      <c r="A408" s="16" t="s">
        <v>2336</v>
      </c>
      <c r="B408" s="23">
        <v>7.24</v>
      </c>
    </row>
    <row r="409" spans="1:2" x14ac:dyDescent="0.35">
      <c r="A409" s="16" t="s">
        <v>2945</v>
      </c>
      <c r="B409" s="23">
        <v>-3.88</v>
      </c>
    </row>
    <row r="410" spans="1:2" x14ac:dyDescent="0.35">
      <c r="A410" s="16" t="s">
        <v>1679</v>
      </c>
      <c r="B410" s="23">
        <v>-6.13</v>
      </c>
    </row>
    <row r="411" spans="1:2" x14ac:dyDescent="0.35">
      <c r="A411" s="16" t="s">
        <v>133</v>
      </c>
      <c r="B411" s="23">
        <v>-0.77</v>
      </c>
    </row>
    <row r="412" spans="1:2" x14ac:dyDescent="0.35">
      <c r="A412" s="16" t="s">
        <v>1357</v>
      </c>
      <c r="B412" s="23">
        <v>91.7</v>
      </c>
    </row>
    <row r="413" spans="1:2" x14ac:dyDescent="0.35">
      <c r="A413" s="16" t="s">
        <v>3174</v>
      </c>
      <c r="B413" s="23">
        <v>-5.0199999999999996</v>
      </c>
    </row>
    <row r="414" spans="1:2" x14ac:dyDescent="0.35">
      <c r="A414" s="16" t="s">
        <v>527</v>
      </c>
      <c r="B414" s="23">
        <v>53.58</v>
      </c>
    </row>
    <row r="415" spans="1:2" x14ac:dyDescent="0.35">
      <c r="A415" s="16" t="s">
        <v>2216</v>
      </c>
      <c r="B415" s="23">
        <v>-6.36</v>
      </c>
    </row>
    <row r="416" spans="1:2" x14ac:dyDescent="0.35">
      <c r="A416" s="16" t="s">
        <v>1502</v>
      </c>
      <c r="B416" s="23">
        <v>1189.79</v>
      </c>
    </row>
    <row r="417" spans="1:2" x14ac:dyDescent="0.35">
      <c r="A417" s="16" t="s">
        <v>3499</v>
      </c>
      <c r="B417" s="23">
        <v>-6.79</v>
      </c>
    </row>
    <row r="418" spans="1:2" x14ac:dyDescent="0.35">
      <c r="A418" s="16" t="s">
        <v>2367</v>
      </c>
      <c r="B418" s="23">
        <v>220.89</v>
      </c>
    </row>
    <row r="419" spans="1:2" x14ac:dyDescent="0.35">
      <c r="A419" s="16" t="s">
        <v>2264</v>
      </c>
      <c r="B419" s="23">
        <v>-2.72</v>
      </c>
    </row>
    <row r="420" spans="1:2" x14ac:dyDescent="0.35">
      <c r="A420" s="16" t="s">
        <v>1097</v>
      </c>
      <c r="B420" s="23">
        <v>18.760000000000002</v>
      </c>
    </row>
    <row r="421" spans="1:2" x14ac:dyDescent="0.35">
      <c r="A421" s="16" t="s">
        <v>810</v>
      </c>
      <c r="B421" s="23">
        <v>50.3</v>
      </c>
    </row>
    <row r="422" spans="1:2" x14ac:dyDescent="0.35">
      <c r="A422" s="16" t="s">
        <v>3606</v>
      </c>
      <c r="B422" s="23">
        <v>5.62</v>
      </c>
    </row>
    <row r="423" spans="1:2" x14ac:dyDescent="0.35">
      <c r="A423" s="16" t="s">
        <v>1672</v>
      </c>
      <c r="B423" s="23">
        <v>35.299999999999997</v>
      </c>
    </row>
    <row r="424" spans="1:2" x14ac:dyDescent="0.35">
      <c r="A424" s="16" t="s">
        <v>1035</v>
      </c>
      <c r="B424" s="23">
        <v>269.07</v>
      </c>
    </row>
    <row r="425" spans="1:2" x14ac:dyDescent="0.35">
      <c r="A425" s="16" t="s">
        <v>556</v>
      </c>
      <c r="B425" s="23">
        <v>15.8</v>
      </c>
    </row>
    <row r="426" spans="1:2" x14ac:dyDescent="0.35">
      <c r="A426" s="16" t="s">
        <v>2965</v>
      </c>
      <c r="B426" s="23">
        <v>3.42</v>
      </c>
    </row>
    <row r="427" spans="1:2" x14ac:dyDescent="0.35">
      <c r="A427" s="16" t="s">
        <v>743</v>
      </c>
      <c r="B427" s="23">
        <v>11.12</v>
      </c>
    </row>
    <row r="428" spans="1:2" x14ac:dyDescent="0.35">
      <c r="A428" s="16" t="s">
        <v>1579</v>
      </c>
      <c r="B428" s="23">
        <v>208.57</v>
      </c>
    </row>
    <row r="429" spans="1:2" x14ac:dyDescent="0.35">
      <c r="A429" s="16" t="s">
        <v>2142</v>
      </c>
      <c r="B429" s="23">
        <v>100.68</v>
      </c>
    </row>
    <row r="430" spans="1:2" x14ac:dyDescent="0.35">
      <c r="A430" s="16" t="s">
        <v>454</v>
      </c>
      <c r="B430" s="23">
        <v>93.33</v>
      </c>
    </row>
    <row r="431" spans="1:2" x14ac:dyDescent="0.35">
      <c r="A431" s="16" t="s">
        <v>2996</v>
      </c>
      <c r="B431" s="23">
        <v>34.92</v>
      </c>
    </row>
    <row r="432" spans="1:2" x14ac:dyDescent="0.35">
      <c r="A432" s="16" t="s">
        <v>1128</v>
      </c>
      <c r="B432" s="23">
        <v>244.33</v>
      </c>
    </row>
    <row r="433" spans="1:2" x14ac:dyDescent="0.35">
      <c r="A433" s="16" t="s">
        <v>1383</v>
      </c>
      <c r="B433" s="23">
        <v>63.57</v>
      </c>
    </row>
    <row r="434" spans="1:2" x14ac:dyDescent="0.35">
      <c r="A434" s="16" t="s">
        <v>3400</v>
      </c>
      <c r="B434" s="23">
        <v>0.03</v>
      </c>
    </row>
    <row r="435" spans="1:2" x14ac:dyDescent="0.35">
      <c r="A435" s="16" t="s">
        <v>675</v>
      </c>
      <c r="B435" s="23">
        <v>53.57</v>
      </c>
    </row>
    <row r="436" spans="1:2" x14ac:dyDescent="0.35">
      <c r="A436" s="16" t="s">
        <v>2353</v>
      </c>
      <c r="B436" s="23">
        <v>-3.82</v>
      </c>
    </row>
    <row r="437" spans="1:2" x14ac:dyDescent="0.35">
      <c r="A437" s="16" t="s">
        <v>446</v>
      </c>
      <c r="B437" s="23">
        <v>5.66</v>
      </c>
    </row>
    <row r="438" spans="1:2" x14ac:dyDescent="0.35">
      <c r="A438" s="16" t="s">
        <v>156</v>
      </c>
      <c r="B438" s="23">
        <v>24.82</v>
      </c>
    </row>
    <row r="439" spans="1:2" x14ac:dyDescent="0.35">
      <c r="A439" s="16" t="s">
        <v>2435</v>
      </c>
      <c r="B439" s="23">
        <v>62.49</v>
      </c>
    </row>
    <row r="440" spans="1:2" x14ac:dyDescent="0.35">
      <c r="A440" s="16" t="s">
        <v>1539</v>
      </c>
      <c r="B440" s="23">
        <v>263.44</v>
      </c>
    </row>
    <row r="441" spans="1:2" x14ac:dyDescent="0.35">
      <c r="A441" s="16" t="s">
        <v>1691</v>
      </c>
      <c r="B441" s="23">
        <v>28.41</v>
      </c>
    </row>
    <row r="442" spans="1:2" x14ac:dyDescent="0.35">
      <c r="A442" s="16" t="s">
        <v>1359</v>
      </c>
      <c r="B442" s="23">
        <v>9.2799999999999994</v>
      </c>
    </row>
    <row r="443" spans="1:2" x14ac:dyDescent="0.35">
      <c r="A443" s="16" t="s">
        <v>1469</v>
      </c>
      <c r="B443" s="23">
        <v>-1.93</v>
      </c>
    </row>
    <row r="444" spans="1:2" x14ac:dyDescent="0.35">
      <c r="A444" s="16" t="s">
        <v>1828</v>
      </c>
      <c r="B444" s="23">
        <v>52.9</v>
      </c>
    </row>
    <row r="445" spans="1:2" x14ac:dyDescent="0.35">
      <c r="A445" s="16" t="s">
        <v>1002</v>
      </c>
      <c r="B445" s="23">
        <v>39.049999999999997</v>
      </c>
    </row>
    <row r="446" spans="1:2" x14ac:dyDescent="0.35">
      <c r="A446" s="16" t="s">
        <v>2287</v>
      </c>
      <c r="B446" s="23">
        <v>3.61</v>
      </c>
    </row>
    <row r="447" spans="1:2" x14ac:dyDescent="0.35">
      <c r="A447" s="16" t="s">
        <v>2689</v>
      </c>
      <c r="B447" s="23">
        <v>72.989999999999995</v>
      </c>
    </row>
    <row r="448" spans="1:2" x14ac:dyDescent="0.35">
      <c r="A448" s="16" t="s">
        <v>1821</v>
      </c>
      <c r="B448" s="23">
        <v>3.09</v>
      </c>
    </row>
    <row r="449" spans="1:2" x14ac:dyDescent="0.35">
      <c r="A449" s="16" t="s">
        <v>65</v>
      </c>
      <c r="B449" s="23">
        <v>12.99</v>
      </c>
    </row>
    <row r="450" spans="1:2" x14ac:dyDescent="0.35">
      <c r="A450" s="16" t="s">
        <v>936</v>
      </c>
      <c r="B450" s="23">
        <v>-1.52</v>
      </c>
    </row>
    <row r="451" spans="1:2" x14ac:dyDescent="0.35">
      <c r="A451" s="16" t="s">
        <v>2042</v>
      </c>
      <c r="B451" s="23">
        <v>43.94</v>
      </c>
    </row>
    <row r="452" spans="1:2" x14ac:dyDescent="0.35">
      <c r="A452" s="16" t="s">
        <v>2289</v>
      </c>
      <c r="B452" s="23">
        <v>4.16</v>
      </c>
    </row>
    <row r="453" spans="1:2" x14ac:dyDescent="0.35">
      <c r="A453" s="16" t="s">
        <v>378</v>
      </c>
      <c r="B453" s="23">
        <v>127.82</v>
      </c>
    </row>
    <row r="454" spans="1:2" x14ac:dyDescent="0.35">
      <c r="A454" s="16" t="s">
        <v>3205</v>
      </c>
      <c r="B454" s="23">
        <v>56.94</v>
      </c>
    </row>
    <row r="455" spans="1:2" x14ac:dyDescent="0.35">
      <c r="A455" s="16" t="s">
        <v>507</v>
      </c>
      <c r="B455" s="23">
        <v>18.12</v>
      </c>
    </row>
    <row r="456" spans="1:2" x14ac:dyDescent="0.35">
      <c r="A456" s="16" t="s">
        <v>2295</v>
      </c>
      <c r="B456" s="23">
        <v>7.57</v>
      </c>
    </row>
    <row r="457" spans="1:2" x14ac:dyDescent="0.35">
      <c r="A457" s="16" t="s">
        <v>1295</v>
      </c>
      <c r="B457" s="23">
        <v>-0.9</v>
      </c>
    </row>
    <row r="458" spans="1:2" x14ac:dyDescent="0.35">
      <c r="A458" s="16" t="s">
        <v>1091</v>
      </c>
      <c r="B458" s="23">
        <v>-0.27</v>
      </c>
    </row>
    <row r="459" spans="1:2" x14ac:dyDescent="0.35">
      <c r="A459" s="16" t="s">
        <v>1725</v>
      </c>
      <c r="B459" s="23">
        <v>77.42</v>
      </c>
    </row>
    <row r="460" spans="1:2" x14ac:dyDescent="0.35">
      <c r="A460" s="16" t="s">
        <v>902</v>
      </c>
      <c r="B460" s="23">
        <v>58.34</v>
      </c>
    </row>
    <row r="461" spans="1:2" x14ac:dyDescent="0.35">
      <c r="A461" s="16" t="s">
        <v>3222</v>
      </c>
      <c r="B461" s="23">
        <v>40.08</v>
      </c>
    </row>
    <row r="462" spans="1:2" x14ac:dyDescent="0.35">
      <c r="A462" s="16" t="s">
        <v>796</v>
      </c>
      <c r="B462" s="23">
        <v>14.81</v>
      </c>
    </row>
    <row r="463" spans="1:2" x14ac:dyDescent="0.35">
      <c r="A463" s="16" t="s">
        <v>1661</v>
      </c>
      <c r="B463" s="23">
        <v>-3.56</v>
      </c>
    </row>
    <row r="464" spans="1:2" x14ac:dyDescent="0.35">
      <c r="A464" s="16" t="s">
        <v>1130</v>
      </c>
      <c r="B464" s="23">
        <v>21</v>
      </c>
    </row>
    <row r="465" spans="1:2" x14ac:dyDescent="0.35">
      <c r="A465" s="16" t="s">
        <v>490</v>
      </c>
      <c r="B465" s="23">
        <v>88.42</v>
      </c>
    </row>
    <row r="466" spans="1:2" x14ac:dyDescent="0.35">
      <c r="A466" s="16" t="s">
        <v>1656</v>
      </c>
      <c r="B466" s="23">
        <v>539.08000000000004</v>
      </c>
    </row>
    <row r="467" spans="1:2" x14ac:dyDescent="0.35">
      <c r="A467" s="16" t="s">
        <v>1595</v>
      </c>
      <c r="B467" s="23">
        <v>56.64</v>
      </c>
    </row>
    <row r="468" spans="1:2" x14ac:dyDescent="0.35">
      <c r="A468" s="16" t="s">
        <v>3101</v>
      </c>
      <c r="B468" s="23">
        <v>50.51</v>
      </c>
    </row>
    <row r="469" spans="1:2" x14ac:dyDescent="0.35">
      <c r="A469" s="16" t="s">
        <v>2148</v>
      </c>
      <c r="B469" s="23">
        <v>129.47</v>
      </c>
    </row>
    <row r="470" spans="1:2" x14ac:dyDescent="0.35">
      <c r="A470" s="16" t="s">
        <v>35</v>
      </c>
      <c r="B470" s="23">
        <v>26.32</v>
      </c>
    </row>
    <row r="471" spans="1:2" x14ac:dyDescent="0.35">
      <c r="A471" s="16" t="s">
        <v>468</v>
      </c>
      <c r="B471" s="23">
        <v>5.74</v>
      </c>
    </row>
    <row r="472" spans="1:2" x14ac:dyDescent="0.35">
      <c r="A472" s="16" t="s">
        <v>2405</v>
      </c>
      <c r="B472" s="23">
        <v>74.84</v>
      </c>
    </row>
    <row r="473" spans="1:2" x14ac:dyDescent="0.35">
      <c r="A473" s="16" t="s">
        <v>2915</v>
      </c>
      <c r="B473" s="23">
        <v>27.08</v>
      </c>
    </row>
    <row r="474" spans="1:2" x14ac:dyDescent="0.35">
      <c r="A474" s="16" t="s">
        <v>1435</v>
      </c>
      <c r="B474" s="23">
        <v>20</v>
      </c>
    </row>
    <row r="475" spans="1:2" x14ac:dyDescent="0.35">
      <c r="A475" s="16" t="s">
        <v>3527</v>
      </c>
      <c r="B475" s="23">
        <v>312.49</v>
      </c>
    </row>
    <row r="476" spans="1:2" x14ac:dyDescent="0.35">
      <c r="A476" s="16" t="s">
        <v>226</v>
      </c>
      <c r="B476" s="23">
        <v>105.94</v>
      </c>
    </row>
    <row r="477" spans="1:2" x14ac:dyDescent="0.35">
      <c r="A477" s="16" t="s">
        <v>1319</v>
      </c>
      <c r="B477" s="23">
        <v>26.36</v>
      </c>
    </row>
    <row r="478" spans="1:2" x14ac:dyDescent="0.35">
      <c r="A478" s="16" t="s">
        <v>2012</v>
      </c>
      <c r="B478" s="23">
        <v>61.1</v>
      </c>
    </row>
    <row r="479" spans="1:2" x14ac:dyDescent="0.35">
      <c r="A479" s="16" t="s">
        <v>1409</v>
      </c>
      <c r="B479" s="23">
        <v>0.28999999999999998</v>
      </c>
    </row>
    <row r="480" spans="1:2" x14ac:dyDescent="0.35">
      <c r="A480" s="16" t="s">
        <v>3154</v>
      </c>
      <c r="B480" s="23">
        <v>6.16</v>
      </c>
    </row>
    <row r="481" spans="1:2" x14ac:dyDescent="0.35">
      <c r="A481" s="16" t="s">
        <v>1144</v>
      </c>
      <c r="B481" s="23">
        <v>-5.89</v>
      </c>
    </row>
    <row r="482" spans="1:2" x14ac:dyDescent="0.35">
      <c r="A482" s="16" t="s">
        <v>3066</v>
      </c>
      <c r="B482" s="23">
        <v>8.1999999999999993</v>
      </c>
    </row>
    <row r="483" spans="1:2" x14ac:dyDescent="0.35">
      <c r="A483" s="16" t="s">
        <v>668</v>
      </c>
      <c r="B483" s="23">
        <v>12.28</v>
      </c>
    </row>
    <row r="484" spans="1:2" x14ac:dyDescent="0.35">
      <c r="A484" s="16" t="s">
        <v>2657</v>
      </c>
      <c r="B484" s="23">
        <v>21.08</v>
      </c>
    </row>
    <row r="485" spans="1:2" x14ac:dyDescent="0.35">
      <c r="A485" s="16" t="s">
        <v>2923</v>
      </c>
      <c r="B485" s="23">
        <v>3.04</v>
      </c>
    </row>
    <row r="486" spans="1:2" x14ac:dyDescent="0.35">
      <c r="A486" s="16" t="s">
        <v>677</v>
      </c>
      <c r="B486" s="23">
        <v>87.15</v>
      </c>
    </row>
    <row r="487" spans="1:2" x14ac:dyDescent="0.35">
      <c r="A487" s="16" t="s">
        <v>2120</v>
      </c>
      <c r="B487" s="23">
        <v>123.39</v>
      </c>
    </row>
    <row r="488" spans="1:2" x14ac:dyDescent="0.35">
      <c r="A488" s="16" t="s">
        <v>2860</v>
      </c>
      <c r="B488" s="23">
        <v>88.18</v>
      </c>
    </row>
    <row r="489" spans="1:2" x14ac:dyDescent="0.35">
      <c r="A489" s="16" t="s">
        <v>3229</v>
      </c>
      <c r="B489" s="23">
        <v>84.55</v>
      </c>
    </row>
    <row r="490" spans="1:2" x14ac:dyDescent="0.35">
      <c r="A490" s="16" t="s">
        <v>1232</v>
      </c>
      <c r="B490" s="23">
        <v>158.9</v>
      </c>
    </row>
    <row r="491" spans="1:2" x14ac:dyDescent="0.35">
      <c r="A491" s="16" t="s">
        <v>1283</v>
      </c>
      <c r="B491" s="23">
        <v>56.62</v>
      </c>
    </row>
    <row r="492" spans="1:2" x14ac:dyDescent="0.35">
      <c r="A492" s="16" t="s">
        <v>1061</v>
      </c>
      <c r="B492" s="23">
        <v>2.36</v>
      </c>
    </row>
    <row r="493" spans="1:2" x14ac:dyDescent="0.35">
      <c r="A493" s="16" t="s">
        <v>2862</v>
      </c>
      <c r="B493" s="23">
        <v>39.46</v>
      </c>
    </row>
    <row r="494" spans="1:2" x14ac:dyDescent="0.35">
      <c r="A494" s="16" t="s">
        <v>2431</v>
      </c>
      <c r="B494" s="23">
        <v>145.71</v>
      </c>
    </row>
    <row r="495" spans="1:2" x14ac:dyDescent="0.35">
      <c r="A495" s="16" t="s">
        <v>2931</v>
      </c>
      <c r="B495" s="23">
        <v>4.09</v>
      </c>
    </row>
    <row r="496" spans="1:2" x14ac:dyDescent="0.35">
      <c r="A496" s="16" t="s">
        <v>2116</v>
      </c>
      <c r="B496" s="23">
        <v>43.33</v>
      </c>
    </row>
    <row r="497" spans="1:2" x14ac:dyDescent="0.35">
      <c r="A497" s="16" t="s">
        <v>2467</v>
      </c>
      <c r="B497" s="23">
        <v>104.98</v>
      </c>
    </row>
    <row r="498" spans="1:2" x14ac:dyDescent="0.35">
      <c r="A498" s="16" t="s">
        <v>1321</v>
      </c>
      <c r="B498" s="23">
        <v>-4.55</v>
      </c>
    </row>
    <row r="499" spans="1:2" x14ac:dyDescent="0.35">
      <c r="A499" s="16" t="s">
        <v>822</v>
      </c>
      <c r="B499" s="23">
        <v>54.58</v>
      </c>
    </row>
    <row r="500" spans="1:2" x14ac:dyDescent="0.35">
      <c r="A500" s="16" t="s">
        <v>2540</v>
      </c>
      <c r="B500" s="23">
        <v>2.86</v>
      </c>
    </row>
    <row r="501" spans="1:2" x14ac:dyDescent="0.35">
      <c r="A501" s="16" t="s">
        <v>1442</v>
      </c>
      <c r="B501" s="23">
        <v>53.25</v>
      </c>
    </row>
    <row r="502" spans="1:2" x14ac:dyDescent="0.35">
      <c r="A502" s="16" t="s">
        <v>1119</v>
      </c>
      <c r="B502" s="23">
        <v>114.79</v>
      </c>
    </row>
    <row r="503" spans="1:2" x14ac:dyDescent="0.35">
      <c r="A503" s="16" t="s">
        <v>953</v>
      </c>
      <c r="B503" s="23">
        <v>28.55</v>
      </c>
    </row>
    <row r="504" spans="1:2" x14ac:dyDescent="0.35">
      <c r="A504" s="16" t="s">
        <v>3283</v>
      </c>
      <c r="B504" s="23">
        <v>56.52</v>
      </c>
    </row>
    <row r="505" spans="1:2" x14ac:dyDescent="0.35">
      <c r="A505" s="16" t="s">
        <v>3384</v>
      </c>
      <c r="B505" s="23">
        <v>13.01</v>
      </c>
    </row>
    <row r="506" spans="1:2" x14ac:dyDescent="0.35">
      <c r="A506" s="16" t="s">
        <v>1504</v>
      </c>
      <c r="B506" s="23">
        <v>7.14</v>
      </c>
    </row>
    <row r="507" spans="1:2" x14ac:dyDescent="0.35">
      <c r="A507" s="16" t="s">
        <v>2218</v>
      </c>
      <c r="B507" s="23">
        <v>7.97</v>
      </c>
    </row>
    <row r="508" spans="1:2" x14ac:dyDescent="0.35">
      <c r="A508" s="16" t="s">
        <v>3304</v>
      </c>
      <c r="B508" s="23">
        <v>14.83</v>
      </c>
    </row>
    <row r="509" spans="1:2" x14ac:dyDescent="0.35">
      <c r="A509" s="16" t="s">
        <v>2619</v>
      </c>
      <c r="B509" s="23">
        <v>9.8800000000000008</v>
      </c>
    </row>
    <row r="510" spans="1:2" x14ac:dyDescent="0.35">
      <c r="A510" s="16" t="s">
        <v>2947</v>
      </c>
      <c r="B510" s="23">
        <v>5.45</v>
      </c>
    </row>
    <row r="511" spans="1:2" x14ac:dyDescent="0.35">
      <c r="A511" s="16" t="s">
        <v>1312</v>
      </c>
      <c r="B511" s="23">
        <v>38.46</v>
      </c>
    </row>
    <row r="512" spans="1:2" x14ac:dyDescent="0.35">
      <c r="A512" s="16" t="s">
        <v>2620</v>
      </c>
      <c r="B512" s="23">
        <v>84.45</v>
      </c>
    </row>
    <row r="513" spans="1:2" x14ac:dyDescent="0.35">
      <c r="A513" s="16" t="s">
        <v>1506</v>
      </c>
      <c r="B513" s="23">
        <v>74.94</v>
      </c>
    </row>
    <row r="514" spans="1:2" x14ac:dyDescent="0.35">
      <c r="A514" s="16" t="s">
        <v>725</v>
      </c>
      <c r="B514" s="23">
        <v>-4.93</v>
      </c>
    </row>
    <row r="515" spans="1:2" x14ac:dyDescent="0.35">
      <c r="A515" s="16" t="s">
        <v>2204</v>
      </c>
      <c r="B515" s="23">
        <v>27.65</v>
      </c>
    </row>
    <row r="516" spans="1:2" x14ac:dyDescent="0.35">
      <c r="A516" s="16" t="s">
        <v>1914</v>
      </c>
      <c r="B516" s="23">
        <v>23.22</v>
      </c>
    </row>
    <row r="517" spans="1:2" x14ac:dyDescent="0.35">
      <c r="A517" s="16" t="s">
        <v>1165</v>
      </c>
      <c r="B517" s="23">
        <v>-4.51</v>
      </c>
    </row>
    <row r="518" spans="1:2" x14ac:dyDescent="0.35">
      <c r="A518" s="16" t="s">
        <v>1712</v>
      </c>
      <c r="B518" s="23">
        <v>24.26</v>
      </c>
    </row>
    <row r="519" spans="1:2" x14ac:dyDescent="0.35">
      <c r="A519" s="16" t="s">
        <v>1954</v>
      </c>
      <c r="B519" s="23">
        <v>83.17</v>
      </c>
    </row>
    <row r="520" spans="1:2" x14ac:dyDescent="0.35">
      <c r="A520" s="16" t="s">
        <v>2210</v>
      </c>
      <c r="B520" s="23">
        <v>2.08</v>
      </c>
    </row>
    <row r="521" spans="1:2" x14ac:dyDescent="0.35">
      <c r="A521" s="16" t="s">
        <v>3535</v>
      </c>
      <c r="B521" s="23">
        <v>57.99</v>
      </c>
    </row>
    <row r="522" spans="1:2" x14ac:dyDescent="0.35">
      <c r="A522" s="16" t="s">
        <v>2677</v>
      </c>
      <c r="B522" s="23">
        <v>-3.98</v>
      </c>
    </row>
    <row r="523" spans="1:2" x14ac:dyDescent="0.35">
      <c r="A523" s="16" t="s">
        <v>2239</v>
      </c>
      <c r="B523" s="23">
        <v>657.86</v>
      </c>
    </row>
    <row r="524" spans="1:2" x14ac:dyDescent="0.35">
      <c r="A524" s="16" t="s">
        <v>328</v>
      </c>
      <c r="B524" s="23">
        <v>37.26</v>
      </c>
    </row>
    <row r="525" spans="1:2" x14ac:dyDescent="0.35">
      <c r="A525" s="16" t="s">
        <v>3048</v>
      </c>
      <c r="B525" s="23">
        <v>771.41</v>
      </c>
    </row>
    <row r="526" spans="1:2" x14ac:dyDescent="0.35">
      <c r="A526" s="16" t="s">
        <v>2245</v>
      </c>
      <c r="B526" s="23">
        <v>57.82</v>
      </c>
    </row>
    <row r="527" spans="1:2" x14ac:dyDescent="0.35">
      <c r="A527" s="16" t="s">
        <v>1214</v>
      </c>
      <c r="B527" s="23">
        <v>-1.98</v>
      </c>
    </row>
    <row r="528" spans="1:2" x14ac:dyDescent="0.35">
      <c r="A528" s="16" t="s">
        <v>1057</v>
      </c>
      <c r="B528" s="23">
        <v>107.88</v>
      </c>
    </row>
    <row r="529" spans="1:2" x14ac:dyDescent="0.35">
      <c r="A529" s="16" t="s">
        <v>3089</v>
      </c>
      <c r="B529" s="23">
        <v>61.8</v>
      </c>
    </row>
    <row r="530" spans="1:2" x14ac:dyDescent="0.35">
      <c r="A530" s="16" t="s">
        <v>222</v>
      </c>
      <c r="B530" s="23">
        <v>142.09</v>
      </c>
    </row>
    <row r="531" spans="1:2" x14ac:dyDescent="0.35">
      <c r="A531" s="16" t="s">
        <v>1153</v>
      </c>
      <c r="B531" s="23">
        <v>42.62</v>
      </c>
    </row>
    <row r="532" spans="1:2" x14ac:dyDescent="0.35">
      <c r="A532" s="16" t="s">
        <v>1510</v>
      </c>
      <c r="B532" s="23">
        <v>53.94</v>
      </c>
    </row>
    <row r="533" spans="1:2" x14ac:dyDescent="0.35">
      <c r="A533" s="16" t="s">
        <v>1136</v>
      </c>
      <c r="B533" s="23">
        <v>54.62</v>
      </c>
    </row>
    <row r="534" spans="1:2" x14ac:dyDescent="0.35">
      <c r="A534" s="16" t="s">
        <v>1551</v>
      </c>
      <c r="B534" s="23">
        <v>-6.49</v>
      </c>
    </row>
    <row r="535" spans="1:2" x14ac:dyDescent="0.35">
      <c r="A535" s="16" t="s">
        <v>406</v>
      </c>
      <c r="B535" s="23">
        <v>98.83</v>
      </c>
    </row>
    <row r="536" spans="1:2" x14ac:dyDescent="0.35">
      <c r="A536" s="16" t="s">
        <v>2410</v>
      </c>
      <c r="B536" s="23">
        <v>24.38</v>
      </c>
    </row>
    <row r="537" spans="1:2" x14ac:dyDescent="0.35">
      <c r="A537" s="16" t="s">
        <v>2958</v>
      </c>
      <c r="B537" s="23">
        <v>213.69</v>
      </c>
    </row>
    <row r="538" spans="1:2" x14ac:dyDescent="0.35">
      <c r="A538" s="16" t="s">
        <v>3021</v>
      </c>
      <c r="B538" s="23">
        <v>-0.84</v>
      </c>
    </row>
    <row r="539" spans="1:2" x14ac:dyDescent="0.35">
      <c r="A539" s="16" t="s">
        <v>3289</v>
      </c>
      <c r="B539" s="23">
        <v>860.28</v>
      </c>
    </row>
    <row r="540" spans="1:2" x14ac:dyDescent="0.35">
      <c r="A540" s="16" t="s">
        <v>1553</v>
      </c>
      <c r="B540" s="23">
        <v>-0.53</v>
      </c>
    </row>
    <row r="541" spans="1:2" x14ac:dyDescent="0.35">
      <c r="A541" s="16" t="s">
        <v>2697</v>
      </c>
      <c r="B541" s="23">
        <v>19.77</v>
      </c>
    </row>
    <row r="542" spans="1:2" x14ac:dyDescent="0.35">
      <c r="A542" s="16" t="s">
        <v>2338</v>
      </c>
      <c r="B542" s="23">
        <v>71.92</v>
      </c>
    </row>
    <row r="543" spans="1:2" x14ac:dyDescent="0.35">
      <c r="A543" s="16" t="s">
        <v>2283</v>
      </c>
      <c r="B543" s="23">
        <v>5.95</v>
      </c>
    </row>
    <row r="544" spans="1:2" x14ac:dyDescent="0.35">
      <c r="A544" s="16" t="s">
        <v>2745</v>
      </c>
      <c r="B544" s="23">
        <v>19.18</v>
      </c>
    </row>
    <row r="545" spans="1:2" x14ac:dyDescent="0.35">
      <c r="A545" s="16" t="s">
        <v>3322</v>
      </c>
      <c r="B545" s="23">
        <v>154.01</v>
      </c>
    </row>
    <row r="546" spans="1:2" x14ac:dyDescent="0.35">
      <c r="A546" s="16" t="s">
        <v>2425</v>
      </c>
      <c r="B546" s="23">
        <v>25.39</v>
      </c>
    </row>
    <row r="547" spans="1:2" x14ac:dyDescent="0.35">
      <c r="A547" s="16" t="s">
        <v>2112</v>
      </c>
      <c r="B547" s="23">
        <v>38</v>
      </c>
    </row>
    <row r="548" spans="1:2" x14ac:dyDescent="0.35">
      <c r="A548" s="16" t="s">
        <v>721</v>
      </c>
      <c r="B548" s="23">
        <v>56.82</v>
      </c>
    </row>
    <row r="549" spans="1:2" x14ac:dyDescent="0.35">
      <c r="A549" s="16" t="s">
        <v>646</v>
      </c>
      <c r="B549" s="23">
        <v>25.67</v>
      </c>
    </row>
    <row r="550" spans="1:2" x14ac:dyDescent="0.35">
      <c r="A550" s="16" t="s">
        <v>1862</v>
      </c>
      <c r="B550" s="23">
        <v>13.23</v>
      </c>
    </row>
    <row r="551" spans="1:2" x14ac:dyDescent="0.35">
      <c r="A551" s="16" t="s">
        <v>3294</v>
      </c>
      <c r="B551" s="23">
        <v>72.8</v>
      </c>
    </row>
    <row r="552" spans="1:2" x14ac:dyDescent="0.35">
      <c r="A552" s="16" t="s">
        <v>1437</v>
      </c>
      <c r="B552" s="23">
        <v>25.31</v>
      </c>
    </row>
    <row r="553" spans="1:2" x14ac:dyDescent="0.35">
      <c r="A553" s="16" t="s">
        <v>895</v>
      </c>
      <c r="B553" s="23">
        <v>34.520000000000003</v>
      </c>
    </row>
    <row r="554" spans="1:2" x14ac:dyDescent="0.35">
      <c r="A554" s="16" t="s">
        <v>442</v>
      </c>
      <c r="B554" s="23">
        <v>134.77000000000001</v>
      </c>
    </row>
    <row r="555" spans="1:2" x14ac:dyDescent="0.35">
      <c r="A555" s="16" t="s">
        <v>3310</v>
      </c>
      <c r="B555" s="23">
        <v>114.39</v>
      </c>
    </row>
    <row r="556" spans="1:2" x14ac:dyDescent="0.35">
      <c r="A556" s="16" t="s">
        <v>3079</v>
      </c>
      <c r="B556" s="23">
        <v>10.97</v>
      </c>
    </row>
    <row r="557" spans="1:2" x14ac:dyDescent="0.35">
      <c r="A557" s="16" t="s">
        <v>1010</v>
      </c>
      <c r="B557" s="23">
        <v>165.2</v>
      </c>
    </row>
    <row r="558" spans="1:2" x14ac:dyDescent="0.35">
      <c r="A558" s="16" t="s">
        <v>3263</v>
      </c>
      <c r="B558" s="23">
        <v>47.13</v>
      </c>
    </row>
    <row r="559" spans="1:2" x14ac:dyDescent="0.35">
      <c r="A559" s="16" t="s">
        <v>1871</v>
      </c>
      <c r="B559" s="23">
        <v>129.34</v>
      </c>
    </row>
    <row r="560" spans="1:2" x14ac:dyDescent="0.35">
      <c r="A560" s="16" t="s">
        <v>1856</v>
      </c>
      <c r="B560" s="23">
        <v>78.78</v>
      </c>
    </row>
    <row r="561" spans="1:2" x14ac:dyDescent="0.35">
      <c r="A561" s="16" t="s">
        <v>854</v>
      </c>
      <c r="B561" s="23">
        <v>216.56</v>
      </c>
    </row>
    <row r="562" spans="1:2" x14ac:dyDescent="0.35">
      <c r="A562" s="16" t="s">
        <v>1193</v>
      </c>
      <c r="B562" s="23">
        <v>6.51</v>
      </c>
    </row>
    <row r="563" spans="1:2" x14ac:dyDescent="0.35">
      <c r="A563" s="16" t="s">
        <v>96</v>
      </c>
      <c r="B563" s="23">
        <v>3.62</v>
      </c>
    </row>
    <row r="564" spans="1:2" x14ac:dyDescent="0.35">
      <c r="A564" s="16" t="s">
        <v>1075</v>
      </c>
      <c r="B564" s="23">
        <v>113.38</v>
      </c>
    </row>
    <row r="565" spans="1:2" x14ac:dyDescent="0.35">
      <c r="A565" s="16" t="s">
        <v>551</v>
      </c>
      <c r="B565" s="23">
        <v>96.77</v>
      </c>
    </row>
    <row r="566" spans="1:2" x14ac:dyDescent="0.35">
      <c r="A566" s="16" t="s">
        <v>2078</v>
      </c>
      <c r="B566" s="23">
        <v>113.86</v>
      </c>
    </row>
    <row r="567" spans="1:2" x14ac:dyDescent="0.35">
      <c r="A567" s="16" t="s">
        <v>3039</v>
      </c>
      <c r="B567" s="23">
        <v>32.07</v>
      </c>
    </row>
    <row r="568" spans="1:2" x14ac:dyDescent="0.35">
      <c r="A568" s="16" t="s">
        <v>3470</v>
      </c>
      <c r="B568" s="23">
        <v>16.22</v>
      </c>
    </row>
    <row r="569" spans="1:2" x14ac:dyDescent="0.35">
      <c r="A569" s="16" t="s">
        <v>3427</v>
      </c>
      <c r="B569" s="23">
        <v>143.77000000000001</v>
      </c>
    </row>
    <row r="570" spans="1:2" x14ac:dyDescent="0.35">
      <c r="A570" s="16" t="s">
        <v>2411</v>
      </c>
      <c r="B570" s="23">
        <v>190.72</v>
      </c>
    </row>
    <row r="571" spans="1:2" x14ac:dyDescent="0.35">
      <c r="A571" s="16" t="s">
        <v>1093</v>
      </c>
      <c r="B571" s="23">
        <v>0.38</v>
      </c>
    </row>
    <row r="572" spans="1:2" x14ac:dyDescent="0.35">
      <c r="A572" s="16" t="s">
        <v>636</v>
      </c>
      <c r="B572" s="23">
        <v>72.599999999999994</v>
      </c>
    </row>
    <row r="573" spans="1:2" x14ac:dyDescent="0.35">
      <c r="A573" s="16" t="s">
        <v>3023</v>
      </c>
      <c r="B573" s="23">
        <v>2.4300000000000002</v>
      </c>
    </row>
    <row r="574" spans="1:2" x14ac:dyDescent="0.35">
      <c r="A574" s="16" t="s">
        <v>906</v>
      </c>
      <c r="B574" s="23">
        <v>2.09</v>
      </c>
    </row>
    <row r="575" spans="1:2" x14ac:dyDescent="0.35">
      <c r="A575" s="16" t="s">
        <v>3539</v>
      </c>
      <c r="B575" s="23">
        <v>33.36</v>
      </c>
    </row>
    <row r="576" spans="1:2" x14ac:dyDescent="0.35">
      <c r="A576" s="16" t="s">
        <v>1564</v>
      </c>
      <c r="B576" s="23">
        <v>-1.6</v>
      </c>
    </row>
    <row r="577" spans="1:2" x14ac:dyDescent="0.35">
      <c r="A577" s="16" t="s">
        <v>1019</v>
      </c>
      <c r="B577" s="23">
        <v>26.65</v>
      </c>
    </row>
    <row r="578" spans="1:2" x14ac:dyDescent="0.35">
      <c r="A578" s="16" t="s">
        <v>1681</v>
      </c>
      <c r="B578" s="23">
        <v>89.3</v>
      </c>
    </row>
    <row r="579" spans="1:2" x14ac:dyDescent="0.35">
      <c r="A579" s="16" t="s">
        <v>965</v>
      </c>
      <c r="B579" s="23">
        <v>2.08</v>
      </c>
    </row>
    <row r="580" spans="1:2" x14ac:dyDescent="0.35">
      <c r="A580" s="16" t="s">
        <v>3602</v>
      </c>
      <c r="B580" s="23">
        <v>17.23</v>
      </c>
    </row>
    <row r="581" spans="1:2" x14ac:dyDescent="0.35">
      <c r="A581" s="16" t="s">
        <v>402</v>
      </c>
      <c r="B581" s="23">
        <v>99.03</v>
      </c>
    </row>
    <row r="582" spans="1:2" x14ac:dyDescent="0.35">
      <c r="A582" s="16" t="s">
        <v>1121</v>
      </c>
      <c r="B582" s="23">
        <v>92.9</v>
      </c>
    </row>
    <row r="583" spans="1:2" x14ac:dyDescent="0.35">
      <c r="A583" s="16" t="s">
        <v>2269</v>
      </c>
      <c r="B583" s="23">
        <v>91.9</v>
      </c>
    </row>
    <row r="584" spans="1:2" x14ac:dyDescent="0.35">
      <c r="A584" s="16" t="s">
        <v>1927</v>
      </c>
      <c r="B584" s="23">
        <v>12.68</v>
      </c>
    </row>
    <row r="585" spans="1:2" x14ac:dyDescent="0.35">
      <c r="A585" s="16" t="s">
        <v>1777</v>
      </c>
      <c r="B585" s="23">
        <v>-1.25</v>
      </c>
    </row>
    <row r="586" spans="1:2" x14ac:dyDescent="0.35">
      <c r="A586" s="16" t="s">
        <v>2921</v>
      </c>
      <c r="B586" s="23">
        <v>0.02</v>
      </c>
    </row>
    <row r="587" spans="1:2" x14ac:dyDescent="0.35">
      <c r="A587" s="16" t="s">
        <v>1823</v>
      </c>
      <c r="B587" s="23">
        <v>216.76</v>
      </c>
    </row>
    <row r="588" spans="1:2" x14ac:dyDescent="0.35">
      <c r="A588" s="16" t="s">
        <v>2704</v>
      </c>
      <c r="B588" s="23">
        <v>78.84</v>
      </c>
    </row>
    <row r="589" spans="1:2" x14ac:dyDescent="0.35">
      <c r="A589" s="16" t="s">
        <v>1955</v>
      </c>
      <c r="B589" s="23">
        <v>42.42</v>
      </c>
    </row>
    <row r="590" spans="1:2" x14ac:dyDescent="0.35">
      <c r="A590" s="16" t="s">
        <v>1340</v>
      </c>
      <c r="B590" s="23">
        <v>263.32</v>
      </c>
    </row>
    <row r="591" spans="1:2" x14ac:dyDescent="0.35">
      <c r="A591" s="16" t="s">
        <v>2496</v>
      </c>
      <c r="B591" s="23">
        <v>58.23</v>
      </c>
    </row>
    <row r="592" spans="1:2" x14ac:dyDescent="0.35">
      <c r="A592" s="16" t="s">
        <v>119</v>
      </c>
      <c r="B592" s="23">
        <v>199.72</v>
      </c>
    </row>
    <row r="593" spans="1:2" x14ac:dyDescent="0.35">
      <c r="A593" s="16" t="s">
        <v>1985</v>
      </c>
      <c r="B593" s="23">
        <v>3.42</v>
      </c>
    </row>
    <row r="594" spans="1:2" x14ac:dyDescent="0.35">
      <c r="A594" s="16" t="s">
        <v>1360</v>
      </c>
      <c r="B594" s="23">
        <v>-0.49</v>
      </c>
    </row>
    <row r="595" spans="1:2" x14ac:dyDescent="0.35">
      <c r="A595" s="16" t="s">
        <v>3605</v>
      </c>
      <c r="B595" s="23">
        <v>4.66</v>
      </c>
    </row>
    <row r="596" spans="1:2" x14ac:dyDescent="0.35">
      <c r="A596" s="16" t="s">
        <v>3512</v>
      </c>
      <c r="B596" s="23">
        <v>3.89</v>
      </c>
    </row>
    <row r="597" spans="1:2" x14ac:dyDescent="0.35">
      <c r="A597" s="16" t="s">
        <v>251</v>
      </c>
      <c r="B597" s="23">
        <v>248.13</v>
      </c>
    </row>
    <row r="598" spans="1:2" x14ac:dyDescent="0.35">
      <c r="A598" s="16" t="s">
        <v>1810</v>
      </c>
      <c r="B598" s="23">
        <v>15.4</v>
      </c>
    </row>
    <row r="599" spans="1:2" x14ac:dyDescent="0.35">
      <c r="A599" s="16" t="s">
        <v>3069</v>
      </c>
      <c r="B599" s="23">
        <v>38.369999999999997</v>
      </c>
    </row>
    <row r="600" spans="1:2" x14ac:dyDescent="0.35">
      <c r="A600" s="16" t="s">
        <v>2971</v>
      </c>
      <c r="B600" s="23">
        <v>119.33</v>
      </c>
    </row>
    <row r="601" spans="1:2" x14ac:dyDescent="0.35">
      <c r="A601" s="16" t="s">
        <v>3110</v>
      </c>
      <c r="B601" s="23">
        <v>366.2</v>
      </c>
    </row>
    <row r="602" spans="1:2" x14ac:dyDescent="0.35">
      <c r="A602" s="16" t="s">
        <v>142</v>
      </c>
      <c r="B602" s="23">
        <v>60.82</v>
      </c>
    </row>
    <row r="603" spans="1:2" x14ac:dyDescent="0.35">
      <c r="A603" s="16" t="s">
        <v>988</v>
      </c>
      <c r="B603" s="23">
        <v>261.2</v>
      </c>
    </row>
    <row r="604" spans="1:2" x14ac:dyDescent="0.35">
      <c r="A604" s="16" t="s">
        <v>2574</v>
      </c>
      <c r="B604" s="23">
        <v>35.36</v>
      </c>
    </row>
    <row r="605" spans="1:2" x14ac:dyDescent="0.35">
      <c r="A605" s="16" t="s">
        <v>2427</v>
      </c>
      <c r="B605" s="23">
        <v>210.96</v>
      </c>
    </row>
    <row r="606" spans="1:2" x14ac:dyDescent="0.35">
      <c r="A606" s="16" t="s">
        <v>3116</v>
      </c>
      <c r="B606" s="23">
        <v>280.47000000000003</v>
      </c>
    </row>
    <row r="607" spans="1:2" x14ac:dyDescent="0.35">
      <c r="A607" s="16" t="s">
        <v>2608</v>
      </c>
      <c r="B607" s="23">
        <v>43.99</v>
      </c>
    </row>
    <row r="608" spans="1:2" x14ac:dyDescent="0.35">
      <c r="A608" s="16" t="s">
        <v>288</v>
      </c>
      <c r="B608" s="23">
        <v>248.72</v>
      </c>
    </row>
    <row r="609" spans="1:2" x14ac:dyDescent="0.35">
      <c r="A609" s="16" t="s">
        <v>1071</v>
      </c>
      <c r="B609" s="23">
        <v>53.37</v>
      </c>
    </row>
    <row r="610" spans="1:2" x14ac:dyDescent="0.35">
      <c r="A610" s="16" t="s">
        <v>519</v>
      </c>
      <c r="B610" s="23">
        <v>11.06</v>
      </c>
    </row>
    <row r="611" spans="1:2" x14ac:dyDescent="0.35">
      <c r="A611" s="16" t="s">
        <v>2066</v>
      </c>
      <c r="B611" s="23">
        <v>7.89</v>
      </c>
    </row>
    <row r="612" spans="1:2" x14ac:dyDescent="0.35">
      <c r="A612" s="16" t="s">
        <v>515</v>
      </c>
      <c r="B612" s="23">
        <v>72.61</v>
      </c>
    </row>
    <row r="613" spans="1:2" x14ac:dyDescent="0.35">
      <c r="A613" s="16" t="s">
        <v>3219</v>
      </c>
      <c r="B613" s="23">
        <v>86.02</v>
      </c>
    </row>
    <row r="614" spans="1:2" x14ac:dyDescent="0.35">
      <c r="A614" s="16" t="s">
        <v>2615</v>
      </c>
      <c r="B614" s="23">
        <v>3.17</v>
      </c>
    </row>
    <row r="615" spans="1:2" x14ac:dyDescent="0.35">
      <c r="A615" s="16" t="s">
        <v>2942</v>
      </c>
      <c r="B615" s="23">
        <v>294.47000000000003</v>
      </c>
    </row>
    <row r="616" spans="1:2" x14ac:dyDescent="0.35">
      <c r="A616" s="16" t="s">
        <v>2073</v>
      </c>
      <c r="B616" s="23">
        <v>1.06</v>
      </c>
    </row>
    <row r="617" spans="1:2" x14ac:dyDescent="0.35">
      <c r="A617" s="16" t="s">
        <v>1812</v>
      </c>
      <c r="B617" s="23">
        <v>28.96</v>
      </c>
    </row>
    <row r="618" spans="1:2" x14ac:dyDescent="0.35">
      <c r="A618" s="16" t="s">
        <v>2759</v>
      </c>
      <c r="B618" s="23">
        <v>24.24</v>
      </c>
    </row>
    <row r="619" spans="1:2" x14ac:dyDescent="0.35">
      <c r="A619" s="16" t="s">
        <v>1693</v>
      </c>
      <c r="B619" s="23">
        <v>98.9</v>
      </c>
    </row>
    <row r="620" spans="1:2" x14ac:dyDescent="0.35">
      <c r="A620" s="16" t="s">
        <v>3011</v>
      </c>
      <c r="B620" s="23">
        <v>-3.69</v>
      </c>
    </row>
    <row r="621" spans="1:2" x14ac:dyDescent="0.35">
      <c r="A621" s="16" t="s">
        <v>2877</v>
      </c>
      <c r="B621" s="23">
        <v>336.58</v>
      </c>
    </row>
    <row r="622" spans="1:2" x14ac:dyDescent="0.35">
      <c r="A622" s="16" t="s">
        <v>2681</v>
      </c>
      <c r="B622" s="23">
        <v>10.23</v>
      </c>
    </row>
    <row r="623" spans="1:2" x14ac:dyDescent="0.35">
      <c r="A623" s="16" t="s">
        <v>306</v>
      </c>
      <c r="B623" s="23">
        <v>-6.16</v>
      </c>
    </row>
    <row r="624" spans="1:2" x14ac:dyDescent="0.35">
      <c r="A624" s="16" t="s">
        <v>2321</v>
      </c>
      <c r="B624" s="23">
        <v>230.46</v>
      </c>
    </row>
    <row r="625" spans="1:2" x14ac:dyDescent="0.35">
      <c r="A625" s="16" t="s">
        <v>2976</v>
      </c>
      <c r="B625" s="23">
        <v>17.25</v>
      </c>
    </row>
    <row r="626" spans="1:2" x14ac:dyDescent="0.35">
      <c r="A626" s="16" t="s">
        <v>511</v>
      </c>
      <c r="B626" s="23">
        <v>68.37</v>
      </c>
    </row>
    <row r="627" spans="1:2" x14ac:dyDescent="0.35">
      <c r="A627" s="16" t="s">
        <v>2462</v>
      </c>
      <c r="B627" s="23">
        <v>-3.21</v>
      </c>
    </row>
    <row r="628" spans="1:2" x14ac:dyDescent="0.35">
      <c r="A628" s="16" t="s">
        <v>731</v>
      </c>
      <c r="B628" s="23">
        <v>633.6</v>
      </c>
    </row>
    <row r="629" spans="1:2" x14ac:dyDescent="0.35">
      <c r="A629" s="16" t="s">
        <v>2825</v>
      </c>
      <c r="B629" s="23">
        <v>-5.55</v>
      </c>
    </row>
    <row r="630" spans="1:2" x14ac:dyDescent="0.35">
      <c r="A630" s="16" t="s">
        <v>3172</v>
      </c>
      <c r="B630" s="23">
        <v>47.11</v>
      </c>
    </row>
    <row r="631" spans="1:2" x14ac:dyDescent="0.35">
      <c r="A631" s="16" t="s">
        <v>3285</v>
      </c>
      <c r="B631" s="23">
        <v>39.64</v>
      </c>
    </row>
    <row r="632" spans="1:2" x14ac:dyDescent="0.35">
      <c r="A632" s="16" t="s">
        <v>2068</v>
      </c>
      <c r="B632" s="23">
        <v>46.97</v>
      </c>
    </row>
    <row r="633" spans="1:2" x14ac:dyDescent="0.35">
      <c r="A633" s="16" t="s">
        <v>3041</v>
      </c>
      <c r="B633" s="23">
        <v>10.34</v>
      </c>
    </row>
    <row r="634" spans="1:2" x14ac:dyDescent="0.35">
      <c r="A634" s="16" t="s">
        <v>1801</v>
      </c>
      <c r="B634" s="23">
        <v>36.07</v>
      </c>
    </row>
    <row r="635" spans="1:2" x14ac:dyDescent="0.35">
      <c r="A635" s="16" t="s">
        <v>1289</v>
      </c>
      <c r="B635" s="23">
        <v>0.92</v>
      </c>
    </row>
    <row r="636" spans="1:2" x14ac:dyDescent="0.35">
      <c r="A636" s="16" t="s">
        <v>2369</v>
      </c>
      <c r="B636" s="23">
        <v>18.02</v>
      </c>
    </row>
    <row r="637" spans="1:2" x14ac:dyDescent="0.35">
      <c r="A637" s="16" t="s">
        <v>2819</v>
      </c>
      <c r="B637" s="23">
        <v>244.05</v>
      </c>
    </row>
    <row r="638" spans="1:2" x14ac:dyDescent="0.35">
      <c r="A638" s="16" t="s">
        <v>1027</v>
      </c>
      <c r="B638" s="23">
        <v>83.28</v>
      </c>
    </row>
    <row r="639" spans="1:2" x14ac:dyDescent="0.35">
      <c r="A639" s="16" t="s">
        <v>146</v>
      </c>
      <c r="B639" s="23">
        <v>0.34</v>
      </c>
    </row>
    <row r="640" spans="1:2" x14ac:dyDescent="0.35">
      <c r="A640" s="16" t="s">
        <v>346</v>
      </c>
      <c r="B640" s="23">
        <v>3.96</v>
      </c>
    </row>
    <row r="641" spans="1:2" x14ac:dyDescent="0.35">
      <c r="A641" s="16" t="s">
        <v>2355</v>
      </c>
      <c r="B641" s="23">
        <v>395.07</v>
      </c>
    </row>
    <row r="642" spans="1:2" x14ac:dyDescent="0.35">
      <c r="A642" s="16" t="s">
        <v>3043</v>
      </c>
      <c r="B642" s="23">
        <v>0.2</v>
      </c>
    </row>
    <row r="643" spans="1:2" x14ac:dyDescent="0.35">
      <c r="A643" s="16" t="s">
        <v>1713</v>
      </c>
      <c r="B643" s="23">
        <v>134.37</v>
      </c>
    </row>
    <row r="644" spans="1:2" x14ac:dyDescent="0.35">
      <c r="A644" s="16" t="s">
        <v>1949</v>
      </c>
      <c r="B644" s="23">
        <v>77.86</v>
      </c>
    </row>
    <row r="645" spans="1:2" x14ac:dyDescent="0.35">
      <c r="A645" s="16" t="s">
        <v>212</v>
      </c>
      <c r="B645" s="23">
        <v>678.86</v>
      </c>
    </row>
    <row r="646" spans="1:2" x14ac:dyDescent="0.35">
      <c r="A646" s="16" t="s">
        <v>3260</v>
      </c>
      <c r="B646" s="23">
        <v>5.54</v>
      </c>
    </row>
    <row r="647" spans="1:2" x14ac:dyDescent="0.35">
      <c r="A647" s="16" t="s">
        <v>2595</v>
      </c>
      <c r="B647" s="23">
        <v>36.49</v>
      </c>
    </row>
    <row r="648" spans="1:2" x14ac:dyDescent="0.35">
      <c r="A648" s="16" t="s">
        <v>2470</v>
      </c>
      <c r="B648" s="23">
        <v>251.09</v>
      </c>
    </row>
    <row r="649" spans="1:2" x14ac:dyDescent="0.35">
      <c r="A649" s="16" t="s">
        <v>278</v>
      </c>
      <c r="B649" s="23">
        <v>16.89</v>
      </c>
    </row>
    <row r="650" spans="1:2" x14ac:dyDescent="0.35">
      <c r="A650" s="16" t="s">
        <v>2650</v>
      </c>
      <c r="B650" s="23">
        <v>-1.29</v>
      </c>
    </row>
    <row r="651" spans="1:2" x14ac:dyDescent="0.35">
      <c r="A651" s="16" t="s">
        <v>2172</v>
      </c>
      <c r="B651" s="23">
        <v>-7.69</v>
      </c>
    </row>
    <row r="652" spans="1:2" x14ac:dyDescent="0.35">
      <c r="A652" s="16" t="s">
        <v>3341</v>
      </c>
      <c r="B652" s="23">
        <v>44.89</v>
      </c>
    </row>
    <row r="653" spans="1:2" x14ac:dyDescent="0.35">
      <c r="A653" s="16" t="s">
        <v>1395</v>
      </c>
      <c r="B653" s="23">
        <v>15.54</v>
      </c>
    </row>
    <row r="654" spans="1:2" x14ac:dyDescent="0.35">
      <c r="A654" s="16" t="s">
        <v>836</v>
      </c>
      <c r="B654" s="23">
        <v>-0.54</v>
      </c>
    </row>
    <row r="655" spans="1:2" x14ac:dyDescent="0.35">
      <c r="A655" s="16" t="s">
        <v>497</v>
      </c>
      <c r="B655" s="23">
        <v>394.52</v>
      </c>
    </row>
    <row r="656" spans="1:2" x14ac:dyDescent="0.35">
      <c r="A656" s="16" t="s">
        <v>3290</v>
      </c>
      <c r="B656" s="23">
        <v>8.73</v>
      </c>
    </row>
    <row r="657" spans="1:2" x14ac:dyDescent="0.35">
      <c r="A657" s="16" t="s">
        <v>2511</v>
      </c>
      <c r="B657" s="23">
        <v>34.22</v>
      </c>
    </row>
    <row r="658" spans="1:2" x14ac:dyDescent="0.35">
      <c r="A658" s="16" t="s">
        <v>2568</v>
      </c>
      <c r="B658" s="23">
        <v>6.03</v>
      </c>
    </row>
    <row r="659" spans="1:2" x14ac:dyDescent="0.35">
      <c r="A659" s="16" t="s">
        <v>3059</v>
      </c>
      <c r="B659" s="23">
        <v>55.6</v>
      </c>
    </row>
    <row r="660" spans="1:2" x14ac:dyDescent="0.35">
      <c r="A660" s="16" t="s">
        <v>2653</v>
      </c>
      <c r="B660" s="23">
        <v>100.66</v>
      </c>
    </row>
    <row r="661" spans="1:2" x14ac:dyDescent="0.35">
      <c r="A661" s="16" t="s">
        <v>1297</v>
      </c>
      <c r="B661" s="23">
        <v>52.65</v>
      </c>
    </row>
    <row r="662" spans="1:2" x14ac:dyDescent="0.35">
      <c r="A662" s="16" t="s">
        <v>2313</v>
      </c>
      <c r="B662" s="23">
        <v>21.8</v>
      </c>
    </row>
    <row r="663" spans="1:2" x14ac:dyDescent="0.35">
      <c r="A663" s="16" t="s">
        <v>1601</v>
      </c>
      <c r="B663" s="23">
        <v>6.62</v>
      </c>
    </row>
    <row r="664" spans="1:2" x14ac:dyDescent="0.35">
      <c r="A664" s="16" t="s">
        <v>671</v>
      </c>
      <c r="B664" s="23">
        <v>222.86</v>
      </c>
    </row>
    <row r="665" spans="1:2" x14ac:dyDescent="0.35">
      <c r="A665" s="16" t="s">
        <v>1446</v>
      </c>
      <c r="B665" s="23">
        <v>53.37</v>
      </c>
    </row>
    <row r="666" spans="1:2" x14ac:dyDescent="0.35">
      <c r="A666" s="16" t="s">
        <v>2229</v>
      </c>
      <c r="B666" s="23">
        <v>150.31</v>
      </c>
    </row>
    <row r="667" spans="1:2" x14ac:dyDescent="0.35">
      <c r="A667" s="16" t="s">
        <v>1956</v>
      </c>
      <c r="B667" s="23">
        <v>165.85</v>
      </c>
    </row>
    <row r="668" spans="1:2" x14ac:dyDescent="0.35">
      <c r="A668" s="16" t="s">
        <v>1615</v>
      </c>
      <c r="B668" s="23">
        <v>32.61</v>
      </c>
    </row>
    <row r="669" spans="1:2" x14ac:dyDescent="0.35">
      <c r="A669" s="16" t="s">
        <v>2472</v>
      </c>
      <c r="B669" s="23">
        <v>-4.26</v>
      </c>
    </row>
    <row r="670" spans="1:2" x14ac:dyDescent="0.35">
      <c r="A670" s="16" t="s">
        <v>460</v>
      </c>
      <c r="B670" s="23">
        <v>16.48</v>
      </c>
    </row>
    <row r="671" spans="1:2" x14ac:dyDescent="0.35">
      <c r="A671" s="16" t="s">
        <v>2545</v>
      </c>
      <c r="B671" s="23">
        <v>41.82</v>
      </c>
    </row>
    <row r="672" spans="1:2" x14ac:dyDescent="0.35">
      <c r="A672" s="16" t="s">
        <v>2407</v>
      </c>
      <c r="B672" s="23">
        <v>9.3000000000000007</v>
      </c>
    </row>
    <row r="673" spans="1:2" x14ac:dyDescent="0.35">
      <c r="A673" s="16" t="s">
        <v>3182</v>
      </c>
      <c r="B673" s="23">
        <v>44.14</v>
      </c>
    </row>
    <row r="674" spans="1:2" x14ac:dyDescent="0.35">
      <c r="A674" s="16" t="s">
        <v>3255</v>
      </c>
      <c r="B674" s="23">
        <v>15.25</v>
      </c>
    </row>
    <row r="675" spans="1:2" x14ac:dyDescent="0.35">
      <c r="A675" s="16" t="s">
        <v>1418</v>
      </c>
      <c r="B675" s="23">
        <v>-0.08</v>
      </c>
    </row>
    <row r="676" spans="1:2" x14ac:dyDescent="0.35">
      <c r="A676" s="16" t="s">
        <v>1389</v>
      </c>
      <c r="B676" s="23">
        <v>34.14</v>
      </c>
    </row>
    <row r="677" spans="1:2" x14ac:dyDescent="0.35">
      <c r="A677" s="16" t="s">
        <v>653</v>
      </c>
      <c r="B677" s="23">
        <v>30.02</v>
      </c>
    </row>
    <row r="678" spans="1:2" x14ac:dyDescent="0.35">
      <c r="A678" s="16" t="s">
        <v>3611</v>
      </c>
      <c r="B678" s="23">
        <v>18.66</v>
      </c>
    </row>
    <row r="679" spans="1:2" x14ac:dyDescent="0.35">
      <c r="A679" s="16" t="s">
        <v>340</v>
      </c>
      <c r="B679" s="23">
        <v>220.87</v>
      </c>
    </row>
    <row r="680" spans="1:2" x14ac:dyDescent="0.35">
      <c r="A680" s="16" t="s">
        <v>1234</v>
      </c>
      <c r="B680" s="23">
        <v>193.56</v>
      </c>
    </row>
    <row r="681" spans="1:2" x14ac:dyDescent="0.35">
      <c r="A681" s="16" t="s">
        <v>3471</v>
      </c>
      <c r="B681" s="23">
        <v>3.71</v>
      </c>
    </row>
    <row r="682" spans="1:2" x14ac:dyDescent="0.35">
      <c r="A682" s="16" t="s">
        <v>2796</v>
      </c>
      <c r="B682" s="23">
        <v>28.98</v>
      </c>
    </row>
    <row r="683" spans="1:2" x14ac:dyDescent="0.35">
      <c r="A683" s="16" t="s">
        <v>800</v>
      </c>
      <c r="B683" s="23">
        <v>-2.5099999999999998</v>
      </c>
    </row>
    <row r="684" spans="1:2" x14ac:dyDescent="0.35">
      <c r="A684" s="16" t="s">
        <v>753</v>
      </c>
      <c r="B684" s="23">
        <v>46.81</v>
      </c>
    </row>
    <row r="685" spans="1:2" x14ac:dyDescent="0.35">
      <c r="A685" s="16" t="s">
        <v>3477</v>
      </c>
      <c r="B685" s="23">
        <v>-0.01</v>
      </c>
    </row>
    <row r="686" spans="1:2" x14ac:dyDescent="0.35">
      <c r="A686" s="16" t="s">
        <v>3145</v>
      </c>
      <c r="B686" s="23">
        <v>80.42</v>
      </c>
    </row>
    <row r="687" spans="1:2" x14ac:dyDescent="0.35">
      <c r="A687" s="16" t="s">
        <v>2784</v>
      </c>
      <c r="B687" s="23">
        <v>0.94</v>
      </c>
    </row>
    <row r="688" spans="1:2" x14ac:dyDescent="0.35">
      <c r="A688" s="16" t="s">
        <v>2925</v>
      </c>
      <c r="B688" s="23">
        <v>-5.38</v>
      </c>
    </row>
    <row r="689" spans="1:2" x14ac:dyDescent="0.35">
      <c r="A689" s="16" t="s">
        <v>99</v>
      </c>
      <c r="B689" s="23">
        <v>-5.87</v>
      </c>
    </row>
    <row r="690" spans="1:2" x14ac:dyDescent="0.35">
      <c r="A690" s="16" t="s">
        <v>1617</v>
      </c>
      <c r="B690" s="23">
        <v>51.23</v>
      </c>
    </row>
    <row r="691" spans="1:2" x14ac:dyDescent="0.35">
      <c r="A691" s="16" t="s">
        <v>908</v>
      </c>
      <c r="B691" s="23">
        <v>1.5</v>
      </c>
    </row>
    <row r="692" spans="1:2" x14ac:dyDescent="0.35">
      <c r="A692" s="16" t="s">
        <v>3311</v>
      </c>
      <c r="B692" s="23">
        <v>107.8</v>
      </c>
    </row>
    <row r="693" spans="1:2" x14ac:dyDescent="0.35">
      <c r="A693" s="16" t="s">
        <v>2455</v>
      </c>
      <c r="B693" s="23">
        <v>28.08</v>
      </c>
    </row>
    <row r="694" spans="1:2" x14ac:dyDescent="0.35">
      <c r="A694" s="16" t="s">
        <v>1929</v>
      </c>
      <c r="B694" s="23">
        <v>36.54</v>
      </c>
    </row>
    <row r="695" spans="1:2" x14ac:dyDescent="0.35">
      <c r="A695" s="16" t="s">
        <v>2897</v>
      </c>
      <c r="B695" s="23">
        <v>-1.47</v>
      </c>
    </row>
    <row r="696" spans="1:2" x14ac:dyDescent="0.35">
      <c r="A696" s="16" t="s">
        <v>2302</v>
      </c>
      <c r="B696" s="23">
        <v>10.24</v>
      </c>
    </row>
    <row r="697" spans="1:2" x14ac:dyDescent="0.35">
      <c r="A697" s="16" t="s">
        <v>150</v>
      </c>
      <c r="B697" s="23">
        <v>65.92</v>
      </c>
    </row>
    <row r="698" spans="1:2" x14ac:dyDescent="0.35">
      <c r="A698" s="16" t="s">
        <v>1425</v>
      </c>
      <c r="B698" s="23">
        <v>-5.91</v>
      </c>
    </row>
    <row r="699" spans="1:2" x14ac:dyDescent="0.35">
      <c r="A699" s="16" t="s">
        <v>1145</v>
      </c>
      <c r="B699" s="23">
        <v>19.86</v>
      </c>
    </row>
    <row r="700" spans="1:2" x14ac:dyDescent="0.35">
      <c r="A700" s="16" t="s">
        <v>2165</v>
      </c>
      <c r="B700" s="23">
        <v>-2.63</v>
      </c>
    </row>
    <row r="701" spans="1:2" x14ac:dyDescent="0.35">
      <c r="A701" s="16" t="s">
        <v>2866</v>
      </c>
      <c r="B701" s="23">
        <v>17.649999999999999</v>
      </c>
    </row>
    <row r="702" spans="1:2" x14ac:dyDescent="0.35">
      <c r="A702" s="16" t="s">
        <v>2550</v>
      </c>
      <c r="B702" s="23">
        <v>405.16</v>
      </c>
    </row>
    <row r="703" spans="1:2" x14ac:dyDescent="0.35">
      <c r="A703" s="16" t="s">
        <v>670</v>
      </c>
      <c r="B703" s="23">
        <v>47.96</v>
      </c>
    </row>
    <row r="704" spans="1:2" x14ac:dyDescent="0.35">
      <c r="A704" s="16" t="s">
        <v>2436</v>
      </c>
      <c r="B704" s="23">
        <v>101.05</v>
      </c>
    </row>
    <row r="705" spans="1:2" x14ac:dyDescent="0.35">
      <c r="A705" s="16" t="s">
        <v>2556</v>
      </c>
      <c r="B705" s="23">
        <v>-9.01</v>
      </c>
    </row>
    <row r="706" spans="1:2" x14ac:dyDescent="0.35">
      <c r="A706" s="16" t="s">
        <v>493</v>
      </c>
      <c r="B706" s="23">
        <v>1.46</v>
      </c>
    </row>
    <row r="707" spans="1:2" x14ac:dyDescent="0.35">
      <c r="A707" s="16" t="s">
        <v>2734</v>
      </c>
      <c r="B707" s="23">
        <v>14.08</v>
      </c>
    </row>
    <row r="708" spans="1:2" x14ac:dyDescent="0.35">
      <c r="A708" s="16" t="s">
        <v>1581</v>
      </c>
      <c r="B708" s="23">
        <v>6.18</v>
      </c>
    </row>
    <row r="709" spans="1:2" x14ac:dyDescent="0.35">
      <c r="A709" s="16" t="s">
        <v>1535</v>
      </c>
      <c r="B709" s="23">
        <v>263.7</v>
      </c>
    </row>
    <row r="710" spans="1:2" x14ac:dyDescent="0.35">
      <c r="A710" s="16" t="s">
        <v>2296</v>
      </c>
      <c r="B710" s="23">
        <v>27.34</v>
      </c>
    </row>
    <row r="711" spans="1:2" x14ac:dyDescent="0.35">
      <c r="A711" s="16" t="s">
        <v>1519</v>
      </c>
      <c r="B711" s="23">
        <v>66.19</v>
      </c>
    </row>
    <row r="712" spans="1:2" x14ac:dyDescent="0.35">
      <c r="A712" s="16" t="s">
        <v>1391</v>
      </c>
      <c r="B712" s="23">
        <v>14.67</v>
      </c>
    </row>
    <row r="713" spans="1:2" x14ac:dyDescent="0.35">
      <c r="A713" s="16" t="s">
        <v>552</v>
      </c>
      <c r="B713" s="23">
        <v>59.92</v>
      </c>
    </row>
    <row r="714" spans="1:2" x14ac:dyDescent="0.35">
      <c r="A714" s="16" t="s">
        <v>152</v>
      </c>
      <c r="B714" s="23">
        <v>9.3000000000000007</v>
      </c>
    </row>
    <row r="715" spans="1:2" x14ac:dyDescent="0.35">
      <c r="A715" s="16" t="s">
        <v>656</v>
      </c>
      <c r="B715" s="23">
        <v>104.96</v>
      </c>
    </row>
    <row r="716" spans="1:2" x14ac:dyDescent="0.35">
      <c r="A716" s="16" t="s">
        <v>957</v>
      </c>
      <c r="B716" s="23">
        <v>36.9</v>
      </c>
    </row>
    <row r="717" spans="1:2" x14ac:dyDescent="0.35">
      <c r="A717" s="16" t="s">
        <v>2020</v>
      </c>
      <c r="B717" s="23">
        <v>46.41</v>
      </c>
    </row>
    <row r="718" spans="1:2" x14ac:dyDescent="0.35">
      <c r="A718" s="16" t="s">
        <v>2371</v>
      </c>
      <c r="B718" s="23">
        <v>122.43</v>
      </c>
    </row>
    <row r="719" spans="1:2" x14ac:dyDescent="0.35">
      <c r="A719" s="16" t="s">
        <v>2021</v>
      </c>
      <c r="B719" s="23">
        <v>164.06</v>
      </c>
    </row>
    <row r="720" spans="1:2" x14ac:dyDescent="0.35">
      <c r="A720" s="16" t="s">
        <v>1140</v>
      </c>
      <c r="B720" s="23">
        <v>117.21</v>
      </c>
    </row>
    <row r="721" spans="1:2" x14ac:dyDescent="0.35">
      <c r="A721" s="16" t="s">
        <v>1397</v>
      </c>
      <c r="B721" s="23">
        <v>350.46</v>
      </c>
    </row>
    <row r="722" spans="1:2" x14ac:dyDescent="0.35">
      <c r="A722" s="16" t="s">
        <v>3344</v>
      </c>
      <c r="B722" s="23">
        <v>140.69</v>
      </c>
    </row>
    <row r="723" spans="1:2" x14ac:dyDescent="0.35">
      <c r="A723" s="16" t="s">
        <v>190</v>
      </c>
      <c r="B723" s="23">
        <v>56.92</v>
      </c>
    </row>
    <row r="724" spans="1:2" x14ac:dyDescent="0.35">
      <c r="A724" s="16" t="s">
        <v>1749</v>
      </c>
      <c r="B724" s="23">
        <v>1.41</v>
      </c>
    </row>
    <row r="725" spans="1:2" x14ac:dyDescent="0.35">
      <c r="A725" s="16" t="s">
        <v>564</v>
      </c>
      <c r="B725" s="23">
        <v>33.76</v>
      </c>
    </row>
    <row r="726" spans="1:2" x14ac:dyDescent="0.35">
      <c r="A726" s="16" t="s">
        <v>3572</v>
      </c>
      <c r="B726" s="23">
        <v>-2.84</v>
      </c>
    </row>
    <row r="727" spans="1:2" x14ac:dyDescent="0.35">
      <c r="A727" s="16" t="s">
        <v>1342</v>
      </c>
      <c r="B727" s="23">
        <v>103.67</v>
      </c>
    </row>
    <row r="728" spans="1:2" x14ac:dyDescent="0.35">
      <c r="A728" s="16" t="s">
        <v>1194</v>
      </c>
      <c r="B728" s="23">
        <v>246.56</v>
      </c>
    </row>
    <row r="729" spans="1:2" x14ac:dyDescent="0.35">
      <c r="A729" s="16" t="s">
        <v>598</v>
      </c>
      <c r="B729" s="23">
        <v>55.93</v>
      </c>
    </row>
    <row r="730" spans="1:2" x14ac:dyDescent="0.35">
      <c r="A730" s="16" t="s">
        <v>602</v>
      </c>
      <c r="B730" s="23">
        <v>5.12</v>
      </c>
    </row>
    <row r="731" spans="1:2" x14ac:dyDescent="0.35">
      <c r="A731" s="16" t="s">
        <v>1740</v>
      </c>
      <c r="B731" s="23">
        <v>23.06</v>
      </c>
    </row>
    <row r="732" spans="1:2" x14ac:dyDescent="0.35">
      <c r="A732" s="16" t="s">
        <v>3401</v>
      </c>
      <c r="B732" s="23">
        <v>219.29</v>
      </c>
    </row>
    <row r="733" spans="1:2" x14ac:dyDescent="0.35">
      <c r="A733" s="16" t="s">
        <v>2638</v>
      </c>
      <c r="B733" s="23">
        <v>25.09</v>
      </c>
    </row>
    <row r="734" spans="1:2" x14ac:dyDescent="0.35">
      <c r="A734" s="16" t="s">
        <v>3407</v>
      </c>
      <c r="B734" s="23">
        <v>250.6</v>
      </c>
    </row>
    <row r="735" spans="1:2" x14ac:dyDescent="0.35">
      <c r="A735" s="16" t="s">
        <v>1727</v>
      </c>
      <c r="B735" s="23">
        <v>105.59</v>
      </c>
    </row>
    <row r="736" spans="1:2" x14ac:dyDescent="0.35">
      <c r="A736" s="16" t="s">
        <v>3388</v>
      </c>
      <c r="B736" s="23">
        <v>25.85</v>
      </c>
    </row>
    <row r="737" spans="1:2" x14ac:dyDescent="0.35">
      <c r="A737" s="16" t="s">
        <v>1847</v>
      </c>
      <c r="B737" s="23">
        <v>-2.87</v>
      </c>
    </row>
    <row r="738" spans="1:2" x14ac:dyDescent="0.35">
      <c r="A738" s="16" t="s">
        <v>3026</v>
      </c>
      <c r="B738" s="23">
        <v>63.38</v>
      </c>
    </row>
    <row r="739" spans="1:2" x14ac:dyDescent="0.35">
      <c r="A739" s="16" t="s">
        <v>104</v>
      </c>
      <c r="B739" s="23">
        <v>22.07</v>
      </c>
    </row>
    <row r="740" spans="1:2" x14ac:dyDescent="0.35">
      <c r="A740" s="16" t="s">
        <v>838</v>
      </c>
      <c r="B740" s="23">
        <v>164.92</v>
      </c>
    </row>
    <row r="741" spans="1:2" x14ac:dyDescent="0.35">
      <c r="A741" s="16" t="s">
        <v>884</v>
      </c>
      <c r="B741" s="23">
        <v>619.46</v>
      </c>
    </row>
    <row r="742" spans="1:2" x14ac:dyDescent="0.35">
      <c r="A742" s="16" t="s">
        <v>3215</v>
      </c>
      <c r="B742" s="23">
        <v>496.58</v>
      </c>
    </row>
    <row r="743" spans="1:2" x14ac:dyDescent="0.35">
      <c r="A743" s="16" t="s">
        <v>3090</v>
      </c>
      <c r="B743" s="23">
        <v>33.229999999999997</v>
      </c>
    </row>
    <row r="744" spans="1:2" x14ac:dyDescent="0.35">
      <c r="A744" s="16" t="s">
        <v>2482</v>
      </c>
      <c r="B744" s="23">
        <v>64.97</v>
      </c>
    </row>
    <row r="745" spans="1:2" x14ac:dyDescent="0.35">
      <c r="A745" s="16" t="s">
        <v>2464</v>
      </c>
      <c r="B745" s="23">
        <v>11.4</v>
      </c>
    </row>
    <row r="746" spans="1:2" x14ac:dyDescent="0.35">
      <c r="A746" s="16" t="s">
        <v>3394</v>
      </c>
      <c r="B746" s="23">
        <v>104.42</v>
      </c>
    </row>
    <row r="747" spans="1:2" x14ac:dyDescent="0.35">
      <c r="A747" s="16" t="s">
        <v>336</v>
      </c>
      <c r="B747" s="23">
        <v>107.7</v>
      </c>
    </row>
    <row r="748" spans="1:2" x14ac:dyDescent="0.35">
      <c r="A748" s="16" t="s">
        <v>180</v>
      </c>
      <c r="B748" s="23">
        <v>319.52</v>
      </c>
    </row>
    <row r="749" spans="1:2" x14ac:dyDescent="0.35">
      <c r="A749" s="16" t="s">
        <v>3156</v>
      </c>
      <c r="B749" s="23">
        <v>40.020000000000003</v>
      </c>
    </row>
    <row r="750" spans="1:2" x14ac:dyDescent="0.35">
      <c r="A750" s="16" t="s">
        <v>673</v>
      </c>
      <c r="B750" s="23">
        <v>-2.37</v>
      </c>
    </row>
    <row r="751" spans="1:2" x14ac:dyDescent="0.35">
      <c r="A751" s="16" t="s">
        <v>2044</v>
      </c>
      <c r="B751" s="23">
        <v>15.97</v>
      </c>
    </row>
    <row r="752" spans="1:2" x14ac:dyDescent="0.35">
      <c r="A752" s="16" t="s">
        <v>3498</v>
      </c>
      <c r="B752" s="23">
        <v>19.63</v>
      </c>
    </row>
    <row r="753" spans="1:2" x14ac:dyDescent="0.35">
      <c r="A753" s="16" t="s">
        <v>1063</v>
      </c>
      <c r="B753" s="23">
        <v>15.66</v>
      </c>
    </row>
    <row r="754" spans="1:2" x14ac:dyDescent="0.35">
      <c r="A754" s="16" t="s">
        <v>2694</v>
      </c>
      <c r="B754" s="23">
        <v>237.92</v>
      </c>
    </row>
    <row r="755" spans="1:2" x14ac:dyDescent="0.35">
      <c r="A755" s="16" t="s">
        <v>975</v>
      </c>
      <c r="B755" s="23">
        <v>187.95</v>
      </c>
    </row>
    <row r="756" spans="1:2" x14ac:dyDescent="0.35">
      <c r="A756" s="16" t="s">
        <v>1178</v>
      </c>
      <c r="B756" s="23">
        <v>67.94</v>
      </c>
    </row>
    <row r="757" spans="1:2" x14ac:dyDescent="0.35">
      <c r="A757" s="16" t="s">
        <v>1592</v>
      </c>
      <c r="B757" s="23">
        <v>353.12</v>
      </c>
    </row>
    <row r="758" spans="1:2" x14ac:dyDescent="0.35">
      <c r="A758" s="16" t="s">
        <v>785</v>
      </c>
      <c r="B758" s="23">
        <v>-1.9</v>
      </c>
    </row>
    <row r="759" spans="1:2" x14ac:dyDescent="0.35">
      <c r="A759" s="16" t="s">
        <v>2836</v>
      </c>
      <c r="B759" s="23">
        <v>13.41</v>
      </c>
    </row>
    <row r="760" spans="1:2" x14ac:dyDescent="0.35">
      <c r="A760" s="16" t="s">
        <v>1167</v>
      </c>
      <c r="B760" s="23">
        <v>82.5</v>
      </c>
    </row>
    <row r="761" spans="1:2" x14ac:dyDescent="0.35">
      <c r="A761" s="16" t="s">
        <v>3472</v>
      </c>
      <c r="B761" s="23">
        <v>-1.39</v>
      </c>
    </row>
    <row r="762" spans="1:2" x14ac:dyDescent="0.35">
      <c r="A762" s="16" t="s">
        <v>2474</v>
      </c>
      <c r="B762" s="23">
        <v>-0.55000000000000004</v>
      </c>
    </row>
    <row r="763" spans="1:2" x14ac:dyDescent="0.35">
      <c r="A763" s="16" t="s">
        <v>3569</v>
      </c>
      <c r="B763" s="23">
        <v>166.57</v>
      </c>
    </row>
    <row r="764" spans="1:2" x14ac:dyDescent="0.35">
      <c r="A764" s="16" t="s">
        <v>2498</v>
      </c>
      <c r="B764" s="23">
        <v>283.25</v>
      </c>
    </row>
    <row r="765" spans="1:2" x14ac:dyDescent="0.35">
      <c r="A765" s="16" t="s">
        <v>2955</v>
      </c>
      <c r="B765" s="23">
        <v>-0.83</v>
      </c>
    </row>
    <row r="766" spans="1:2" x14ac:dyDescent="0.35">
      <c r="A766" s="16" t="s">
        <v>3189</v>
      </c>
      <c r="B766" s="23">
        <v>13.41</v>
      </c>
    </row>
    <row r="767" spans="1:2" x14ac:dyDescent="0.35">
      <c r="A767" s="16" t="s">
        <v>2902</v>
      </c>
      <c r="B767" s="23">
        <v>-3.86</v>
      </c>
    </row>
    <row r="768" spans="1:2" x14ac:dyDescent="0.35">
      <c r="A768" s="16" t="s">
        <v>2323</v>
      </c>
      <c r="B768" s="23">
        <v>-2.12</v>
      </c>
    </row>
    <row r="769" spans="1:2" x14ac:dyDescent="0.35">
      <c r="A769" s="16" t="s">
        <v>3608</v>
      </c>
      <c r="B769" s="23">
        <v>22.54</v>
      </c>
    </row>
    <row r="770" spans="1:2" x14ac:dyDescent="0.35">
      <c r="A770" s="16" t="s">
        <v>2205</v>
      </c>
      <c r="B770" s="23">
        <v>386.94</v>
      </c>
    </row>
    <row r="771" spans="1:2" x14ac:dyDescent="0.35">
      <c r="A771" s="16" t="s">
        <v>1603</v>
      </c>
      <c r="B771" s="23">
        <v>252.08</v>
      </c>
    </row>
    <row r="772" spans="1:2" x14ac:dyDescent="0.35">
      <c r="A772" s="16" t="s">
        <v>452</v>
      </c>
      <c r="B772" s="23">
        <v>252.8</v>
      </c>
    </row>
    <row r="773" spans="1:2" x14ac:dyDescent="0.35">
      <c r="A773" s="16" t="s">
        <v>3164</v>
      </c>
      <c r="B773" s="23">
        <v>79.98</v>
      </c>
    </row>
    <row r="774" spans="1:2" x14ac:dyDescent="0.35">
      <c r="A774" s="16" t="s">
        <v>3241</v>
      </c>
      <c r="B774" s="23">
        <v>2.2999999999999998</v>
      </c>
    </row>
    <row r="775" spans="1:2" x14ac:dyDescent="0.35">
      <c r="A775" s="16" t="s">
        <v>604</v>
      </c>
      <c r="B775" s="23">
        <v>-3.94</v>
      </c>
    </row>
    <row r="776" spans="1:2" x14ac:dyDescent="0.35">
      <c r="A776" s="16" t="s">
        <v>3485</v>
      </c>
      <c r="B776" s="23">
        <v>87.62</v>
      </c>
    </row>
    <row r="777" spans="1:2" x14ac:dyDescent="0.35">
      <c r="A777" s="16" t="s">
        <v>2728</v>
      </c>
      <c r="B777" s="23">
        <v>142.93</v>
      </c>
    </row>
    <row r="778" spans="1:2" x14ac:dyDescent="0.35">
      <c r="A778" s="16" t="s">
        <v>1428</v>
      </c>
      <c r="B778" s="23">
        <v>18.329999999999998</v>
      </c>
    </row>
    <row r="779" spans="1:2" x14ac:dyDescent="0.35">
      <c r="A779" s="16" t="s">
        <v>3029</v>
      </c>
      <c r="B779" s="23">
        <v>2.2999999999999998</v>
      </c>
    </row>
    <row r="780" spans="1:2" x14ac:dyDescent="0.35">
      <c r="A780" s="16" t="s">
        <v>2982</v>
      </c>
      <c r="B780" s="23">
        <v>783.69</v>
      </c>
    </row>
    <row r="781" spans="1:2" x14ac:dyDescent="0.35">
      <c r="A781" s="16" t="s">
        <v>2762</v>
      </c>
      <c r="B781" s="23">
        <v>265.01</v>
      </c>
    </row>
    <row r="782" spans="1:2" x14ac:dyDescent="0.35">
      <c r="A782" s="16" t="s">
        <v>1267</v>
      </c>
      <c r="B782" s="23">
        <v>23.12</v>
      </c>
    </row>
    <row r="783" spans="1:2" x14ac:dyDescent="0.35">
      <c r="A783" s="16" t="s">
        <v>144</v>
      </c>
      <c r="B783" s="23">
        <v>154.97999999999999</v>
      </c>
    </row>
    <row r="784" spans="1:2" x14ac:dyDescent="0.35">
      <c r="A784" s="16" t="s">
        <v>3210</v>
      </c>
      <c r="B784" s="23">
        <v>497.04</v>
      </c>
    </row>
    <row r="785" spans="1:2" x14ac:dyDescent="0.35">
      <c r="A785" s="16" t="s">
        <v>3102</v>
      </c>
      <c r="B785" s="23">
        <v>32.22</v>
      </c>
    </row>
    <row r="786" spans="1:2" x14ac:dyDescent="0.35">
      <c r="A786" s="16" t="s">
        <v>867</v>
      </c>
      <c r="B786" s="23">
        <v>10.27</v>
      </c>
    </row>
    <row r="787" spans="1:2" x14ac:dyDescent="0.35">
      <c r="A787" s="16" t="s">
        <v>2967</v>
      </c>
      <c r="B787" s="23">
        <v>373.97</v>
      </c>
    </row>
    <row r="788" spans="1:2" x14ac:dyDescent="0.35">
      <c r="A788" s="16" t="s">
        <v>2357</v>
      </c>
      <c r="B788" s="23">
        <v>217.49</v>
      </c>
    </row>
    <row r="789" spans="1:2" x14ac:dyDescent="0.35">
      <c r="A789" s="16" t="s">
        <v>2025</v>
      </c>
      <c r="B789" s="23">
        <v>193.99</v>
      </c>
    </row>
    <row r="790" spans="1:2" x14ac:dyDescent="0.35">
      <c r="A790" s="16" t="s">
        <v>173</v>
      </c>
      <c r="B790" s="23">
        <v>18.309999999999999</v>
      </c>
    </row>
    <row r="791" spans="1:2" x14ac:dyDescent="0.35">
      <c r="A791" s="16" t="s">
        <v>658</v>
      </c>
      <c r="B791" s="23">
        <v>-2.68</v>
      </c>
    </row>
    <row r="792" spans="1:2" x14ac:dyDescent="0.35">
      <c r="A792" s="16" t="s">
        <v>2911</v>
      </c>
      <c r="B792" s="23">
        <v>760.05</v>
      </c>
    </row>
    <row r="793" spans="1:2" x14ac:dyDescent="0.35">
      <c r="A793" s="16" t="s">
        <v>1814</v>
      </c>
      <c r="B793" s="23">
        <v>43.83</v>
      </c>
    </row>
    <row r="794" spans="1:2" x14ac:dyDescent="0.35">
      <c r="A794" s="16" t="s">
        <v>1085</v>
      </c>
      <c r="B794" s="23">
        <v>29.37</v>
      </c>
    </row>
    <row r="795" spans="1:2" x14ac:dyDescent="0.35">
      <c r="A795" s="16" t="s">
        <v>679</v>
      </c>
      <c r="B795" s="23">
        <v>27.04</v>
      </c>
    </row>
    <row r="796" spans="1:2" x14ac:dyDescent="0.35">
      <c r="A796" s="16" t="s">
        <v>80</v>
      </c>
      <c r="B796" s="23">
        <v>-0.46</v>
      </c>
    </row>
    <row r="797" spans="1:2" x14ac:dyDescent="0.35">
      <c r="A797" s="16" t="s">
        <v>2359</v>
      </c>
      <c r="B797" s="23">
        <v>83.81</v>
      </c>
    </row>
    <row r="798" spans="1:2" x14ac:dyDescent="0.35">
      <c r="A798" s="16" t="s">
        <v>1185</v>
      </c>
      <c r="B798" s="23">
        <v>82.3</v>
      </c>
    </row>
    <row r="799" spans="1:2" x14ac:dyDescent="0.35">
      <c r="A799" s="16" t="s">
        <v>1781</v>
      </c>
      <c r="B799" s="23">
        <v>7.42</v>
      </c>
    </row>
    <row r="800" spans="1:2" x14ac:dyDescent="0.35">
      <c r="A800" s="16" t="s">
        <v>3013</v>
      </c>
      <c r="B800" s="23">
        <v>8.15</v>
      </c>
    </row>
    <row r="801" spans="1:2" x14ac:dyDescent="0.35">
      <c r="A801" s="16" t="s">
        <v>3233</v>
      </c>
      <c r="B801" s="23">
        <v>157.78</v>
      </c>
    </row>
    <row r="802" spans="1:2" x14ac:dyDescent="0.35">
      <c r="A802" s="16" t="s">
        <v>1996</v>
      </c>
      <c r="B802" s="23">
        <v>77.66</v>
      </c>
    </row>
    <row r="803" spans="1:2" x14ac:dyDescent="0.35">
      <c r="A803" s="16" t="s">
        <v>3194</v>
      </c>
      <c r="B803" s="23">
        <v>111.48</v>
      </c>
    </row>
    <row r="804" spans="1:2" x14ac:dyDescent="0.35">
      <c r="A804" s="16" t="s">
        <v>1170</v>
      </c>
      <c r="B804" s="23">
        <v>59.31</v>
      </c>
    </row>
    <row r="805" spans="1:2" x14ac:dyDescent="0.35">
      <c r="A805" s="16" t="s">
        <v>2612</v>
      </c>
      <c r="B805" s="23">
        <v>21.58</v>
      </c>
    </row>
    <row r="806" spans="1:2" x14ac:dyDescent="0.35">
      <c r="A806" s="16" t="s">
        <v>2756</v>
      </c>
      <c r="B806" s="23">
        <v>91.14</v>
      </c>
    </row>
    <row r="807" spans="1:2" x14ac:dyDescent="0.35">
      <c r="A807" s="16" t="s">
        <v>1719</v>
      </c>
      <c r="B807" s="23">
        <v>1.1399999999999999</v>
      </c>
    </row>
    <row r="808" spans="1:2" x14ac:dyDescent="0.35">
      <c r="A808" s="16" t="s">
        <v>2596</v>
      </c>
      <c r="B808" s="23">
        <v>31.22</v>
      </c>
    </row>
    <row r="809" spans="1:2" x14ac:dyDescent="0.35">
      <c r="A809" s="16" t="s">
        <v>1619</v>
      </c>
      <c r="B809" s="23">
        <v>26.56</v>
      </c>
    </row>
    <row r="810" spans="1:2" x14ac:dyDescent="0.35">
      <c r="A810" s="16" t="s">
        <v>2534</v>
      </c>
      <c r="B810" s="23">
        <v>0.38</v>
      </c>
    </row>
    <row r="811" spans="1:2" x14ac:dyDescent="0.35">
      <c r="A811" s="16" t="s">
        <v>2517</v>
      </c>
      <c r="B811" s="23">
        <v>36.520000000000003</v>
      </c>
    </row>
    <row r="812" spans="1:2" x14ac:dyDescent="0.35">
      <c r="A812" s="16" t="s">
        <v>3390</v>
      </c>
      <c r="B812" s="23">
        <v>3.08</v>
      </c>
    </row>
    <row r="813" spans="1:2" x14ac:dyDescent="0.35">
      <c r="A813" s="16" t="s">
        <v>2023</v>
      </c>
      <c r="B813" s="23">
        <v>11.52</v>
      </c>
    </row>
    <row r="814" spans="1:2" x14ac:dyDescent="0.35">
      <c r="A814" s="16" t="s">
        <v>1161</v>
      </c>
      <c r="B814" s="23">
        <v>25.35</v>
      </c>
    </row>
    <row r="815" spans="1:2" x14ac:dyDescent="0.35">
      <c r="A815" s="16" t="s">
        <v>2456</v>
      </c>
      <c r="B815" s="23">
        <v>92.77</v>
      </c>
    </row>
    <row r="816" spans="1:2" x14ac:dyDescent="0.35">
      <c r="A816" s="16" t="s">
        <v>1620</v>
      </c>
      <c r="B816" s="23">
        <v>10.72</v>
      </c>
    </row>
    <row r="817" spans="1:2" x14ac:dyDescent="0.35">
      <c r="A817" s="16" t="s">
        <v>2624</v>
      </c>
      <c r="B817" s="23">
        <v>8.08</v>
      </c>
    </row>
    <row r="818" spans="1:2" x14ac:dyDescent="0.35">
      <c r="A818" s="16" t="s">
        <v>2493</v>
      </c>
      <c r="B818" s="23">
        <v>20.39</v>
      </c>
    </row>
    <row r="819" spans="1:2" x14ac:dyDescent="0.35">
      <c r="A819" s="16" t="s">
        <v>582</v>
      </c>
      <c r="B819" s="23">
        <v>0.8</v>
      </c>
    </row>
    <row r="820" spans="1:2" x14ac:dyDescent="0.35">
      <c r="A820" s="16" t="s">
        <v>594</v>
      </c>
      <c r="B820" s="23">
        <v>56.76</v>
      </c>
    </row>
    <row r="821" spans="1:2" x14ac:dyDescent="0.35">
      <c r="A821" s="16" t="s">
        <v>2062</v>
      </c>
      <c r="B821" s="23">
        <v>15.61</v>
      </c>
    </row>
    <row r="822" spans="1:2" x14ac:dyDescent="0.35">
      <c r="A822" s="16" t="s">
        <v>1512</v>
      </c>
      <c r="B822" s="23">
        <v>19.45</v>
      </c>
    </row>
    <row r="823" spans="1:2" x14ac:dyDescent="0.35">
      <c r="A823" s="16" t="s">
        <v>874</v>
      </c>
      <c r="B823" s="23">
        <v>104.2</v>
      </c>
    </row>
    <row r="824" spans="1:2" x14ac:dyDescent="0.35">
      <c r="A824" s="16" t="s">
        <v>390</v>
      </c>
      <c r="B824" s="23">
        <v>21.58</v>
      </c>
    </row>
    <row r="825" spans="1:2" x14ac:dyDescent="0.35">
      <c r="A825" s="16" t="s">
        <v>1883</v>
      </c>
      <c r="B825" s="23">
        <v>8.19</v>
      </c>
    </row>
    <row r="826" spans="1:2" x14ac:dyDescent="0.35">
      <c r="A826" s="16" t="s">
        <v>3617</v>
      </c>
      <c r="B826" s="23">
        <v>190.36</v>
      </c>
    </row>
    <row r="827" spans="1:2" x14ac:dyDescent="0.35">
      <c r="A827" s="16" t="s">
        <v>1959</v>
      </c>
      <c r="B827" s="23">
        <v>99.04</v>
      </c>
    </row>
    <row r="828" spans="1:2" x14ac:dyDescent="0.35">
      <c r="A828" s="16" t="s">
        <v>1362</v>
      </c>
      <c r="B828" s="23">
        <v>-0.22</v>
      </c>
    </row>
    <row r="829" spans="1:2" x14ac:dyDescent="0.35">
      <c r="A829" s="16" t="s">
        <v>484</v>
      </c>
      <c r="B829" s="23">
        <v>5.67</v>
      </c>
    </row>
    <row r="830" spans="1:2" x14ac:dyDescent="0.35">
      <c r="A830" s="16" t="s">
        <v>1349</v>
      </c>
      <c r="B830" s="23">
        <v>8.57</v>
      </c>
    </row>
    <row r="831" spans="1:2" x14ac:dyDescent="0.35">
      <c r="A831" s="16" t="s">
        <v>495</v>
      </c>
      <c r="B831" s="23">
        <v>19.73</v>
      </c>
    </row>
    <row r="832" spans="1:2" x14ac:dyDescent="0.35">
      <c r="A832" s="16" t="s">
        <v>3057</v>
      </c>
      <c r="B832" s="23">
        <v>21.14</v>
      </c>
    </row>
    <row r="833" spans="1:2" x14ac:dyDescent="0.35">
      <c r="A833" s="16" t="s">
        <v>2383</v>
      </c>
      <c r="B833" s="23">
        <v>143.16</v>
      </c>
    </row>
    <row r="834" spans="1:2" x14ac:dyDescent="0.35">
      <c r="A834" s="16" t="s">
        <v>3469</v>
      </c>
      <c r="B834" s="23">
        <v>15.81</v>
      </c>
    </row>
    <row r="835" spans="1:2" x14ac:dyDescent="0.35">
      <c r="A835" s="16" t="s">
        <v>1609</v>
      </c>
      <c r="B835" s="23">
        <v>21.47</v>
      </c>
    </row>
    <row r="836" spans="1:2" x14ac:dyDescent="0.35">
      <c r="A836" s="16" t="s">
        <v>2247</v>
      </c>
      <c r="B836" s="23">
        <v>2.98</v>
      </c>
    </row>
    <row r="837" spans="1:2" x14ac:dyDescent="0.35">
      <c r="A837" s="16" t="s">
        <v>3062</v>
      </c>
      <c r="B837" s="23">
        <v>-1.58</v>
      </c>
    </row>
    <row r="838" spans="1:2" x14ac:dyDescent="0.35">
      <c r="A838" s="16" t="s">
        <v>1762</v>
      </c>
      <c r="B838" s="23">
        <v>6.5</v>
      </c>
    </row>
    <row r="839" spans="1:2" x14ac:dyDescent="0.35">
      <c r="A839" s="16" t="s">
        <v>3355</v>
      </c>
      <c r="B839" s="23">
        <v>41.33</v>
      </c>
    </row>
    <row r="840" spans="1:2" x14ac:dyDescent="0.35">
      <c r="A840" s="16" t="s">
        <v>241</v>
      </c>
      <c r="B840" s="23">
        <v>33.03</v>
      </c>
    </row>
    <row r="841" spans="1:2" x14ac:dyDescent="0.35">
      <c r="A841" s="16" t="s">
        <v>826</v>
      </c>
      <c r="B841" s="23">
        <v>89.89</v>
      </c>
    </row>
    <row r="842" spans="1:2" x14ac:dyDescent="0.35">
      <c r="A842" s="16" t="s">
        <v>3462</v>
      </c>
      <c r="B842" s="23">
        <v>88.49</v>
      </c>
    </row>
    <row r="843" spans="1:2" x14ac:dyDescent="0.35">
      <c r="A843" s="16" t="s">
        <v>428</v>
      </c>
      <c r="B843" s="23">
        <v>41.71</v>
      </c>
    </row>
    <row r="844" spans="1:2" x14ac:dyDescent="0.35">
      <c r="A844" s="16" t="s">
        <v>1541</v>
      </c>
      <c r="B844" s="23">
        <v>12.66</v>
      </c>
    </row>
    <row r="845" spans="1:2" x14ac:dyDescent="0.35">
      <c r="A845" s="16" t="s">
        <v>812</v>
      </c>
      <c r="B845" s="23">
        <v>-0.06</v>
      </c>
    </row>
    <row r="846" spans="1:2" x14ac:dyDescent="0.35">
      <c r="A846" s="16" t="s">
        <v>260</v>
      </c>
      <c r="B846" s="23">
        <v>21.03</v>
      </c>
    </row>
    <row r="847" spans="1:2" x14ac:dyDescent="0.35">
      <c r="A847" s="16" t="s">
        <v>1065</v>
      </c>
      <c r="B847" s="23">
        <v>125.12</v>
      </c>
    </row>
    <row r="848" spans="1:2" x14ac:dyDescent="0.35">
      <c r="A848" s="16" t="s">
        <v>566</v>
      </c>
      <c r="B848" s="23">
        <v>2.2400000000000002</v>
      </c>
    </row>
    <row r="849" spans="1:2" x14ac:dyDescent="0.35">
      <c r="A849" s="16" t="s">
        <v>107</v>
      </c>
      <c r="B849" s="23">
        <v>-3.85</v>
      </c>
    </row>
    <row r="850" spans="1:2" x14ac:dyDescent="0.35">
      <c r="A850" s="16" t="s">
        <v>61</v>
      </c>
      <c r="B850" s="23">
        <v>8.5399999999999991</v>
      </c>
    </row>
    <row r="851" spans="1:2" x14ac:dyDescent="0.35">
      <c r="A851" s="16" t="s">
        <v>2104</v>
      </c>
      <c r="B851" s="23">
        <v>70.010000000000005</v>
      </c>
    </row>
    <row r="852" spans="1:2" x14ac:dyDescent="0.35">
      <c r="A852" s="16" t="s">
        <v>2888</v>
      </c>
      <c r="B852" s="23">
        <v>11.3</v>
      </c>
    </row>
    <row r="853" spans="1:2" x14ac:dyDescent="0.35">
      <c r="A853" s="16" t="s">
        <v>3317</v>
      </c>
      <c r="B853" s="23">
        <v>-4.6500000000000004</v>
      </c>
    </row>
    <row r="854" spans="1:2" x14ac:dyDescent="0.35">
      <c r="A854" s="16" t="s">
        <v>2932</v>
      </c>
      <c r="B854" s="23">
        <v>409.15</v>
      </c>
    </row>
    <row r="855" spans="1:2" x14ac:dyDescent="0.35">
      <c r="A855" s="16" t="s">
        <v>844</v>
      </c>
      <c r="B855" s="23">
        <v>24.14</v>
      </c>
    </row>
    <row r="856" spans="1:2" x14ac:dyDescent="0.35">
      <c r="A856" s="16" t="s">
        <v>505</v>
      </c>
      <c r="B856" s="23">
        <v>-4.84</v>
      </c>
    </row>
    <row r="857" spans="1:2" x14ac:dyDescent="0.35">
      <c r="A857" s="16" t="s">
        <v>2833</v>
      </c>
      <c r="B857" s="23">
        <v>65.11</v>
      </c>
    </row>
    <row r="858" spans="1:2" x14ac:dyDescent="0.35">
      <c r="A858" s="16" t="s">
        <v>244</v>
      </c>
      <c r="B858" s="23">
        <v>-2.54</v>
      </c>
    </row>
    <row r="859" spans="1:2" x14ac:dyDescent="0.35">
      <c r="A859" s="16" t="s">
        <v>2845</v>
      </c>
      <c r="B859" s="23">
        <v>40.78</v>
      </c>
    </row>
    <row r="860" spans="1:2" x14ac:dyDescent="0.35">
      <c r="A860" s="16" t="s">
        <v>2121</v>
      </c>
      <c r="B860" s="23">
        <v>200.83</v>
      </c>
    </row>
    <row r="861" spans="1:2" x14ac:dyDescent="0.35">
      <c r="A861" s="16" t="s">
        <v>3438</v>
      </c>
      <c r="B861" s="23">
        <v>231.47</v>
      </c>
    </row>
    <row r="862" spans="1:2" x14ac:dyDescent="0.35">
      <c r="A862" s="16" t="s">
        <v>3072</v>
      </c>
      <c r="B862" s="23">
        <v>31.33</v>
      </c>
    </row>
    <row r="863" spans="1:2" x14ac:dyDescent="0.35">
      <c r="A863" s="16" t="s">
        <v>648</v>
      </c>
      <c r="B863" s="23">
        <v>30.61</v>
      </c>
    </row>
    <row r="864" spans="1:2" x14ac:dyDescent="0.35">
      <c r="A864" s="16" t="s">
        <v>338</v>
      </c>
      <c r="B864" s="23">
        <v>3.8</v>
      </c>
    </row>
    <row r="865" spans="1:2" x14ac:dyDescent="0.35">
      <c r="A865" s="16" t="s">
        <v>3272</v>
      </c>
      <c r="B865" s="23">
        <v>257.74</v>
      </c>
    </row>
    <row r="866" spans="1:2" x14ac:dyDescent="0.35">
      <c r="A866" s="16" t="s">
        <v>349</v>
      </c>
      <c r="B866" s="23">
        <v>94.68</v>
      </c>
    </row>
    <row r="867" spans="1:2" x14ac:dyDescent="0.35">
      <c r="A867" s="16" t="s">
        <v>3541</v>
      </c>
      <c r="B867" s="23">
        <v>1.26</v>
      </c>
    </row>
    <row r="868" spans="1:2" x14ac:dyDescent="0.35">
      <c r="A868" s="16" t="s">
        <v>2347</v>
      </c>
      <c r="B868" s="23">
        <v>22.97</v>
      </c>
    </row>
    <row r="869" spans="1:2" x14ac:dyDescent="0.35">
      <c r="A869" s="16" t="s">
        <v>1432</v>
      </c>
      <c r="B869" s="23">
        <v>8.81</v>
      </c>
    </row>
    <row r="870" spans="1:2" x14ac:dyDescent="0.35">
      <c r="A870" s="16" t="s">
        <v>2001</v>
      </c>
      <c r="B870" s="23">
        <v>25.36</v>
      </c>
    </row>
    <row r="871" spans="1:2" x14ac:dyDescent="0.35">
      <c r="A871" s="16" t="s">
        <v>1983</v>
      </c>
      <c r="B871" s="23">
        <v>18.25</v>
      </c>
    </row>
    <row r="872" spans="1:2" x14ac:dyDescent="0.35">
      <c r="A872" s="16" t="s">
        <v>1527</v>
      </c>
      <c r="B872" s="23">
        <v>0.6</v>
      </c>
    </row>
    <row r="873" spans="1:2" x14ac:dyDescent="0.35">
      <c r="A873" s="16" t="s">
        <v>3019</v>
      </c>
      <c r="B873" s="23">
        <v>263.67</v>
      </c>
    </row>
    <row r="874" spans="1:2" x14ac:dyDescent="0.35">
      <c r="A874" s="16" t="s">
        <v>2248</v>
      </c>
      <c r="B874" s="23">
        <v>181.94</v>
      </c>
    </row>
    <row r="875" spans="1:2" x14ac:dyDescent="0.35">
      <c r="A875" s="16" t="s">
        <v>932</v>
      </c>
      <c r="B875" s="23">
        <v>-6.35</v>
      </c>
    </row>
    <row r="876" spans="1:2" x14ac:dyDescent="0.35">
      <c r="A876" s="16" t="s">
        <v>2642</v>
      </c>
      <c r="B876" s="23">
        <v>49.2</v>
      </c>
    </row>
    <row r="877" spans="1:2" x14ac:dyDescent="0.35">
      <c r="A877" s="16" t="s">
        <v>320</v>
      </c>
      <c r="B877" s="23">
        <v>-1.04</v>
      </c>
    </row>
    <row r="878" spans="1:2" x14ac:dyDescent="0.35">
      <c r="A878" s="16" t="s">
        <v>3117</v>
      </c>
      <c r="B878" s="23">
        <v>431.15</v>
      </c>
    </row>
    <row r="879" spans="1:2" x14ac:dyDescent="0.35">
      <c r="A879" s="16" t="s">
        <v>640</v>
      </c>
      <c r="B879" s="23">
        <v>168.64</v>
      </c>
    </row>
    <row r="880" spans="1:2" x14ac:dyDescent="0.35">
      <c r="A880" s="16" t="s">
        <v>2241</v>
      </c>
      <c r="B880" s="23">
        <v>28.82</v>
      </c>
    </row>
    <row r="881" spans="1:2" x14ac:dyDescent="0.35">
      <c r="A881" s="16" t="s">
        <v>1456</v>
      </c>
      <c r="B881" s="23">
        <v>9.9499999999999993</v>
      </c>
    </row>
    <row r="882" spans="1:2" x14ac:dyDescent="0.35">
      <c r="A882" s="16" t="s">
        <v>2193</v>
      </c>
      <c r="B882" s="23">
        <v>14.77</v>
      </c>
    </row>
    <row r="883" spans="1:2" x14ac:dyDescent="0.35">
      <c r="A883" s="16" t="s">
        <v>1420</v>
      </c>
      <c r="B883" s="23">
        <v>46.58</v>
      </c>
    </row>
    <row r="884" spans="1:2" x14ac:dyDescent="0.35">
      <c r="A884" s="16" t="s">
        <v>1021</v>
      </c>
      <c r="B884" s="23">
        <v>85.17</v>
      </c>
    </row>
    <row r="885" spans="1:2" x14ac:dyDescent="0.35">
      <c r="A885" s="16" t="s">
        <v>1864</v>
      </c>
      <c r="B885" s="23">
        <v>-5.45</v>
      </c>
    </row>
    <row r="886" spans="1:2" x14ac:dyDescent="0.35">
      <c r="A886" s="16" t="s">
        <v>1543</v>
      </c>
      <c r="B886" s="23">
        <v>26.06</v>
      </c>
    </row>
    <row r="887" spans="1:2" x14ac:dyDescent="0.35">
      <c r="A887" s="16" t="s">
        <v>1873</v>
      </c>
      <c r="B887" s="23">
        <v>64.069999999999993</v>
      </c>
    </row>
    <row r="888" spans="1:2" x14ac:dyDescent="0.35">
      <c r="A888" s="16" t="s">
        <v>798</v>
      </c>
      <c r="B888" s="23">
        <v>4.13</v>
      </c>
    </row>
    <row r="889" spans="1:2" x14ac:dyDescent="0.35">
      <c r="A889" s="16" t="s">
        <v>3014</v>
      </c>
      <c r="B889" s="23">
        <v>58.7</v>
      </c>
    </row>
    <row r="890" spans="1:2" x14ac:dyDescent="0.35">
      <c r="A890" s="16" t="s">
        <v>359</v>
      </c>
      <c r="B890" s="23">
        <v>-1.94</v>
      </c>
    </row>
    <row r="891" spans="1:2" x14ac:dyDescent="0.35">
      <c r="A891" s="16" t="s">
        <v>3556</v>
      </c>
      <c r="B891" s="23">
        <v>8.61</v>
      </c>
    </row>
    <row r="892" spans="1:2" x14ac:dyDescent="0.35">
      <c r="A892" s="16" t="s">
        <v>2706</v>
      </c>
      <c r="B892" s="23">
        <v>-0.26</v>
      </c>
    </row>
    <row r="893" spans="1:2" x14ac:dyDescent="0.35">
      <c r="A893" s="16" t="s">
        <v>3346</v>
      </c>
      <c r="B893" s="23">
        <v>203.12</v>
      </c>
    </row>
    <row r="894" spans="1:2" x14ac:dyDescent="0.35">
      <c r="A894" s="16" t="s">
        <v>992</v>
      </c>
      <c r="B894" s="23">
        <v>79.08</v>
      </c>
    </row>
    <row r="895" spans="1:2" x14ac:dyDescent="0.35">
      <c r="A895" s="16" t="s">
        <v>270</v>
      </c>
      <c r="B895" s="23">
        <v>-3.99</v>
      </c>
    </row>
    <row r="896" spans="1:2" x14ac:dyDescent="0.35">
      <c r="A896" s="16" t="s">
        <v>1546</v>
      </c>
      <c r="B896" s="23">
        <v>42.38</v>
      </c>
    </row>
    <row r="897" spans="1:2" x14ac:dyDescent="0.35">
      <c r="A897" s="16" t="s">
        <v>2713</v>
      </c>
      <c r="B897" s="23">
        <v>33.630000000000003</v>
      </c>
    </row>
    <row r="898" spans="1:2" x14ac:dyDescent="0.35">
      <c r="A898" s="16" t="s">
        <v>3127</v>
      </c>
      <c r="B898" s="23">
        <v>7.46</v>
      </c>
    </row>
    <row r="899" spans="1:2" x14ac:dyDescent="0.35">
      <c r="A899" s="16" t="s">
        <v>3619</v>
      </c>
      <c r="B899" s="23">
        <v>272.44</v>
      </c>
    </row>
    <row r="900" spans="1:2" x14ac:dyDescent="0.35">
      <c r="A900" s="16" t="s">
        <v>1858</v>
      </c>
      <c r="B900" s="23">
        <v>46.36</v>
      </c>
    </row>
    <row r="901" spans="1:2" x14ac:dyDescent="0.35">
      <c r="A901" s="16" t="s">
        <v>1830</v>
      </c>
      <c r="B901" s="23">
        <v>14.78</v>
      </c>
    </row>
    <row r="902" spans="1:2" x14ac:dyDescent="0.35">
      <c r="A902" s="16" t="s">
        <v>2518</v>
      </c>
      <c r="B902" s="23">
        <v>49.93</v>
      </c>
    </row>
    <row r="903" spans="1:2" x14ac:dyDescent="0.35">
      <c r="A903" s="16" t="s">
        <v>1756</v>
      </c>
      <c r="B903" s="23">
        <v>1.65</v>
      </c>
    </row>
    <row r="904" spans="1:2" x14ac:dyDescent="0.35">
      <c r="A904" s="16" t="s">
        <v>2123</v>
      </c>
      <c r="B904" s="23">
        <v>249.05</v>
      </c>
    </row>
    <row r="905" spans="1:2" x14ac:dyDescent="0.35">
      <c r="A905" s="16" t="s">
        <v>3487</v>
      </c>
      <c r="B905" s="23">
        <v>49.48</v>
      </c>
    </row>
    <row r="906" spans="1:2" x14ac:dyDescent="0.35">
      <c r="A906" s="16" t="s">
        <v>408</v>
      </c>
      <c r="B906" s="23">
        <v>7.87</v>
      </c>
    </row>
    <row r="907" spans="1:2" x14ac:dyDescent="0.35">
      <c r="A907" s="16" t="s">
        <v>739</v>
      </c>
      <c r="B907" s="23">
        <v>55.66</v>
      </c>
    </row>
    <row r="908" spans="1:2" x14ac:dyDescent="0.35">
      <c r="A908" s="16" t="s">
        <v>2670</v>
      </c>
      <c r="B908" s="23">
        <v>-0.4</v>
      </c>
    </row>
    <row r="909" spans="1:2" x14ac:dyDescent="0.35">
      <c r="A909" s="16" t="s">
        <v>2752</v>
      </c>
      <c r="B909" s="23">
        <v>61.44</v>
      </c>
    </row>
    <row r="910" spans="1:2" x14ac:dyDescent="0.35">
      <c r="A910" s="16" t="s">
        <v>290</v>
      </c>
      <c r="B910" s="23">
        <v>-1.1399999999999999</v>
      </c>
    </row>
    <row r="911" spans="1:2" x14ac:dyDescent="0.35">
      <c r="A911" s="16" t="s">
        <v>959</v>
      </c>
      <c r="B911" s="23">
        <v>25.63</v>
      </c>
    </row>
    <row r="912" spans="1:2" x14ac:dyDescent="0.35">
      <c r="A912" s="16" t="s">
        <v>1976</v>
      </c>
      <c r="B912" s="23">
        <v>35.979999999999997</v>
      </c>
    </row>
    <row r="913" spans="1:2" x14ac:dyDescent="0.35">
      <c r="A913" s="16" t="s">
        <v>2019</v>
      </c>
      <c r="B913" s="23">
        <v>61.42</v>
      </c>
    </row>
    <row r="914" spans="1:2" x14ac:dyDescent="0.35">
      <c r="A914" s="16" t="s">
        <v>2868</v>
      </c>
      <c r="B914" s="23">
        <v>3.13</v>
      </c>
    </row>
    <row r="915" spans="1:2" x14ac:dyDescent="0.35">
      <c r="A915" s="16" t="s">
        <v>2304</v>
      </c>
      <c r="B915" s="23">
        <v>12.33</v>
      </c>
    </row>
    <row r="916" spans="1:2" x14ac:dyDescent="0.35">
      <c r="A916" s="16" t="s">
        <v>3147</v>
      </c>
      <c r="B916" s="23">
        <v>132.9</v>
      </c>
    </row>
    <row r="917" spans="1:2" x14ac:dyDescent="0.35">
      <c r="A917" s="16" t="s">
        <v>3058</v>
      </c>
      <c r="B917" s="23">
        <v>68.739999999999995</v>
      </c>
    </row>
    <row r="918" spans="1:2" x14ac:dyDescent="0.35">
      <c r="A918" s="16" t="s">
        <v>314</v>
      </c>
      <c r="B918" s="23">
        <v>221.25</v>
      </c>
    </row>
    <row r="919" spans="1:2" x14ac:dyDescent="0.35">
      <c r="A919" s="16" t="s">
        <v>239</v>
      </c>
      <c r="B919" s="23">
        <v>30.26</v>
      </c>
    </row>
    <row r="920" spans="1:2" x14ac:dyDescent="0.35">
      <c r="A920" s="16" t="s">
        <v>861</v>
      </c>
      <c r="B920" s="23">
        <v>-1.62</v>
      </c>
    </row>
    <row r="921" spans="1:2" x14ac:dyDescent="0.35">
      <c r="A921" s="16" t="s">
        <v>3337</v>
      </c>
      <c r="B921" s="23">
        <v>0.2</v>
      </c>
    </row>
    <row r="922" spans="1:2" x14ac:dyDescent="0.35">
      <c r="A922" s="16" t="s">
        <v>2027</v>
      </c>
      <c r="B922" s="23">
        <v>89.37</v>
      </c>
    </row>
    <row r="923" spans="1:2" x14ac:dyDescent="0.35">
      <c r="A923" s="16" t="s">
        <v>994</v>
      </c>
      <c r="B923" s="23">
        <v>96.46</v>
      </c>
    </row>
    <row r="924" spans="1:2" x14ac:dyDescent="0.35">
      <c r="A924" s="16" t="s">
        <v>3500</v>
      </c>
      <c r="B924" s="23">
        <v>373.88</v>
      </c>
    </row>
    <row r="925" spans="1:2" x14ac:dyDescent="0.35">
      <c r="A925" s="16" t="s">
        <v>3560</v>
      </c>
      <c r="B925" s="23">
        <v>75.03</v>
      </c>
    </row>
    <row r="926" spans="1:2" x14ac:dyDescent="0.35">
      <c r="A926" s="16" t="s">
        <v>1481</v>
      </c>
      <c r="B926" s="23">
        <v>647.70000000000005</v>
      </c>
    </row>
    <row r="927" spans="1:2" x14ac:dyDescent="0.35">
      <c r="A927" s="16" t="s">
        <v>2339</v>
      </c>
      <c r="B927" s="23">
        <v>27.84</v>
      </c>
    </row>
    <row r="928" spans="1:2" x14ac:dyDescent="0.35">
      <c r="A928" s="16" t="s">
        <v>1401</v>
      </c>
      <c r="B928" s="23">
        <v>-1.82</v>
      </c>
    </row>
    <row r="929" spans="1:2" x14ac:dyDescent="0.35">
      <c r="A929" s="16" t="s">
        <v>1023</v>
      </c>
      <c r="B929" s="23">
        <v>45.22</v>
      </c>
    </row>
    <row r="930" spans="1:2" x14ac:dyDescent="0.35">
      <c r="A930" s="16" t="s">
        <v>897</v>
      </c>
      <c r="B930" s="23">
        <v>184.98</v>
      </c>
    </row>
    <row r="931" spans="1:2" x14ac:dyDescent="0.35">
      <c r="A931" s="16" t="s">
        <v>1466</v>
      </c>
      <c r="B931" s="23">
        <v>-3.08</v>
      </c>
    </row>
    <row r="932" spans="1:2" x14ac:dyDescent="0.35">
      <c r="A932" s="16" t="s">
        <v>2096</v>
      </c>
      <c r="B932" s="23">
        <v>48.65</v>
      </c>
    </row>
    <row r="933" spans="1:2" x14ac:dyDescent="0.35">
      <c r="A933" s="16" t="s">
        <v>3371</v>
      </c>
      <c r="B933" s="23">
        <v>100.38</v>
      </c>
    </row>
    <row r="934" spans="1:2" x14ac:dyDescent="0.35">
      <c r="A934" s="16" t="s">
        <v>2169</v>
      </c>
      <c r="B934" s="23">
        <v>21.05</v>
      </c>
    </row>
    <row r="935" spans="1:2" x14ac:dyDescent="0.35">
      <c r="A935" s="16" t="s">
        <v>1198</v>
      </c>
      <c r="B935" s="23">
        <v>1.77</v>
      </c>
    </row>
    <row r="936" spans="1:2" x14ac:dyDescent="0.35">
      <c r="A936" s="16" t="s">
        <v>3518</v>
      </c>
      <c r="B936" s="23">
        <v>3.53</v>
      </c>
    </row>
    <row r="937" spans="1:2" x14ac:dyDescent="0.35">
      <c r="A937" s="16" t="s">
        <v>3138</v>
      </c>
      <c r="B937" s="23">
        <v>1.86</v>
      </c>
    </row>
    <row r="938" spans="1:2" x14ac:dyDescent="0.35">
      <c r="A938" s="16" t="s">
        <v>1494</v>
      </c>
      <c r="B938" s="23">
        <v>-1.24</v>
      </c>
    </row>
    <row r="939" spans="1:2" x14ac:dyDescent="0.35">
      <c r="A939" s="16" t="s">
        <v>1802</v>
      </c>
      <c r="B939" s="23">
        <v>9.11</v>
      </c>
    </row>
    <row r="940" spans="1:2" x14ac:dyDescent="0.35">
      <c r="A940" s="16" t="s">
        <v>568</v>
      </c>
      <c r="B940" s="23">
        <v>535.99</v>
      </c>
    </row>
    <row r="941" spans="1:2" x14ac:dyDescent="0.35">
      <c r="A941" s="16" t="s">
        <v>3594</v>
      </c>
      <c r="B941" s="23">
        <v>80.55</v>
      </c>
    </row>
    <row r="942" spans="1:2" x14ac:dyDescent="0.35">
      <c r="A942" s="16" t="s">
        <v>2275</v>
      </c>
      <c r="B942" s="23">
        <v>23.91</v>
      </c>
    </row>
    <row r="943" spans="1:2" x14ac:dyDescent="0.35">
      <c r="A943" s="16" t="s">
        <v>3296</v>
      </c>
      <c r="B943" s="23">
        <v>27.54</v>
      </c>
    </row>
    <row r="944" spans="1:2" x14ac:dyDescent="0.35">
      <c r="A944" s="16" t="s">
        <v>535</v>
      </c>
      <c r="B944" s="23">
        <v>6.08</v>
      </c>
    </row>
    <row r="945" spans="1:2" x14ac:dyDescent="0.35">
      <c r="A945" s="16" t="s">
        <v>560</v>
      </c>
      <c r="B945" s="23">
        <v>0.33</v>
      </c>
    </row>
    <row r="946" spans="1:2" x14ac:dyDescent="0.35">
      <c r="A946" s="16" t="s">
        <v>3574</v>
      </c>
      <c r="B946" s="23">
        <v>3.77</v>
      </c>
    </row>
    <row r="947" spans="1:2" x14ac:dyDescent="0.35">
      <c r="A947" s="16" t="s">
        <v>2315</v>
      </c>
      <c r="B947" s="23">
        <v>209.66</v>
      </c>
    </row>
    <row r="948" spans="1:2" x14ac:dyDescent="0.35">
      <c r="A948" s="16" t="s">
        <v>767</v>
      </c>
      <c r="B948" s="23">
        <v>17.55</v>
      </c>
    </row>
    <row r="949" spans="1:2" x14ac:dyDescent="0.35">
      <c r="A949" s="16" t="s">
        <v>2927</v>
      </c>
      <c r="B949" s="23">
        <v>13.26</v>
      </c>
    </row>
    <row r="950" spans="1:2" x14ac:dyDescent="0.35">
      <c r="A950" s="16" t="s">
        <v>1525</v>
      </c>
      <c r="B950" s="23">
        <v>186.82</v>
      </c>
    </row>
    <row r="951" spans="1:2" x14ac:dyDescent="0.35">
      <c r="A951" s="16" t="s">
        <v>2524</v>
      </c>
      <c r="B951" s="23">
        <v>28.26</v>
      </c>
    </row>
    <row r="952" spans="1:2" x14ac:dyDescent="0.35">
      <c r="A952" s="16" t="s">
        <v>761</v>
      </c>
      <c r="B952" s="23">
        <v>22.31</v>
      </c>
    </row>
    <row r="953" spans="1:2" x14ac:dyDescent="0.35">
      <c r="A953" s="16" t="s">
        <v>176</v>
      </c>
      <c r="B953" s="23">
        <v>68.41</v>
      </c>
    </row>
    <row r="954" spans="1:2" x14ac:dyDescent="0.35">
      <c r="A954" s="16" t="s">
        <v>1529</v>
      </c>
      <c r="B954" s="23">
        <v>37.54</v>
      </c>
    </row>
    <row r="955" spans="1:2" x14ac:dyDescent="0.35">
      <c r="A955" s="16" t="s">
        <v>840</v>
      </c>
      <c r="B955" s="23">
        <v>1.18</v>
      </c>
    </row>
    <row r="956" spans="1:2" x14ac:dyDescent="0.35">
      <c r="A956" s="16" t="s">
        <v>326</v>
      </c>
      <c r="B956" s="23">
        <v>9.0299999999999994</v>
      </c>
    </row>
    <row r="957" spans="1:2" x14ac:dyDescent="0.35">
      <c r="A957" s="16" t="s">
        <v>869</v>
      </c>
      <c r="B957" s="23">
        <v>144.4</v>
      </c>
    </row>
    <row r="958" spans="1:2" x14ac:dyDescent="0.35">
      <c r="A958" s="16" t="s">
        <v>990</v>
      </c>
      <c r="B958" s="23">
        <v>49.88</v>
      </c>
    </row>
    <row r="959" spans="1:2" x14ac:dyDescent="0.35">
      <c r="A959" s="16" t="s">
        <v>1622</v>
      </c>
      <c r="B959" s="23">
        <v>5.89</v>
      </c>
    </row>
    <row r="960" spans="1:2" x14ac:dyDescent="0.35">
      <c r="A960" s="16" t="s">
        <v>3521</v>
      </c>
      <c r="B960" s="23">
        <v>11.22</v>
      </c>
    </row>
    <row r="961" spans="1:2" x14ac:dyDescent="0.35">
      <c r="A961" s="16" t="s">
        <v>1483</v>
      </c>
      <c r="B961" s="23">
        <v>78.98</v>
      </c>
    </row>
    <row r="962" spans="1:2" x14ac:dyDescent="0.35">
      <c r="A962" s="16" t="s">
        <v>3095</v>
      </c>
      <c r="B962" s="23">
        <v>54.93</v>
      </c>
    </row>
    <row r="963" spans="1:2" x14ac:dyDescent="0.35">
      <c r="A963" s="16" t="s">
        <v>3306</v>
      </c>
      <c r="B963" s="23">
        <v>10.11</v>
      </c>
    </row>
    <row r="964" spans="1:2" x14ac:dyDescent="0.35">
      <c r="A964" s="16" t="s">
        <v>723</v>
      </c>
      <c r="B964" s="23">
        <v>7.7</v>
      </c>
    </row>
    <row r="965" spans="1:2" x14ac:dyDescent="0.35">
      <c r="A965" s="16" t="s">
        <v>1398</v>
      </c>
      <c r="B965" s="23">
        <v>19.98</v>
      </c>
    </row>
    <row r="966" spans="1:2" x14ac:dyDescent="0.35">
      <c r="A966" s="16" t="s">
        <v>3562</v>
      </c>
      <c r="B966" s="23">
        <v>13.05</v>
      </c>
    </row>
    <row r="967" spans="1:2" x14ac:dyDescent="0.35">
      <c r="A967" s="16" t="s">
        <v>1631</v>
      </c>
      <c r="B967" s="23">
        <v>131.21</v>
      </c>
    </row>
    <row r="968" spans="1:2" x14ac:dyDescent="0.35">
      <c r="A968" s="16" t="s">
        <v>3235</v>
      </c>
      <c r="B968" s="23">
        <v>117.99</v>
      </c>
    </row>
    <row r="969" spans="1:2" x14ac:dyDescent="0.35">
      <c r="A969" s="16" t="s">
        <v>2815</v>
      </c>
      <c r="B969" s="23">
        <v>54.39</v>
      </c>
    </row>
    <row r="970" spans="1:2" x14ac:dyDescent="0.35">
      <c r="A970" s="16" t="s">
        <v>2488</v>
      </c>
      <c r="B970" s="23">
        <v>38.51</v>
      </c>
    </row>
    <row r="971" spans="1:2" x14ac:dyDescent="0.35">
      <c r="A971" s="16" t="s">
        <v>127</v>
      </c>
      <c r="B971" s="23">
        <v>39.770000000000003</v>
      </c>
    </row>
    <row r="972" spans="1:2" x14ac:dyDescent="0.35">
      <c r="A972" s="16" t="s">
        <v>2428</v>
      </c>
      <c r="B972" s="23">
        <v>269.87</v>
      </c>
    </row>
    <row r="973" spans="1:2" x14ac:dyDescent="0.35">
      <c r="A973" s="16" t="s">
        <v>2547</v>
      </c>
      <c r="B973" s="23">
        <v>231.02</v>
      </c>
    </row>
    <row r="974" spans="1:2" x14ac:dyDescent="0.35">
      <c r="A974" s="16" t="s">
        <v>3447</v>
      </c>
      <c r="B974" s="23">
        <v>24.52</v>
      </c>
    </row>
    <row r="975" spans="1:2" x14ac:dyDescent="0.35">
      <c r="A975" s="16" t="s">
        <v>3313</v>
      </c>
      <c r="B975" s="23">
        <v>-2.1</v>
      </c>
    </row>
    <row r="976" spans="1:2" x14ac:dyDescent="0.35">
      <c r="A976" s="16" t="s">
        <v>2538</v>
      </c>
      <c r="B976" s="23">
        <v>-1.1599999999999999</v>
      </c>
    </row>
    <row r="977" spans="1:2" x14ac:dyDescent="0.35">
      <c r="A977" s="16" t="s">
        <v>2973</v>
      </c>
      <c r="B977" s="23">
        <v>-0.91</v>
      </c>
    </row>
    <row r="978" spans="1:2" x14ac:dyDescent="0.35">
      <c r="A978" s="16" t="s">
        <v>2529</v>
      </c>
      <c r="B978" s="23">
        <v>205.81</v>
      </c>
    </row>
    <row r="979" spans="1:2" x14ac:dyDescent="0.35">
      <c r="A979" s="16" t="s">
        <v>2738</v>
      </c>
      <c r="B979" s="23">
        <v>32.090000000000003</v>
      </c>
    </row>
    <row r="980" spans="1:2" x14ac:dyDescent="0.35">
      <c r="A980" s="16" t="s">
        <v>689</v>
      </c>
      <c r="B980" s="23">
        <v>16.899999999999999</v>
      </c>
    </row>
    <row r="981" spans="1:2" x14ac:dyDescent="0.35">
      <c r="A981" s="16" t="s">
        <v>1208</v>
      </c>
      <c r="B981" s="23">
        <v>-1.44</v>
      </c>
    </row>
    <row r="982" spans="1:2" x14ac:dyDescent="0.35">
      <c r="A982" s="16" t="s">
        <v>580</v>
      </c>
      <c r="B982" s="23">
        <v>131.29</v>
      </c>
    </row>
    <row r="983" spans="1:2" x14ac:dyDescent="0.35">
      <c r="A983" s="16" t="s">
        <v>792</v>
      </c>
      <c r="B983" s="23">
        <v>277.41000000000003</v>
      </c>
    </row>
    <row r="984" spans="1:2" x14ac:dyDescent="0.35">
      <c r="A984" s="16" t="s">
        <v>3356</v>
      </c>
      <c r="B984" s="23">
        <v>17.73</v>
      </c>
    </row>
    <row r="985" spans="1:2" x14ac:dyDescent="0.35">
      <c r="A985" s="16" t="s">
        <v>2839</v>
      </c>
      <c r="B985" s="23">
        <v>-4.03</v>
      </c>
    </row>
    <row r="986" spans="1:2" x14ac:dyDescent="0.35">
      <c r="A986" s="16" t="s">
        <v>1889</v>
      </c>
      <c r="B986" s="23">
        <v>154.88999999999999</v>
      </c>
    </row>
    <row r="987" spans="1:2" x14ac:dyDescent="0.35">
      <c r="A987" s="16" t="s">
        <v>996</v>
      </c>
      <c r="B987" s="23">
        <v>190.55</v>
      </c>
    </row>
    <row r="988" spans="1:2" x14ac:dyDescent="0.35">
      <c r="A988" s="16" t="s">
        <v>3186</v>
      </c>
      <c r="B988" s="23">
        <v>86.29</v>
      </c>
    </row>
    <row r="989" spans="1:2" x14ac:dyDescent="0.35">
      <c r="A989" s="16" t="s">
        <v>3238</v>
      </c>
      <c r="B989" s="23">
        <v>-0.56999999999999995</v>
      </c>
    </row>
    <row r="990" spans="1:2" x14ac:dyDescent="0.35">
      <c r="A990" s="16" t="s">
        <v>2707</v>
      </c>
      <c r="B990" s="23">
        <v>43.97</v>
      </c>
    </row>
    <row r="991" spans="1:2" x14ac:dyDescent="0.35">
      <c r="A991" s="16" t="s">
        <v>2220</v>
      </c>
      <c r="B991" s="23">
        <v>48.23</v>
      </c>
    </row>
    <row r="992" spans="1:2" x14ac:dyDescent="0.35">
      <c r="A992" s="16" t="s">
        <v>1792</v>
      </c>
      <c r="B992" s="23">
        <v>7.57</v>
      </c>
    </row>
    <row r="993" spans="1:2" x14ac:dyDescent="0.35">
      <c r="A993" s="16" t="s">
        <v>2799</v>
      </c>
      <c r="B993" s="23">
        <v>120.15</v>
      </c>
    </row>
    <row r="994" spans="1:2" x14ac:dyDescent="0.35">
      <c r="A994" s="16" t="s">
        <v>1635</v>
      </c>
      <c r="B994" s="23">
        <v>315.93</v>
      </c>
    </row>
    <row r="995" spans="1:2" x14ac:dyDescent="0.35">
      <c r="A995" s="16" t="s">
        <v>1218</v>
      </c>
      <c r="B995" s="23">
        <v>98.58</v>
      </c>
    </row>
    <row r="996" spans="1:2" x14ac:dyDescent="0.35">
      <c r="A996" s="16" t="s">
        <v>2598</v>
      </c>
      <c r="B996" s="23">
        <v>77.819999999999993</v>
      </c>
    </row>
    <row r="997" spans="1:2" x14ac:dyDescent="0.35">
      <c r="A997" s="16" t="s">
        <v>2478</v>
      </c>
      <c r="B997" s="23">
        <v>26.14</v>
      </c>
    </row>
    <row r="998" spans="1:2" x14ac:dyDescent="0.35">
      <c r="A998" s="16" t="s">
        <v>3074</v>
      </c>
      <c r="B998" s="23">
        <v>-4.7</v>
      </c>
    </row>
    <row r="999" spans="1:2" x14ac:dyDescent="0.35">
      <c r="A999" s="16" t="s">
        <v>755</v>
      </c>
      <c r="B999" s="23">
        <v>34.56</v>
      </c>
    </row>
    <row r="1000" spans="1:2" x14ac:dyDescent="0.35">
      <c r="A1000" s="16" t="s">
        <v>1051</v>
      </c>
      <c r="B1000" s="23">
        <v>145.74</v>
      </c>
    </row>
    <row r="1001" spans="1:2" x14ac:dyDescent="0.35">
      <c r="A1001" s="16" t="s">
        <v>2161</v>
      </c>
      <c r="B1001" s="23">
        <v>85.03</v>
      </c>
    </row>
    <row r="1002" spans="1:2" x14ac:dyDescent="0.35">
      <c r="A1002" s="16" t="s">
        <v>2211</v>
      </c>
      <c r="B1002" s="23">
        <v>17.12</v>
      </c>
    </row>
    <row r="1003" spans="1:2" x14ac:dyDescent="0.35">
      <c r="A1003" s="16" t="s">
        <v>394</v>
      </c>
      <c r="B1003" s="23">
        <v>7.15</v>
      </c>
    </row>
    <row r="1004" spans="1:2" x14ac:dyDescent="0.35">
      <c r="A1004" s="16" t="s">
        <v>2632</v>
      </c>
      <c r="B1004" s="23">
        <v>-10.1</v>
      </c>
    </row>
    <row r="1005" spans="1:2" x14ac:dyDescent="0.35">
      <c r="A1005" s="16" t="s">
        <v>396</v>
      </c>
      <c r="B1005" s="23">
        <v>14.44</v>
      </c>
    </row>
    <row r="1006" spans="1:2" x14ac:dyDescent="0.35">
      <c r="A1006" s="16" t="s">
        <v>2806</v>
      </c>
      <c r="B1006" s="23">
        <v>0.49</v>
      </c>
    </row>
    <row r="1007" spans="1:2" x14ac:dyDescent="0.35">
      <c r="A1007" s="16" t="s">
        <v>3083</v>
      </c>
      <c r="B1007" s="23">
        <v>15.55</v>
      </c>
    </row>
    <row r="1008" spans="1:2" x14ac:dyDescent="0.35">
      <c r="A1008" s="16" t="s">
        <v>2715</v>
      </c>
      <c r="B1008" s="23">
        <v>34.56</v>
      </c>
    </row>
    <row r="1009" spans="1:2" x14ac:dyDescent="0.35">
      <c r="A1009" s="16" t="s">
        <v>334</v>
      </c>
      <c r="B1009" s="23">
        <v>40.68</v>
      </c>
    </row>
    <row r="1010" spans="1:2" x14ac:dyDescent="0.35">
      <c r="A1010" s="16" t="s">
        <v>369</v>
      </c>
      <c r="B1010" s="23">
        <v>325.93</v>
      </c>
    </row>
    <row r="1011" spans="1:2" x14ac:dyDescent="0.35">
      <c r="A1011" s="16" t="s">
        <v>480</v>
      </c>
      <c r="B1011" s="23">
        <v>220.8</v>
      </c>
    </row>
    <row r="1012" spans="1:2" x14ac:dyDescent="0.35">
      <c r="A1012" s="16" t="s">
        <v>3581</v>
      </c>
      <c r="B1012" s="23">
        <v>95.32</v>
      </c>
    </row>
    <row r="1013" spans="1:2" x14ac:dyDescent="0.35">
      <c r="A1013" s="16" t="s">
        <v>3417</v>
      </c>
      <c r="B1013" s="23">
        <v>0.09</v>
      </c>
    </row>
    <row r="1014" spans="1:2" x14ac:dyDescent="0.35">
      <c r="A1014" s="16" t="s">
        <v>214</v>
      </c>
      <c r="B1014" s="23">
        <v>45.31</v>
      </c>
    </row>
    <row r="1015" spans="1:2" x14ac:dyDescent="0.35">
      <c r="A1015" s="16" t="s">
        <v>3129</v>
      </c>
      <c r="B1015" s="23">
        <v>328.53</v>
      </c>
    </row>
    <row r="1016" spans="1:2" x14ac:dyDescent="0.35">
      <c r="A1016" s="16" t="s">
        <v>2974</v>
      </c>
      <c r="B1016" s="23">
        <v>0.28000000000000003</v>
      </c>
    </row>
    <row r="1017" spans="1:2" x14ac:dyDescent="0.35">
      <c r="A1017" s="16" t="s">
        <v>2899</v>
      </c>
      <c r="B1017" s="23">
        <v>33.89</v>
      </c>
    </row>
    <row r="1018" spans="1:2" x14ac:dyDescent="0.35">
      <c r="A1018" s="16" t="s">
        <v>1448</v>
      </c>
      <c r="B1018" s="23">
        <v>41.92</v>
      </c>
    </row>
    <row r="1019" spans="1:2" x14ac:dyDescent="0.35">
      <c r="A1019" s="16" t="s">
        <v>3103</v>
      </c>
      <c r="B1019" s="23">
        <v>17.71</v>
      </c>
    </row>
    <row r="1020" spans="1:2" x14ac:dyDescent="0.35">
      <c r="A1020" s="16" t="s">
        <v>2659</v>
      </c>
      <c r="B1020" s="23">
        <v>50.67</v>
      </c>
    </row>
    <row r="1021" spans="1:2" x14ac:dyDescent="0.35">
      <c r="A1021" s="16" t="s">
        <v>2231</v>
      </c>
      <c r="B1021" s="23">
        <v>18.8</v>
      </c>
    </row>
    <row r="1022" spans="1:2" x14ac:dyDescent="0.35">
      <c r="A1022" s="16" t="s">
        <v>687</v>
      </c>
      <c r="B1022" s="23">
        <v>-3.52</v>
      </c>
    </row>
    <row r="1023" spans="1:2" x14ac:dyDescent="0.35">
      <c r="A1023" s="16" t="s">
        <v>1353</v>
      </c>
      <c r="B1023" s="23">
        <v>12.91</v>
      </c>
    </row>
    <row r="1024" spans="1:2" x14ac:dyDescent="0.35">
      <c r="A1024" s="16" t="s">
        <v>1796</v>
      </c>
      <c r="B1024" s="23">
        <v>14.42</v>
      </c>
    </row>
    <row r="1025" spans="1:2" x14ac:dyDescent="0.35">
      <c r="A1025" s="16" t="s">
        <v>3031</v>
      </c>
      <c r="B1025" s="23">
        <v>-5.33</v>
      </c>
    </row>
    <row r="1026" spans="1:2" x14ac:dyDescent="0.35">
      <c r="A1026" s="16" t="s">
        <v>2106</v>
      </c>
      <c r="B1026" s="23">
        <v>8.99</v>
      </c>
    </row>
    <row r="1027" spans="1:2" x14ac:dyDescent="0.35">
      <c r="A1027" s="16" t="s">
        <v>3362</v>
      </c>
      <c r="B1027" s="23">
        <v>-1.95</v>
      </c>
    </row>
    <row r="1028" spans="1:2" x14ac:dyDescent="0.35">
      <c r="A1028" s="16" t="s">
        <v>1728</v>
      </c>
      <c r="B1028" s="23">
        <v>-2.25</v>
      </c>
    </row>
    <row r="1029" spans="1:2" x14ac:dyDescent="0.35">
      <c r="A1029" s="16" t="s">
        <v>125</v>
      </c>
      <c r="B1029" s="23">
        <v>27.3</v>
      </c>
    </row>
    <row r="1030" spans="1:2" x14ac:dyDescent="0.35">
      <c r="A1030" s="16" t="s">
        <v>2798</v>
      </c>
      <c r="B1030" s="23">
        <v>21.65</v>
      </c>
    </row>
    <row r="1031" spans="1:2" x14ac:dyDescent="0.35">
      <c r="A1031" s="16" t="s">
        <v>3456</v>
      </c>
      <c r="B1031" s="23">
        <v>374.65</v>
      </c>
    </row>
    <row r="1032" spans="1:2" x14ac:dyDescent="0.35">
      <c r="A1032" s="16" t="s">
        <v>123</v>
      </c>
      <c r="B1032" s="23">
        <v>27.81</v>
      </c>
    </row>
    <row r="1033" spans="1:2" x14ac:dyDescent="0.35">
      <c r="A1033" s="16" t="s">
        <v>945</v>
      </c>
      <c r="B1033" s="23">
        <v>52.78</v>
      </c>
    </row>
    <row r="1034" spans="1:2" x14ac:dyDescent="0.35">
      <c r="A1034" s="16" t="s">
        <v>622</v>
      </c>
      <c r="B1034" s="23">
        <v>51.28</v>
      </c>
    </row>
    <row r="1035" spans="1:2" x14ac:dyDescent="0.35">
      <c r="A1035" s="16" t="s">
        <v>3049</v>
      </c>
      <c r="B1035" s="23">
        <v>235.94</v>
      </c>
    </row>
    <row r="1036" spans="1:2" x14ac:dyDescent="0.35">
      <c r="A1036" s="16" t="s">
        <v>1430</v>
      </c>
      <c r="B1036" s="23">
        <v>-5.39</v>
      </c>
    </row>
    <row r="1037" spans="1:2" x14ac:dyDescent="0.35">
      <c r="A1037" s="16" t="s">
        <v>3591</v>
      </c>
      <c r="B1037" s="23">
        <v>25.91</v>
      </c>
    </row>
    <row r="1038" spans="1:2" x14ac:dyDescent="0.35">
      <c r="A1038" s="16" t="s">
        <v>140</v>
      </c>
      <c r="B1038" s="23">
        <v>33.57</v>
      </c>
    </row>
    <row r="1039" spans="1:2" x14ac:dyDescent="0.35">
      <c r="A1039" s="16" t="s">
        <v>2525</v>
      </c>
      <c r="B1039" s="23">
        <v>213.07</v>
      </c>
    </row>
    <row r="1040" spans="1:2" x14ac:dyDescent="0.35">
      <c r="A1040" s="16" t="s">
        <v>2298</v>
      </c>
      <c r="B1040" s="23">
        <v>118.38</v>
      </c>
    </row>
    <row r="1041" spans="1:2" x14ac:dyDescent="0.35">
      <c r="A1041" s="16" t="s">
        <v>1155</v>
      </c>
      <c r="B1041" s="23">
        <v>348.62</v>
      </c>
    </row>
    <row r="1042" spans="1:2" x14ac:dyDescent="0.35">
      <c r="A1042" s="16" t="s">
        <v>2394</v>
      </c>
      <c r="B1042" s="23">
        <v>9.61</v>
      </c>
    </row>
    <row r="1043" spans="1:2" x14ac:dyDescent="0.35">
      <c r="A1043" s="16" t="s">
        <v>3308</v>
      </c>
      <c r="B1043" s="23">
        <v>10.8</v>
      </c>
    </row>
    <row r="1044" spans="1:2" x14ac:dyDescent="0.35">
      <c r="A1044" s="16" t="s">
        <v>2851</v>
      </c>
      <c r="B1044" s="23">
        <v>31.34</v>
      </c>
    </row>
    <row r="1045" spans="1:2" x14ac:dyDescent="0.35">
      <c r="A1045" s="16" t="s">
        <v>2579</v>
      </c>
      <c r="B1045" s="23">
        <v>233.88</v>
      </c>
    </row>
    <row r="1046" spans="1:2" x14ac:dyDescent="0.35">
      <c r="A1046" s="16" t="s">
        <v>2420</v>
      </c>
      <c r="B1046" s="23">
        <v>17.62</v>
      </c>
    </row>
    <row r="1047" spans="1:2" x14ac:dyDescent="0.35">
      <c r="A1047" s="16" t="s">
        <v>3315</v>
      </c>
      <c r="B1047" s="23">
        <v>31.41</v>
      </c>
    </row>
    <row r="1048" spans="1:2" x14ac:dyDescent="0.35">
      <c r="A1048" s="16" t="s">
        <v>537</v>
      </c>
      <c r="B1048" s="23">
        <v>156.22999999999999</v>
      </c>
    </row>
    <row r="1049" spans="1:2" x14ac:dyDescent="0.35">
      <c r="A1049" s="16" t="s">
        <v>3265</v>
      </c>
      <c r="B1049" s="23">
        <v>0.75</v>
      </c>
    </row>
    <row r="1050" spans="1:2" x14ac:dyDescent="0.35">
      <c r="A1050" s="16" t="s">
        <v>1471</v>
      </c>
      <c r="B1050" s="23">
        <v>79.73</v>
      </c>
    </row>
    <row r="1051" spans="1:2" x14ac:dyDescent="0.35">
      <c r="A1051" s="16" t="s">
        <v>612</v>
      </c>
      <c r="B1051" s="23">
        <v>86.25</v>
      </c>
    </row>
    <row r="1052" spans="1:2" x14ac:dyDescent="0.35">
      <c r="A1052" s="16" t="s">
        <v>2009</v>
      </c>
      <c r="B1052" s="23">
        <v>5.39</v>
      </c>
    </row>
    <row r="1053" spans="1:2" x14ac:dyDescent="0.35">
      <c r="A1053" s="16" t="s">
        <v>2992</v>
      </c>
      <c r="B1053" s="23">
        <v>-3.02</v>
      </c>
    </row>
    <row r="1054" spans="1:2" x14ac:dyDescent="0.35">
      <c r="A1054" s="16" t="s">
        <v>3373</v>
      </c>
      <c r="B1054" s="23">
        <v>3.79</v>
      </c>
    </row>
    <row r="1055" spans="1:2" x14ac:dyDescent="0.35">
      <c r="A1055" s="16" t="s">
        <v>3348</v>
      </c>
      <c r="B1055" s="23">
        <v>456.85</v>
      </c>
    </row>
    <row r="1056" spans="1:2" x14ac:dyDescent="0.35">
      <c r="A1056" s="16" t="s">
        <v>1641</v>
      </c>
      <c r="B1056" s="23">
        <v>46.6</v>
      </c>
    </row>
    <row r="1057" spans="1:2" x14ac:dyDescent="0.35">
      <c r="A1057" s="16" t="s">
        <v>2285</v>
      </c>
      <c r="B1057" s="23">
        <v>150.37</v>
      </c>
    </row>
    <row r="1058" spans="1:2" x14ac:dyDescent="0.35">
      <c r="A1058" s="16" t="s">
        <v>3338</v>
      </c>
      <c r="B1058" s="23">
        <v>27.53</v>
      </c>
    </row>
    <row r="1059" spans="1:2" x14ac:dyDescent="0.35">
      <c r="A1059" s="16" t="s">
        <v>2600</v>
      </c>
      <c r="B1059" s="23">
        <v>108.85</v>
      </c>
    </row>
    <row r="1060" spans="1:2" x14ac:dyDescent="0.35">
      <c r="A1060" s="16" t="s">
        <v>2767</v>
      </c>
      <c r="B1060" s="23">
        <v>27.51</v>
      </c>
    </row>
    <row r="1061" spans="1:2" x14ac:dyDescent="0.35">
      <c r="A1061" s="16" t="s">
        <v>2129</v>
      </c>
      <c r="B1061" s="23">
        <v>68.16</v>
      </c>
    </row>
    <row r="1062" spans="1:2" x14ac:dyDescent="0.35">
      <c r="A1062" s="16" t="s">
        <v>1521</v>
      </c>
      <c r="B1062" s="23">
        <v>-5.0199999999999996</v>
      </c>
    </row>
    <row r="1063" spans="1:2" x14ac:dyDescent="0.35">
      <c r="A1063" s="16" t="s">
        <v>606</v>
      </c>
      <c r="B1063" s="23">
        <v>15.43</v>
      </c>
    </row>
    <row r="1064" spans="1:2" x14ac:dyDescent="0.35">
      <c r="A1064" s="16" t="s">
        <v>745</v>
      </c>
      <c r="B1064" s="23">
        <v>447.36</v>
      </c>
    </row>
    <row r="1065" spans="1:2" x14ac:dyDescent="0.35">
      <c r="A1065" s="16" t="s">
        <v>1103</v>
      </c>
      <c r="B1065" s="23">
        <v>33.17</v>
      </c>
    </row>
    <row r="1066" spans="1:2" x14ac:dyDescent="0.35">
      <c r="A1066" s="16" t="s">
        <v>3131</v>
      </c>
      <c r="B1066" s="23">
        <v>77.34</v>
      </c>
    </row>
    <row r="1067" spans="1:2" x14ac:dyDescent="0.35">
      <c r="A1067" s="16" t="s">
        <v>342</v>
      </c>
      <c r="B1067" s="23">
        <v>-0.72</v>
      </c>
    </row>
    <row r="1068" spans="1:2" x14ac:dyDescent="0.35">
      <c r="A1068" s="16" t="s">
        <v>246</v>
      </c>
      <c r="B1068" s="23">
        <v>10.32</v>
      </c>
    </row>
    <row r="1069" spans="1:2" x14ac:dyDescent="0.35">
      <c r="A1069" s="16" t="s">
        <v>422</v>
      </c>
      <c r="B1069" s="23">
        <v>59.99</v>
      </c>
    </row>
    <row r="1070" spans="1:2" x14ac:dyDescent="0.35">
      <c r="A1070" s="16" t="s">
        <v>2465</v>
      </c>
      <c r="B1070" s="23">
        <v>71.72</v>
      </c>
    </row>
    <row r="1071" spans="1:2" x14ac:dyDescent="0.35">
      <c r="A1071" s="16" t="s">
        <v>662</v>
      </c>
      <c r="B1071" s="23">
        <v>-1.41</v>
      </c>
    </row>
    <row r="1072" spans="1:2" x14ac:dyDescent="0.35">
      <c r="A1072" s="16" t="s">
        <v>1132</v>
      </c>
      <c r="B1072" s="23">
        <v>19.28</v>
      </c>
    </row>
    <row r="1073" spans="1:2" x14ac:dyDescent="0.35">
      <c r="A1073" s="16" t="s">
        <v>863</v>
      </c>
      <c r="B1073" s="23">
        <v>-2.91</v>
      </c>
    </row>
    <row r="1074" spans="1:2" x14ac:dyDescent="0.35">
      <c r="A1074" s="16" t="s">
        <v>3318</v>
      </c>
      <c r="B1074" s="23">
        <v>32.47</v>
      </c>
    </row>
    <row r="1075" spans="1:2" x14ac:dyDescent="0.35">
      <c r="A1075" s="16" t="s">
        <v>3114</v>
      </c>
      <c r="B1075" s="23">
        <v>180.66</v>
      </c>
    </row>
    <row r="1076" spans="1:2" x14ac:dyDescent="0.35">
      <c r="A1076" s="16" t="s">
        <v>2127</v>
      </c>
      <c r="B1076" s="23">
        <v>89.39</v>
      </c>
    </row>
    <row r="1077" spans="1:2" x14ac:dyDescent="0.35">
      <c r="A1077" s="16" t="s">
        <v>1838</v>
      </c>
      <c r="B1077" s="23">
        <v>131.04</v>
      </c>
    </row>
    <row r="1078" spans="1:2" x14ac:dyDescent="0.35">
      <c r="A1078" s="16" t="s">
        <v>3244</v>
      </c>
      <c r="B1078" s="23">
        <v>2.02</v>
      </c>
    </row>
    <row r="1079" spans="1:2" x14ac:dyDescent="0.35">
      <c r="A1079" s="16" t="s">
        <v>2913</v>
      </c>
      <c r="B1079" s="23">
        <v>35.020000000000003</v>
      </c>
    </row>
    <row r="1080" spans="1:2" x14ac:dyDescent="0.35">
      <c r="A1080" s="16" t="s">
        <v>702</v>
      </c>
      <c r="B1080" s="23">
        <v>93.18</v>
      </c>
    </row>
    <row r="1081" spans="1:2" x14ac:dyDescent="0.35">
      <c r="A1081" s="16" t="s">
        <v>2816</v>
      </c>
      <c r="B1081" s="23">
        <v>67.010000000000005</v>
      </c>
    </row>
    <row r="1082" spans="1:2" x14ac:dyDescent="0.35">
      <c r="A1082" s="16" t="s">
        <v>432</v>
      </c>
      <c r="B1082" s="23">
        <v>35.29</v>
      </c>
    </row>
    <row r="1083" spans="1:2" x14ac:dyDescent="0.35">
      <c r="A1083" s="16" t="s">
        <v>595</v>
      </c>
      <c r="B1083" s="23">
        <v>14.09</v>
      </c>
    </row>
    <row r="1084" spans="1:2" x14ac:dyDescent="0.35">
      <c r="A1084" s="16" t="s">
        <v>3351</v>
      </c>
      <c r="B1084" s="23">
        <v>232.24</v>
      </c>
    </row>
    <row r="1085" spans="1:2" x14ac:dyDescent="0.35">
      <c r="A1085" s="16" t="s">
        <v>224</v>
      </c>
      <c r="B1085" s="23">
        <v>9.5399999999999991</v>
      </c>
    </row>
    <row r="1086" spans="1:2" x14ac:dyDescent="0.35">
      <c r="A1086" s="16" t="s">
        <v>2523</v>
      </c>
      <c r="B1086" s="23">
        <v>644.77</v>
      </c>
    </row>
    <row r="1087" spans="1:2" x14ac:dyDescent="0.35">
      <c r="A1087" s="16" t="s">
        <v>1887</v>
      </c>
      <c r="B1087" s="23">
        <v>48.7</v>
      </c>
    </row>
    <row r="1088" spans="1:2" x14ac:dyDescent="0.35">
      <c r="A1088" s="16" t="s">
        <v>871</v>
      </c>
      <c r="B1088" s="23">
        <v>6.53</v>
      </c>
    </row>
    <row r="1089" spans="1:2" x14ac:dyDescent="0.35">
      <c r="A1089" s="16" t="s">
        <v>3247</v>
      </c>
      <c r="B1089" s="23">
        <v>42.49</v>
      </c>
    </row>
    <row r="1090" spans="1:2" x14ac:dyDescent="0.35">
      <c r="A1090" s="16" t="s">
        <v>3243</v>
      </c>
      <c r="B1090" s="23">
        <v>47.21</v>
      </c>
    </row>
    <row r="1091" spans="1:2" x14ac:dyDescent="0.35">
      <c r="A1091" s="16" t="s">
        <v>380</v>
      </c>
      <c r="B1091" s="23">
        <v>16.170000000000002</v>
      </c>
    </row>
    <row r="1092" spans="1:2" x14ac:dyDescent="0.35">
      <c r="A1092" s="16" t="s">
        <v>2786</v>
      </c>
      <c r="B1092" s="23">
        <v>5.12</v>
      </c>
    </row>
    <row r="1093" spans="1:2" x14ac:dyDescent="0.35">
      <c r="A1093" s="16" t="s">
        <v>355</v>
      </c>
      <c r="B1093" s="23">
        <v>1370.08</v>
      </c>
    </row>
    <row r="1094" spans="1:2" x14ac:dyDescent="0.35">
      <c r="A1094" s="16" t="s">
        <v>1073</v>
      </c>
      <c r="B1094" s="23">
        <v>874.37</v>
      </c>
    </row>
    <row r="1095" spans="1:2" x14ac:dyDescent="0.35">
      <c r="A1095" s="16" t="s">
        <v>2207</v>
      </c>
      <c r="B1095" s="23">
        <v>63.02</v>
      </c>
    </row>
    <row r="1096" spans="1:2" x14ac:dyDescent="0.35">
      <c r="A1096" s="16" t="s">
        <v>1089</v>
      </c>
      <c r="B1096" s="23">
        <v>46.34</v>
      </c>
    </row>
    <row r="1097" spans="1:2" x14ac:dyDescent="0.35">
      <c r="A1097" s="16" t="s">
        <v>2056</v>
      </c>
      <c r="B1097" s="23">
        <v>7.06</v>
      </c>
    </row>
    <row r="1098" spans="1:2" x14ac:dyDescent="0.35">
      <c r="A1098" s="16" t="s">
        <v>3158</v>
      </c>
      <c r="B1098" s="23">
        <v>28.01</v>
      </c>
    </row>
    <row r="1099" spans="1:2" x14ac:dyDescent="0.35">
      <c r="A1099" s="16" t="s">
        <v>3364</v>
      </c>
      <c r="B1099" s="23">
        <v>29.71</v>
      </c>
    </row>
    <row r="1100" spans="1:2" x14ac:dyDescent="0.35">
      <c r="A1100" s="16" t="s">
        <v>3003</v>
      </c>
      <c r="B1100" s="23">
        <v>22.24</v>
      </c>
    </row>
    <row r="1101" spans="1:2" x14ac:dyDescent="0.35">
      <c r="A1101" s="16" t="s">
        <v>733</v>
      </c>
      <c r="B1101" s="23">
        <v>75.319999999999993</v>
      </c>
    </row>
    <row r="1102" spans="1:2" x14ac:dyDescent="0.35">
      <c r="A1102" s="16" t="s">
        <v>1908</v>
      </c>
      <c r="B1102" s="23">
        <v>15</v>
      </c>
    </row>
    <row r="1103" spans="1:2" x14ac:dyDescent="0.35">
      <c r="A1103" s="16" t="s">
        <v>693</v>
      </c>
      <c r="B1103" s="23">
        <v>11.37</v>
      </c>
    </row>
    <row r="1104" spans="1:2" x14ac:dyDescent="0.35">
      <c r="A1104" s="16" t="s">
        <v>1583</v>
      </c>
      <c r="B1104" s="23">
        <v>165.16</v>
      </c>
    </row>
    <row r="1105" spans="1:2" x14ac:dyDescent="0.35">
      <c r="A1105" s="16" t="s">
        <v>3479</v>
      </c>
      <c r="B1105" s="23">
        <v>106.33</v>
      </c>
    </row>
    <row r="1106" spans="1:2" x14ac:dyDescent="0.35">
      <c r="A1106" s="16" t="s">
        <v>600</v>
      </c>
      <c r="B1106" s="23">
        <v>0.12</v>
      </c>
    </row>
    <row r="1107" spans="1:2" x14ac:dyDescent="0.35">
      <c r="A1107" s="16" t="s">
        <v>1757</v>
      </c>
      <c r="B1107" s="23">
        <v>10.25</v>
      </c>
    </row>
    <row r="1108" spans="1:2" x14ac:dyDescent="0.35">
      <c r="A1108" s="16" t="s">
        <v>3004</v>
      </c>
      <c r="B1108" s="23">
        <v>255.43</v>
      </c>
    </row>
    <row r="1109" spans="1:2" x14ac:dyDescent="0.35">
      <c r="A1109" s="16" t="s">
        <v>1648</v>
      </c>
      <c r="B1109" s="23">
        <v>33.86</v>
      </c>
    </row>
    <row r="1110" spans="1:2" x14ac:dyDescent="0.35">
      <c r="A1110" s="16" t="s">
        <v>1421</v>
      </c>
      <c r="B1110" s="23">
        <v>50.29</v>
      </c>
    </row>
    <row r="1111" spans="1:2" x14ac:dyDescent="0.35">
      <c r="A1111" s="16" t="s">
        <v>1715</v>
      </c>
      <c r="B1111" s="23">
        <v>27.46</v>
      </c>
    </row>
    <row r="1112" spans="1:2" x14ac:dyDescent="0.35">
      <c r="A1112" s="16" t="s">
        <v>1176</v>
      </c>
      <c r="B1112" s="23">
        <v>12.57</v>
      </c>
    </row>
    <row r="1113" spans="1:2" x14ac:dyDescent="0.35">
      <c r="A1113" s="16" t="s">
        <v>1285</v>
      </c>
      <c r="B1113" s="23">
        <v>11.2</v>
      </c>
    </row>
    <row r="1114" spans="1:2" x14ac:dyDescent="0.35">
      <c r="A1114" s="16" t="s">
        <v>1224</v>
      </c>
      <c r="B1114" s="23">
        <v>-1.79</v>
      </c>
    </row>
    <row r="1115" spans="1:2" x14ac:dyDescent="0.35">
      <c r="A1115" s="16" t="s">
        <v>3190</v>
      </c>
      <c r="B1115" s="23">
        <v>7.12</v>
      </c>
    </row>
    <row r="1116" spans="1:2" x14ac:dyDescent="0.35">
      <c r="A1116" s="16" t="s">
        <v>2422</v>
      </c>
      <c r="B1116" s="23">
        <v>30.69</v>
      </c>
    </row>
    <row r="1117" spans="1:2" x14ac:dyDescent="0.35">
      <c r="A1117" s="16" t="s">
        <v>3085</v>
      </c>
      <c r="B1117" s="23">
        <v>32.89</v>
      </c>
    </row>
    <row r="1118" spans="1:2" x14ac:dyDescent="0.35">
      <c r="A1118" s="16" t="s">
        <v>2588</v>
      </c>
      <c r="B1118" s="23">
        <v>107.83</v>
      </c>
    </row>
    <row r="1119" spans="1:2" x14ac:dyDescent="0.35">
      <c r="A1119" s="16" t="s">
        <v>2983</v>
      </c>
      <c r="B1119" s="23">
        <v>93.22</v>
      </c>
    </row>
    <row r="1120" spans="1:2" x14ac:dyDescent="0.35">
      <c r="A1120" s="16" t="s">
        <v>1259</v>
      </c>
      <c r="B1120" s="23">
        <v>52.25</v>
      </c>
    </row>
    <row r="1121" spans="1:2" x14ac:dyDescent="0.35">
      <c r="A1121" s="16" t="s">
        <v>3161</v>
      </c>
      <c r="B1121" s="23">
        <v>1.99</v>
      </c>
    </row>
    <row r="1122" spans="1:2" x14ac:dyDescent="0.35">
      <c r="A1122" s="16" t="s">
        <v>3435</v>
      </c>
      <c r="B1122" s="23">
        <v>29.43</v>
      </c>
    </row>
    <row r="1123" spans="1:2" x14ac:dyDescent="0.35">
      <c r="A1123" s="16" t="s">
        <v>2649</v>
      </c>
      <c r="B1123" s="23">
        <v>409</v>
      </c>
    </row>
    <row r="1124" spans="1:2" x14ac:dyDescent="0.35">
      <c r="A1124" s="16" t="s">
        <v>15</v>
      </c>
      <c r="B1124" s="23">
        <v>124.92</v>
      </c>
    </row>
    <row r="1125" spans="1:2" x14ac:dyDescent="0.35">
      <c r="A1125" s="16" t="s">
        <v>2589</v>
      </c>
      <c r="B1125" s="23">
        <v>43.31</v>
      </c>
    </row>
    <row r="1126" spans="1:2" x14ac:dyDescent="0.35">
      <c r="A1126" s="16" t="s">
        <v>3523</v>
      </c>
      <c r="B1126" s="23">
        <v>-3.52</v>
      </c>
    </row>
    <row r="1127" spans="1:2" x14ac:dyDescent="0.35">
      <c r="A1127" s="16" t="s">
        <v>2114</v>
      </c>
      <c r="B1127" s="23">
        <v>3.89</v>
      </c>
    </row>
    <row r="1128" spans="1:2" x14ac:dyDescent="0.35">
      <c r="A1128" s="16" t="s">
        <v>3430</v>
      </c>
      <c r="B1128" s="23">
        <v>130.79</v>
      </c>
    </row>
    <row r="1129" spans="1:2" x14ac:dyDescent="0.35">
      <c r="A1129" s="16" t="s">
        <v>2775</v>
      </c>
      <c r="B1129" s="23">
        <v>131.63</v>
      </c>
    </row>
    <row r="1130" spans="1:2" x14ac:dyDescent="0.35">
      <c r="A1130" s="16" t="s">
        <v>2769</v>
      </c>
      <c r="B1130" s="23">
        <v>195.65</v>
      </c>
    </row>
    <row r="1131" spans="1:2" x14ac:dyDescent="0.35">
      <c r="A1131" s="16" t="s">
        <v>111</v>
      </c>
      <c r="B1131" s="23">
        <v>491.36</v>
      </c>
    </row>
    <row r="1132" spans="1:2" x14ac:dyDescent="0.35">
      <c r="A1132" s="16" t="s">
        <v>2519</v>
      </c>
      <c r="B1132" s="23">
        <v>45.83</v>
      </c>
    </row>
    <row r="1133" spans="1:2" x14ac:dyDescent="0.35">
      <c r="A1133" s="16" t="s">
        <v>3331</v>
      </c>
      <c r="B1133" s="23">
        <v>52.63</v>
      </c>
    </row>
    <row r="1134" spans="1:2" x14ac:dyDescent="0.35">
      <c r="A1134" s="16" t="s">
        <v>3493</v>
      </c>
      <c r="B1134" s="23">
        <v>11.8</v>
      </c>
    </row>
    <row r="1135" spans="1:2" x14ac:dyDescent="0.35">
      <c r="A1135" s="16" t="s">
        <v>2064</v>
      </c>
      <c r="B1135" s="23">
        <v>3.17</v>
      </c>
    </row>
    <row r="1136" spans="1:2" x14ac:dyDescent="0.35">
      <c r="A1136" s="16" t="s">
        <v>624</v>
      </c>
      <c r="B1136" s="23">
        <v>185.38</v>
      </c>
    </row>
    <row r="1137" spans="1:2" x14ac:dyDescent="0.35">
      <c r="A1137" s="16" t="s">
        <v>2998</v>
      </c>
      <c r="B1137" s="23">
        <v>39.06</v>
      </c>
    </row>
    <row r="1138" spans="1:2" x14ac:dyDescent="0.35">
      <c r="A1138" s="16" t="s">
        <v>303</v>
      </c>
      <c r="B1138" s="23">
        <v>24.6</v>
      </c>
    </row>
    <row r="1139" spans="1:2" x14ac:dyDescent="0.35">
      <c r="A1139" s="16" t="s">
        <v>2221</v>
      </c>
      <c r="B1139" s="23">
        <v>26.98</v>
      </c>
    </row>
    <row r="1140" spans="1:2" x14ac:dyDescent="0.35">
      <c r="A1140" s="16" t="s">
        <v>1095</v>
      </c>
      <c r="B1140" s="23">
        <v>22.61</v>
      </c>
    </row>
    <row r="1141" spans="1:2" x14ac:dyDescent="0.35">
      <c r="A1141" s="16" t="s">
        <v>2591</v>
      </c>
      <c r="B1141" s="23">
        <v>16.07</v>
      </c>
    </row>
    <row r="1142" spans="1:2" x14ac:dyDescent="0.35">
      <c r="A1142" s="16" t="s">
        <v>1476</v>
      </c>
      <c r="B1142" s="23">
        <v>148.76</v>
      </c>
    </row>
    <row r="1143" spans="1:2" x14ac:dyDescent="0.35">
      <c r="A1143" s="16" t="s">
        <v>3223</v>
      </c>
      <c r="B1143" s="23">
        <v>227.22</v>
      </c>
    </row>
    <row r="1144" spans="1:2" x14ac:dyDescent="0.35">
      <c r="A1144" s="16" t="s">
        <v>1652</v>
      </c>
      <c r="B1144" s="23">
        <v>-1.86</v>
      </c>
    </row>
    <row r="1145" spans="1:2" x14ac:dyDescent="0.35">
      <c r="A1145" s="16" t="s">
        <v>1957</v>
      </c>
      <c r="B1145" s="23">
        <v>14.98</v>
      </c>
    </row>
    <row r="1146" spans="1:2" x14ac:dyDescent="0.35">
      <c r="A1146" s="16" t="s">
        <v>1556</v>
      </c>
      <c r="B1146" s="23">
        <v>37.42</v>
      </c>
    </row>
    <row r="1147" spans="1:2" x14ac:dyDescent="0.35">
      <c r="A1147" s="16" t="s">
        <v>1769</v>
      </c>
      <c r="B1147" s="23">
        <v>130.93</v>
      </c>
    </row>
    <row r="1148" spans="1:2" x14ac:dyDescent="0.35">
      <c r="A1148" s="16" t="s">
        <v>3464</v>
      </c>
      <c r="B1148" s="23">
        <v>115.22</v>
      </c>
    </row>
    <row r="1149" spans="1:2" x14ac:dyDescent="0.35">
      <c r="A1149" s="16" t="s">
        <v>2332</v>
      </c>
      <c r="B1149" s="23">
        <v>133.61000000000001</v>
      </c>
    </row>
    <row r="1150" spans="1:2" x14ac:dyDescent="0.35">
      <c r="A1150" s="16" t="s">
        <v>1374</v>
      </c>
      <c r="B1150" s="23">
        <v>57.75</v>
      </c>
    </row>
    <row r="1151" spans="1:2" x14ac:dyDescent="0.35">
      <c r="A1151" s="16" t="s">
        <v>3621</v>
      </c>
      <c r="B1151" s="23">
        <v>42.03</v>
      </c>
    </row>
    <row r="1152" spans="1:2" x14ac:dyDescent="0.35">
      <c r="A1152" s="16" t="s">
        <v>539</v>
      </c>
      <c r="B1152" s="23">
        <v>100.47</v>
      </c>
    </row>
    <row r="1153" spans="1:2" x14ac:dyDescent="0.35">
      <c r="A1153" s="16" t="s">
        <v>3104</v>
      </c>
      <c r="B1153" s="23">
        <v>55.09</v>
      </c>
    </row>
    <row r="1154" spans="1:2" x14ac:dyDescent="0.35">
      <c r="A1154" s="16" t="s">
        <v>3528</v>
      </c>
      <c r="B1154" s="23">
        <v>7.35</v>
      </c>
    </row>
    <row r="1155" spans="1:2" x14ac:dyDescent="0.35">
      <c r="A1155" s="16" t="s">
        <v>1773</v>
      </c>
      <c r="B1155" s="23">
        <v>348.29</v>
      </c>
    </row>
    <row r="1156" spans="1:2" x14ac:dyDescent="0.35">
      <c r="A1156" s="16" t="s">
        <v>1987</v>
      </c>
      <c r="B1156" s="23">
        <v>1116.45</v>
      </c>
    </row>
    <row r="1157" spans="1:2" x14ac:dyDescent="0.35">
      <c r="A1157" s="16" t="s">
        <v>709</v>
      </c>
      <c r="B1157" s="23">
        <v>48.26</v>
      </c>
    </row>
    <row r="1158" spans="1:2" x14ac:dyDescent="0.35">
      <c r="A1158" s="16" t="s">
        <v>614</v>
      </c>
      <c r="B1158" s="23">
        <v>115.42</v>
      </c>
    </row>
    <row r="1159" spans="1:2" x14ac:dyDescent="0.35">
      <c r="A1159" s="16" t="s">
        <v>361</v>
      </c>
      <c r="B1159" s="23">
        <v>46.62</v>
      </c>
    </row>
    <row r="1160" spans="1:2" x14ac:dyDescent="0.35">
      <c r="A1160" s="16" t="s">
        <v>2777</v>
      </c>
      <c r="B1160" s="23">
        <v>61.93</v>
      </c>
    </row>
    <row r="1161" spans="1:2" x14ac:dyDescent="0.35">
      <c r="A1161" s="16" t="s">
        <v>184</v>
      </c>
      <c r="B1161" s="23">
        <v>9.2899999999999991</v>
      </c>
    </row>
    <row r="1162" spans="1:2" x14ac:dyDescent="0.35">
      <c r="A1162" s="16" t="s">
        <v>1433</v>
      </c>
      <c r="B1162" s="23">
        <v>45.66</v>
      </c>
    </row>
    <row r="1163" spans="1:2" x14ac:dyDescent="0.35">
      <c r="A1163" s="16" t="s">
        <v>1798</v>
      </c>
      <c r="B1163" s="23">
        <v>2.76</v>
      </c>
    </row>
    <row r="1164" spans="1:2" x14ac:dyDescent="0.35">
      <c r="A1164" s="16" t="s">
        <v>924</v>
      </c>
      <c r="B1164" s="23">
        <v>-2.74</v>
      </c>
    </row>
    <row r="1165" spans="1:2" x14ac:dyDescent="0.35">
      <c r="A1165" s="16" t="s">
        <v>47</v>
      </c>
      <c r="B1165" s="23">
        <v>8.44</v>
      </c>
    </row>
    <row r="1166" spans="1:2" x14ac:dyDescent="0.35">
      <c r="A1166" s="16" t="s">
        <v>3516</v>
      </c>
      <c r="B1166" s="23">
        <v>17.41</v>
      </c>
    </row>
    <row r="1167" spans="1:2" x14ac:dyDescent="0.35">
      <c r="A1167" s="16" t="s">
        <v>1831</v>
      </c>
      <c r="B1167" s="23">
        <v>26.91</v>
      </c>
    </row>
    <row r="1168" spans="1:2" x14ac:dyDescent="0.35">
      <c r="A1168" s="16" t="s">
        <v>1979</v>
      </c>
      <c r="B1168" s="23">
        <v>307.48</v>
      </c>
    </row>
    <row r="1169" spans="1:2" x14ac:dyDescent="0.35">
      <c r="A1169" s="16" t="s">
        <v>2680</v>
      </c>
      <c r="B1169" s="23">
        <v>154.97</v>
      </c>
    </row>
    <row r="1170" spans="1:2" x14ac:dyDescent="0.35">
      <c r="A1170" s="16" t="s">
        <v>757</v>
      </c>
      <c r="B1170" s="23">
        <v>362.63</v>
      </c>
    </row>
    <row r="1171" spans="1:2" x14ac:dyDescent="0.35">
      <c r="A1171" s="16" t="s">
        <v>3588</v>
      </c>
      <c r="B1171" s="23">
        <v>13.02</v>
      </c>
    </row>
    <row r="1172" spans="1:2" x14ac:dyDescent="0.35">
      <c r="A1172" s="16" t="s">
        <v>832</v>
      </c>
      <c r="B1172" s="23">
        <v>1.67</v>
      </c>
    </row>
    <row r="1173" spans="1:2" x14ac:dyDescent="0.35">
      <c r="A1173" s="16" t="s">
        <v>2305</v>
      </c>
      <c r="B1173" s="23">
        <v>86.39</v>
      </c>
    </row>
    <row r="1174" spans="1:2" x14ac:dyDescent="0.35">
      <c r="A1174" s="16" t="s">
        <v>1668</v>
      </c>
      <c r="B1174" s="23">
        <v>56.23</v>
      </c>
    </row>
    <row r="1175" spans="1:2" x14ac:dyDescent="0.35">
      <c r="A1175" s="16" t="s">
        <v>3520</v>
      </c>
      <c r="B1175" s="23">
        <v>104.1</v>
      </c>
    </row>
    <row r="1176" spans="1:2" x14ac:dyDescent="0.35">
      <c r="A1176" s="16" t="s">
        <v>1816</v>
      </c>
      <c r="B1176" s="23">
        <v>80.349999999999994</v>
      </c>
    </row>
    <row r="1177" spans="1:2" x14ac:dyDescent="0.35">
      <c r="A1177" s="16" t="s">
        <v>1574</v>
      </c>
      <c r="B1177" s="23">
        <v>6.16</v>
      </c>
    </row>
    <row r="1178" spans="1:2" x14ac:dyDescent="0.35">
      <c r="A1178" s="16" t="s">
        <v>272</v>
      </c>
      <c r="B1178" s="23">
        <v>17.91</v>
      </c>
    </row>
    <row r="1179" spans="1:2" x14ac:dyDescent="0.35">
      <c r="A1179" s="16" t="s">
        <v>3165</v>
      </c>
      <c r="B1179" s="23">
        <v>6.76</v>
      </c>
    </row>
    <row r="1180" spans="1:2" x14ac:dyDescent="0.35">
      <c r="A1180" s="16" t="s">
        <v>1206</v>
      </c>
      <c r="B1180" s="23">
        <v>66.3</v>
      </c>
    </row>
    <row r="1181" spans="1:2" x14ac:dyDescent="0.35">
      <c r="A1181" s="16" t="s">
        <v>834</v>
      </c>
      <c r="B1181" s="23">
        <v>76.97</v>
      </c>
    </row>
    <row r="1182" spans="1:2" x14ac:dyDescent="0.35">
      <c r="A1182" s="16" t="s">
        <v>1566</v>
      </c>
      <c r="B1182" s="23">
        <v>67.28</v>
      </c>
    </row>
    <row r="1183" spans="1:2" x14ac:dyDescent="0.35">
      <c r="A1183" s="16" t="s">
        <v>3187</v>
      </c>
      <c r="B1183" s="23">
        <v>36.24</v>
      </c>
    </row>
    <row r="1184" spans="1:2" x14ac:dyDescent="0.35">
      <c r="A1184" s="16" t="s">
        <v>1041</v>
      </c>
      <c r="B1184" s="23">
        <v>7.6</v>
      </c>
    </row>
    <row r="1185" spans="1:2" x14ac:dyDescent="0.35">
      <c r="A1185" s="16" t="s">
        <v>715</v>
      </c>
      <c r="B1185" s="23">
        <v>156.02000000000001</v>
      </c>
    </row>
    <row r="1186" spans="1:2" x14ac:dyDescent="0.35">
      <c r="A1186" s="16" t="s">
        <v>3507</v>
      </c>
      <c r="B1186" s="23">
        <v>16.100000000000001</v>
      </c>
    </row>
    <row r="1187" spans="1:2" x14ac:dyDescent="0.35">
      <c r="A1187" s="16" t="s">
        <v>318</v>
      </c>
      <c r="B1187" s="23">
        <v>35.549999999999997</v>
      </c>
    </row>
    <row r="1188" spans="1:2" x14ac:dyDescent="0.35">
      <c r="A1188" s="16" t="s">
        <v>3015</v>
      </c>
      <c r="B1188" s="23">
        <v>-1.83</v>
      </c>
    </row>
    <row r="1189" spans="1:2" x14ac:dyDescent="0.35">
      <c r="A1189" s="16" t="s">
        <v>2046</v>
      </c>
      <c r="B1189" s="23">
        <v>-7.73</v>
      </c>
    </row>
    <row r="1190" spans="1:2" x14ac:dyDescent="0.35">
      <c r="A1190" s="16" t="s">
        <v>1364</v>
      </c>
      <c r="B1190" s="23">
        <v>113.38</v>
      </c>
    </row>
    <row r="1191" spans="1:2" x14ac:dyDescent="0.35">
      <c r="A1191" s="16" t="s">
        <v>1875</v>
      </c>
      <c r="B1191" s="23">
        <v>27.41</v>
      </c>
    </row>
    <row r="1192" spans="1:2" x14ac:dyDescent="0.35">
      <c r="A1192" s="16" t="s">
        <v>1931</v>
      </c>
      <c r="B1192" s="23">
        <v>5.23</v>
      </c>
    </row>
    <row r="1193" spans="1:2" x14ac:dyDescent="0.35">
      <c r="A1193" s="16" t="s">
        <v>2788</v>
      </c>
      <c r="B1193" s="23">
        <v>63.32</v>
      </c>
    </row>
    <row r="1194" spans="1:2" x14ac:dyDescent="0.35">
      <c r="A1194" s="16" t="s">
        <v>947</v>
      </c>
      <c r="B1194" s="23">
        <v>25.15</v>
      </c>
    </row>
    <row r="1195" spans="1:2" x14ac:dyDescent="0.35">
      <c r="A1195" s="16" t="s">
        <v>3385</v>
      </c>
      <c r="B1195" s="23">
        <v>12.01</v>
      </c>
    </row>
    <row r="1196" spans="1:2" x14ac:dyDescent="0.35">
      <c r="A1196" s="16" t="s">
        <v>2730</v>
      </c>
      <c r="B1196" s="23">
        <v>51.41</v>
      </c>
    </row>
    <row r="1197" spans="1:2" x14ac:dyDescent="0.35">
      <c r="A1197" s="16" t="s">
        <v>2570</v>
      </c>
      <c r="B1197" s="23">
        <v>11.55</v>
      </c>
    </row>
    <row r="1198" spans="1:2" x14ac:dyDescent="0.35">
      <c r="A1198" s="16" t="s">
        <v>2507</v>
      </c>
      <c r="B1198" s="23">
        <v>153.66</v>
      </c>
    </row>
    <row r="1199" spans="1:2" x14ac:dyDescent="0.35">
      <c r="A1199" s="16" t="s">
        <v>232</v>
      </c>
      <c r="B1199" s="23">
        <v>25.04</v>
      </c>
    </row>
    <row r="1200" spans="1:2" x14ac:dyDescent="0.35">
      <c r="A1200" s="16" t="s">
        <v>3404</v>
      </c>
      <c r="B1200" s="23">
        <v>137.68</v>
      </c>
    </row>
    <row r="1201" spans="1:2" x14ac:dyDescent="0.35">
      <c r="A1201" s="16" t="s">
        <v>1730</v>
      </c>
      <c r="B1201" s="23">
        <v>134.53</v>
      </c>
    </row>
    <row r="1202" spans="1:2" x14ac:dyDescent="0.35">
      <c r="A1202" s="16" t="s">
        <v>781</v>
      </c>
      <c r="B1202" s="23">
        <v>18.63</v>
      </c>
    </row>
    <row r="1203" spans="1:2" x14ac:dyDescent="0.35">
      <c r="A1203" s="16" t="s">
        <v>3350</v>
      </c>
      <c r="B1203" s="23">
        <v>357.4</v>
      </c>
    </row>
    <row r="1204" spans="1:2" x14ac:dyDescent="0.35">
      <c r="A1204" s="16" t="s">
        <v>3375</v>
      </c>
      <c r="B1204" s="23">
        <v>-3.57</v>
      </c>
    </row>
    <row r="1205" spans="1:2" x14ac:dyDescent="0.35">
      <c r="A1205" s="16" t="s">
        <v>292</v>
      </c>
      <c r="B1205" s="23">
        <v>26.71</v>
      </c>
    </row>
    <row r="1206" spans="1:2" x14ac:dyDescent="0.35">
      <c r="A1206" s="16" t="s">
        <v>1998</v>
      </c>
      <c r="B1206" s="23">
        <v>60.22</v>
      </c>
    </row>
    <row r="1207" spans="1:2" x14ac:dyDescent="0.35">
      <c r="A1207" s="16" t="s">
        <v>482</v>
      </c>
      <c r="B1207" s="23">
        <v>-3.9</v>
      </c>
    </row>
    <row r="1208" spans="1:2" x14ac:dyDescent="0.35">
      <c r="A1208" s="16" t="s">
        <v>268</v>
      </c>
      <c r="B1208" s="23">
        <v>10.97</v>
      </c>
    </row>
    <row r="1209" spans="1:2" x14ac:dyDescent="0.35">
      <c r="A1209" s="16" t="s">
        <v>2870</v>
      </c>
      <c r="B1209" s="23">
        <v>163.5</v>
      </c>
    </row>
    <row r="1210" spans="1:2" x14ac:dyDescent="0.35">
      <c r="A1210" s="16" t="s">
        <v>2402</v>
      </c>
      <c r="B1210" s="23">
        <v>140.11000000000001</v>
      </c>
    </row>
    <row r="1211" spans="1:2" x14ac:dyDescent="0.35">
      <c r="A1211" s="16" t="s">
        <v>1458</v>
      </c>
      <c r="B1211" s="23">
        <v>48.91</v>
      </c>
    </row>
    <row r="1212" spans="1:2" x14ac:dyDescent="0.35">
      <c r="A1212" s="16" t="s">
        <v>2249</v>
      </c>
      <c r="B1212" s="23">
        <v>-1.54</v>
      </c>
    </row>
    <row r="1213" spans="1:2" x14ac:dyDescent="0.35">
      <c r="A1213" s="16" t="s">
        <v>1112</v>
      </c>
      <c r="B1213" s="23">
        <v>4.82</v>
      </c>
    </row>
    <row r="1214" spans="1:2" x14ac:dyDescent="0.35">
      <c r="A1214" s="16" t="s">
        <v>2433</v>
      </c>
      <c r="B1214" s="23">
        <v>132.07</v>
      </c>
    </row>
    <row r="1215" spans="1:2" x14ac:dyDescent="0.35">
      <c r="A1215" s="16" t="s">
        <v>458</v>
      </c>
      <c r="B1215" s="23">
        <v>57.13</v>
      </c>
    </row>
    <row r="1216" spans="1:2" x14ac:dyDescent="0.35">
      <c r="A1216" s="16" t="s">
        <v>3105</v>
      </c>
      <c r="B1216" s="23">
        <v>63.38</v>
      </c>
    </row>
    <row r="1217" spans="1:2" x14ac:dyDescent="0.35">
      <c r="A1217" s="16" t="s">
        <v>3135</v>
      </c>
      <c r="B1217" s="23">
        <v>76.849999999999994</v>
      </c>
    </row>
    <row r="1218" spans="1:2" x14ac:dyDescent="0.35">
      <c r="A1218" s="16" t="s">
        <v>3403</v>
      </c>
      <c r="B1218" s="23">
        <v>422.9</v>
      </c>
    </row>
    <row r="1219" spans="1:2" x14ac:dyDescent="0.35">
      <c r="A1219" s="16" t="s">
        <v>1099</v>
      </c>
      <c r="B1219" s="23">
        <v>-6.45</v>
      </c>
    </row>
    <row r="1220" spans="1:2" x14ac:dyDescent="0.35">
      <c r="A1220" s="16" t="s">
        <v>299</v>
      </c>
      <c r="B1220" s="23">
        <v>265.39</v>
      </c>
    </row>
    <row r="1221" spans="1:2" x14ac:dyDescent="0.35">
      <c r="A1221" s="16" t="s">
        <v>192</v>
      </c>
      <c r="B1221" s="23">
        <v>468.09</v>
      </c>
    </row>
    <row r="1222" spans="1:2" x14ac:dyDescent="0.35">
      <c r="A1222" s="16" t="s">
        <v>2779</v>
      </c>
      <c r="B1222" s="23">
        <v>-5.07</v>
      </c>
    </row>
    <row r="1223" spans="1:2" x14ac:dyDescent="0.35">
      <c r="A1223" s="16" t="s">
        <v>161</v>
      </c>
      <c r="B1223" s="23">
        <v>98.68</v>
      </c>
    </row>
    <row r="1224" spans="1:2" x14ac:dyDescent="0.35">
      <c r="A1224" s="16" t="s">
        <v>2721</v>
      </c>
      <c r="B1224" s="23">
        <v>66.47</v>
      </c>
    </row>
    <row r="1225" spans="1:2" x14ac:dyDescent="0.35">
      <c r="A1225" s="16" t="s">
        <v>3488</v>
      </c>
      <c r="B1225" s="23">
        <v>49.64</v>
      </c>
    </row>
    <row r="1226" spans="1:2" x14ac:dyDescent="0.35">
      <c r="A1226" s="16" t="s">
        <v>2374</v>
      </c>
      <c r="B1226" s="23">
        <v>13.65</v>
      </c>
    </row>
    <row r="1227" spans="1:2" x14ac:dyDescent="0.35">
      <c r="A1227" s="16" t="s">
        <v>466</v>
      </c>
      <c r="B1227" s="23">
        <v>90.28</v>
      </c>
    </row>
    <row r="1228" spans="1:2" x14ac:dyDescent="0.35">
      <c r="A1228" s="16" t="s">
        <v>1937</v>
      </c>
      <c r="B1228" s="23">
        <v>37.28</v>
      </c>
    </row>
    <row r="1229" spans="1:2" x14ac:dyDescent="0.35">
      <c r="A1229" s="16" t="s">
        <v>1067</v>
      </c>
      <c r="B1229" s="23">
        <v>130.59</v>
      </c>
    </row>
    <row r="1230" spans="1:2" x14ac:dyDescent="0.35">
      <c r="A1230" s="16" t="s">
        <v>533</v>
      </c>
      <c r="B1230" s="23">
        <v>-5.43</v>
      </c>
    </row>
    <row r="1231" spans="1:2" x14ac:dyDescent="0.35">
      <c r="A1231" s="16" t="s">
        <v>2215</v>
      </c>
      <c r="B1231" s="23">
        <v>230.95</v>
      </c>
    </row>
    <row r="1232" spans="1:2" x14ac:dyDescent="0.35">
      <c r="A1232" s="16" t="s">
        <v>775</v>
      </c>
      <c r="B1232" s="23">
        <v>-4.97</v>
      </c>
    </row>
    <row r="1233" spans="1:2" x14ac:dyDescent="0.35">
      <c r="A1233" s="16" t="s">
        <v>3358</v>
      </c>
      <c r="B1233" s="23">
        <v>28.78</v>
      </c>
    </row>
    <row r="1234" spans="1:2" x14ac:dyDescent="0.35">
      <c r="A1234" s="16" t="s">
        <v>386</v>
      </c>
      <c r="B1234" s="23">
        <v>25.39</v>
      </c>
    </row>
    <row r="1235" spans="1:2" x14ac:dyDescent="0.35">
      <c r="A1235" s="16" t="s">
        <v>3398</v>
      </c>
      <c r="B1235" s="23">
        <v>-5.19</v>
      </c>
    </row>
    <row r="1236" spans="1:2" x14ac:dyDescent="0.35">
      <c r="A1236" s="16" t="s">
        <v>1323</v>
      </c>
      <c r="B1236" s="23">
        <v>11.16</v>
      </c>
    </row>
    <row r="1237" spans="1:2" x14ac:dyDescent="0.35">
      <c r="A1237" s="16" t="s">
        <v>887</v>
      </c>
      <c r="B1237" s="23">
        <v>203.98</v>
      </c>
    </row>
    <row r="1238" spans="1:2" x14ac:dyDescent="0.35">
      <c r="A1238" s="16" t="s">
        <v>2948</v>
      </c>
      <c r="B1238" s="23">
        <v>280.23</v>
      </c>
    </row>
    <row r="1239" spans="1:2" x14ac:dyDescent="0.35">
      <c r="A1239" s="16" t="s">
        <v>2552</v>
      </c>
      <c r="B1239" s="23">
        <v>135.25</v>
      </c>
    </row>
    <row r="1240" spans="1:2" x14ac:dyDescent="0.35">
      <c r="A1240" s="16" t="s">
        <v>164</v>
      </c>
      <c r="B1240" s="23">
        <v>588.72</v>
      </c>
    </row>
    <row r="1241" spans="1:2" x14ac:dyDescent="0.35">
      <c r="A1241" s="16" t="s">
        <v>2711</v>
      </c>
      <c r="B1241" s="23">
        <v>15.69</v>
      </c>
    </row>
    <row r="1242" spans="1:2" x14ac:dyDescent="0.35">
      <c r="A1242" s="16" t="s">
        <v>981</v>
      </c>
      <c r="B1242" s="23">
        <v>152.58000000000001</v>
      </c>
    </row>
    <row r="1243" spans="1:2" x14ac:dyDescent="0.35">
      <c r="A1243" s="16" t="s">
        <v>2060</v>
      </c>
      <c r="B1243" s="23">
        <v>-4.7</v>
      </c>
    </row>
    <row r="1244" spans="1:2" x14ac:dyDescent="0.35">
      <c r="A1244" s="16" t="s">
        <v>3149</v>
      </c>
      <c r="B1244" s="23">
        <v>94.11</v>
      </c>
    </row>
    <row r="1245" spans="1:2" x14ac:dyDescent="0.35">
      <c r="A1245" s="16" t="s">
        <v>2489</v>
      </c>
      <c r="B1245" s="23">
        <v>992.84</v>
      </c>
    </row>
    <row r="1246" spans="1:2" x14ac:dyDescent="0.35">
      <c r="A1246" s="16" t="s">
        <v>3001</v>
      </c>
      <c r="B1246" s="23">
        <v>45.27</v>
      </c>
    </row>
    <row r="1247" spans="1:2" x14ac:dyDescent="0.35">
      <c r="A1247" s="16" t="s">
        <v>23</v>
      </c>
      <c r="B1247" s="23">
        <v>83.62</v>
      </c>
    </row>
    <row r="1248" spans="1:2" x14ac:dyDescent="0.35">
      <c r="A1248" s="16" t="s">
        <v>1114</v>
      </c>
      <c r="B1248" s="23">
        <v>73.010000000000005</v>
      </c>
    </row>
    <row r="1249" spans="1:2" x14ac:dyDescent="0.35">
      <c r="A1249" s="16" t="s">
        <v>2070</v>
      </c>
      <c r="B1249" s="23">
        <v>39.69</v>
      </c>
    </row>
    <row r="1250" spans="1:2" x14ac:dyDescent="0.35">
      <c r="A1250" s="16" t="s">
        <v>787</v>
      </c>
      <c r="B1250" s="23">
        <v>62.71</v>
      </c>
    </row>
    <row r="1251" spans="1:2" x14ac:dyDescent="0.35">
      <c r="A1251" s="16" t="s">
        <v>1325</v>
      </c>
      <c r="B1251" s="23">
        <v>70.069999999999993</v>
      </c>
    </row>
    <row r="1252" spans="1:2" x14ac:dyDescent="0.35">
      <c r="A1252" s="16" t="s">
        <v>2683</v>
      </c>
      <c r="B1252" s="23">
        <v>78.83</v>
      </c>
    </row>
    <row r="1253" spans="1:2" x14ac:dyDescent="0.35">
      <c r="A1253" s="16" t="s">
        <v>1611</v>
      </c>
      <c r="B1253" s="23">
        <v>30.27</v>
      </c>
    </row>
    <row r="1254" spans="1:2" x14ac:dyDescent="0.35">
      <c r="A1254" s="16" t="s">
        <v>3536</v>
      </c>
      <c r="B1254" s="23">
        <v>31.84</v>
      </c>
    </row>
    <row r="1255" spans="1:2" x14ac:dyDescent="0.35">
      <c r="A1255" s="16" t="s">
        <v>2333</v>
      </c>
      <c r="B1255" s="23">
        <v>75.58</v>
      </c>
    </row>
    <row r="1256" spans="1:2" x14ac:dyDescent="0.35">
      <c r="A1256" s="16" t="s">
        <v>410</v>
      </c>
      <c r="B1256" s="23">
        <v>28.41</v>
      </c>
    </row>
    <row r="1257" spans="1:2" x14ac:dyDescent="0.35">
      <c r="A1257" s="16" t="s">
        <v>3583</v>
      </c>
      <c r="B1257" s="23">
        <v>55.63</v>
      </c>
    </row>
    <row r="1258" spans="1:2" x14ac:dyDescent="0.35">
      <c r="A1258" s="16" t="s">
        <v>3566</v>
      </c>
      <c r="B1258" s="23">
        <v>14.17</v>
      </c>
    </row>
    <row r="1259" spans="1:2" x14ac:dyDescent="0.35">
      <c r="A1259" s="16" t="s">
        <v>3440</v>
      </c>
      <c r="B1259" s="23">
        <v>140.37</v>
      </c>
    </row>
    <row r="1260" spans="1:2" x14ac:dyDescent="0.35">
      <c r="A1260" s="16" t="s">
        <v>2414</v>
      </c>
      <c r="B1260" s="23">
        <v>24.4</v>
      </c>
    </row>
    <row r="1261" spans="1:2" x14ac:dyDescent="0.35">
      <c r="A1261" s="16" t="s">
        <v>642</v>
      </c>
      <c r="B1261" s="23">
        <v>13.22</v>
      </c>
    </row>
    <row r="1262" spans="1:2" x14ac:dyDescent="0.35">
      <c r="A1262" s="16" t="s">
        <v>1674</v>
      </c>
      <c r="B1262" s="23">
        <v>116.73</v>
      </c>
    </row>
    <row r="1263" spans="1:2" x14ac:dyDescent="0.35">
      <c r="A1263" s="16" t="s">
        <v>324</v>
      </c>
      <c r="B1263" s="23">
        <v>-2</v>
      </c>
    </row>
    <row r="1264" spans="1:2" x14ac:dyDescent="0.35">
      <c r="A1264" s="16" t="s">
        <v>1123</v>
      </c>
      <c r="B1264" s="23">
        <v>242.29</v>
      </c>
    </row>
    <row r="1265" spans="1:2" x14ac:dyDescent="0.35">
      <c r="A1265" s="16" t="s">
        <v>1291</v>
      </c>
      <c r="B1265" s="23">
        <v>128.25</v>
      </c>
    </row>
    <row r="1266" spans="1:2" x14ac:dyDescent="0.35">
      <c r="A1266" s="16" t="s">
        <v>1496</v>
      </c>
      <c r="B1266" s="23">
        <v>199.01</v>
      </c>
    </row>
    <row r="1267" spans="1:2" x14ac:dyDescent="0.35">
      <c r="A1267" s="16" t="s">
        <v>3178</v>
      </c>
      <c r="B1267" s="23">
        <v>36.61</v>
      </c>
    </row>
    <row r="1268" spans="1:2" x14ac:dyDescent="0.35">
      <c r="A1268" s="16" t="s">
        <v>1900</v>
      </c>
      <c r="B1268" s="23">
        <v>137.65</v>
      </c>
    </row>
    <row r="1269" spans="1:2" x14ac:dyDescent="0.35">
      <c r="A1269" s="16" t="s">
        <v>3377</v>
      </c>
      <c r="B1269" s="23">
        <v>-3.24</v>
      </c>
    </row>
    <row r="1270" spans="1:2" x14ac:dyDescent="0.35">
      <c r="A1270" s="16" t="s">
        <v>2310</v>
      </c>
      <c r="B1270" s="23">
        <v>25.4</v>
      </c>
    </row>
    <row r="1271" spans="1:2" x14ac:dyDescent="0.35">
      <c r="A1271" s="16" t="s">
        <v>576</v>
      </c>
      <c r="B1271" s="23">
        <v>-4.12</v>
      </c>
    </row>
    <row r="1272" spans="1:2" x14ac:dyDescent="0.35">
      <c r="A1272" s="16" t="s">
        <v>2271</v>
      </c>
      <c r="B1272" s="23">
        <v>-10.48</v>
      </c>
    </row>
    <row r="1273" spans="1:2" x14ac:dyDescent="0.35">
      <c r="A1273" s="16" t="s">
        <v>216</v>
      </c>
      <c r="B1273" s="23">
        <v>378.75</v>
      </c>
    </row>
    <row r="1274" spans="1:2" x14ac:dyDescent="0.35">
      <c r="A1274" s="16" t="s">
        <v>51</v>
      </c>
      <c r="B1274" s="23">
        <v>9.36</v>
      </c>
    </row>
    <row r="1275" spans="1:2" x14ac:dyDescent="0.35">
      <c r="A1275" s="16" t="s">
        <v>1086</v>
      </c>
      <c r="B1275" s="23">
        <v>31.06</v>
      </c>
    </row>
    <row r="1276" spans="1:2" x14ac:dyDescent="0.35">
      <c r="A1276" s="16" t="s">
        <v>1438</v>
      </c>
      <c r="B1276" s="23">
        <v>54.39</v>
      </c>
    </row>
    <row r="1277" spans="1:2" x14ac:dyDescent="0.35">
      <c r="A1277" s="16" t="s">
        <v>3491</v>
      </c>
      <c r="B1277" s="23">
        <v>137.34</v>
      </c>
    </row>
    <row r="1278" spans="1:2" x14ac:dyDescent="0.35">
      <c r="A1278" s="16" t="s">
        <v>2663</v>
      </c>
      <c r="B1278" s="23">
        <v>58.41</v>
      </c>
    </row>
    <row r="1279" spans="1:2" x14ac:dyDescent="0.35">
      <c r="A1279" s="16" t="s">
        <v>2475</v>
      </c>
      <c r="B1279" s="23">
        <v>-4.18</v>
      </c>
    </row>
    <row r="1280" spans="1:2" x14ac:dyDescent="0.35">
      <c r="A1280" s="16" t="s">
        <v>1537</v>
      </c>
      <c r="B1280" s="23">
        <v>40.03</v>
      </c>
    </row>
    <row r="1281" spans="1:2" x14ac:dyDescent="0.35">
      <c r="A1281" s="16" t="s">
        <v>2812</v>
      </c>
      <c r="B1281" s="23">
        <v>69.27</v>
      </c>
    </row>
    <row r="1282" spans="1:2" x14ac:dyDescent="0.35">
      <c r="A1282" s="16" t="s">
        <v>308</v>
      </c>
      <c r="B1282" s="23">
        <v>73.08</v>
      </c>
    </row>
    <row r="1283" spans="1:2" x14ac:dyDescent="0.35">
      <c r="A1283" s="16" t="s">
        <v>1524</v>
      </c>
      <c r="B1283" s="23">
        <v>7.85</v>
      </c>
    </row>
    <row r="1284" spans="1:2" x14ac:dyDescent="0.35">
      <c r="A1284" s="16" t="s">
        <v>2700</v>
      </c>
      <c r="B1284" s="23">
        <v>90.6</v>
      </c>
    </row>
    <row r="1285" spans="1:2" x14ac:dyDescent="0.35">
      <c r="A1285" s="16" t="s">
        <v>2564</v>
      </c>
      <c r="B1285" s="23">
        <v>67.09</v>
      </c>
    </row>
    <row r="1286" spans="1:2" x14ac:dyDescent="0.35">
      <c r="A1286" s="16" t="s">
        <v>3372</v>
      </c>
      <c r="B1286" s="23">
        <v>35.520000000000003</v>
      </c>
    </row>
    <row r="1287" spans="1:2" x14ac:dyDescent="0.35">
      <c r="A1287" s="16" t="s">
        <v>1554</v>
      </c>
      <c r="B1287" s="23">
        <v>146.76</v>
      </c>
    </row>
    <row r="1288" spans="1:2" x14ac:dyDescent="0.35">
      <c r="A1288" s="16" t="s">
        <v>3365</v>
      </c>
      <c r="B1288" s="23">
        <v>9</v>
      </c>
    </row>
    <row r="1289" spans="1:2" x14ac:dyDescent="0.35">
      <c r="A1289" s="16" t="s">
        <v>3596</v>
      </c>
      <c r="B1289" s="23">
        <v>-1.76</v>
      </c>
    </row>
    <row r="1290" spans="1:2" x14ac:dyDescent="0.35">
      <c r="A1290" s="16" t="s">
        <v>1804</v>
      </c>
      <c r="B1290" s="23">
        <v>456.73</v>
      </c>
    </row>
    <row r="1291" spans="1:2" x14ac:dyDescent="0.35">
      <c r="A1291" s="16" t="s">
        <v>517</v>
      </c>
      <c r="B1291" s="23">
        <v>500.67</v>
      </c>
    </row>
    <row r="1292" spans="1:2" x14ac:dyDescent="0.35">
      <c r="A1292" s="16" t="s">
        <v>3171</v>
      </c>
      <c r="B1292" s="23">
        <v>37.340000000000003</v>
      </c>
    </row>
    <row r="1293" spans="1:2" x14ac:dyDescent="0.35">
      <c r="A1293" s="16" t="s">
        <v>1658</v>
      </c>
      <c r="B1293" s="23">
        <v>118.59</v>
      </c>
    </row>
    <row r="1294" spans="1:2" x14ac:dyDescent="0.35">
      <c r="A1294" s="16" t="s">
        <v>3076</v>
      </c>
      <c r="B1294" s="23">
        <v>-3.65</v>
      </c>
    </row>
    <row r="1295" spans="1:2" x14ac:dyDescent="0.35">
      <c r="A1295" s="16" t="s">
        <v>462</v>
      </c>
      <c r="B1295" s="23">
        <v>323.39999999999998</v>
      </c>
    </row>
    <row r="1296" spans="1:2" x14ac:dyDescent="0.35">
      <c r="A1296" s="16" t="s">
        <v>876</v>
      </c>
      <c r="B1296" s="23">
        <v>-7.14</v>
      </c>
    </row>
    <row r="1297" spans="1:2" x14ac:dyDescent="0.35">
      <c r="A1297" s="16" t="s">
        <v>295</v>
      </c>
      <c r="B1297" s="23">
        <v>0.26</v>
      </c>
    </row>
    <row r="1298" spans="1:2" x14ac:dyDescent="0.35">
      <c r="A1298" s="16" t="s">
        <v>1147</v>
      </c>
      <c r="B1298" s="23">
        <v>-5.31</v>
      </c>
    </row>
    <row r="1299" spans="1:2" x14ac:dyDescent="0.35">
      <c r="A1299" s="16" t="s">
        <v>2349</v>
      </c>
      <c r="B1299" s="23">
        <v>41.92</v>
      </c>
    </row>
    <row r="1300" spans="1:2" x14ac:dyDescent="0.35">
      <c r="A1300" s="16" t="s">
        <v>1717</v>
      </c>
      <c r="B1300" s="23">
        <v>16.899999999999999</v>
      </c>
    </row>
    <row r="1301" spans="1:2" x14ac:dyDescent="0.35">
      <c r="A1301" s="16" t="s">
        <v>523</v>
      </c>
      <c r="B1301" s="23">
        <v>78.83</v>
      </c>
    </row>
    <row r="1302" spans="1:2" x14ac:dyDescent="0.35">
      <c r="A1302" s="16" t="s">
        <v>1605</v>
      </c>
      <c r="B1302" s="23">
        <v>0.35</v>
      </c>
    </row>
    <row r="1303" spans="1:2" x14ac:dyDescent="0.35">
      <c r="A1303" s="16" t="s">
        <v>1149</v>
      </c>
      <c r="B1303" s="23">
        <v>143.03</v>
      </c>
    </row>
    <row r="1304" spans="1:2" x14ac:dyDescent="0.35">
      <c r="A1304" s="16" t="s">
        <v>2038</v>
      </c>
      <c r="B1304" s="23">
        <v>6.88</v>
      </c>
    </row>
    <row r="1305" spans="1:2" x14ac:dyDescent="0.35">
      <c r="A1305" s="16" t="s">
        <v>267</v>
      </c>
      <c r="B1305" s="23">
        <v>70.31</v>
      </c>
    </row>
    <row r="1306" spans="1:2" x14ac:dyDescent="0.35">
      <c r="A1306" s="16" t="s">
        <v>1866</v>
      </c>
      <c r="B1306" s="23">
        <v>367.64</v>
      </c>
    </row>
    <row r="1307" spans="1:2" x14ac:dyDescent="0.35">
      <c r="A1307" s="16" t="s">
        <v>228</v>
      </c>
      <c r="B1307" s="23">
        <v>282.29000000000002</v>
      </c>
    </row>
    <row r="1308" spans="1:2" x14ac:dyDescent="0.35">
      <c r="A1308" s="16" t="s">
        <v>3091</v>
      </c>
      <c r="B1308" s="23">
        <v>78.89</v>
      </c>
    </row>
    <row r="1309" spans="1:2" x14ac:dyDescent="0.35">
      <c r="A1309" s="16" t="s">
        <v>262</v>
      </c>
      <c r="B1309" s="23">
        <v>32.770000000000003</v>
      </c>
    </row>
    <row r="1310" spans="1:2" x14ac:dyDescent="0.35">
      <c r="A1310" s="16" t="s">
        <v>650</v>
      </c>
      <c r="B1310" s="23">
        <v>30.83</v>
      </c>
    </row>
    <row r="1311" spans="1:2" x14ac:dyDescent="0.35">
      <c r="A1311" s="16" t="s">
        <v>2684</v>
      </c>
      <c r="B1311" s="23">
        <v>17.899999999999999</v>
      </c>
    </row>
    <row r="1312" spans="1:2" x14ac:dyDescent="0.35">
      <c r="A1312" s="16" t="s">
        <v>2509</v>
      </c>
      <c r="B1312" s="23">
        <v>653.71</v>
      </c>
    </row>
    <row r="1313" spans="1:2" x14ac:dyDescent="0.35">
      <c r="A1313" s="16" t="s">
        <v>2717</v>
      </c>
      <c r="B1313" s="23">
        <v>24.2</v>
      </c>
    </row>
    <row r="1314" spans="1:2" x14ac:dyDescent="0.35">
      <c r="A1314" s="16" t="s">
        <v>1902</v>
      </c>
      <c r="B1314" s="23">
        <v>15.32</v>
      </c>
    </row>
    <row r="1315" spans="1:2" x14ac:dyDescent="0.35">
      <c r="A1315" s="16" t="s">
        <v>2790</v>
      </c>
      <c r="B1315" s="23">
        <v>51.77</v>
      </c>
    </row>
    <row r="1316" spans="1:2" x14ac:dyDescent="0.35">
      <c r="A1316" s="16" t="s">
        <v>2999</v>
      </c>
      <c r="B1316" s="23">
        <v>7.79</v>
      </c>
    </row>
    <row r="1317" spans="1:2" x14ac:dyDescent="0.35">
      <c r="A1317" s="16" t="s">
        <v>2108</v>
      </c>
      <c r="B1317" s="23">
        <v>83.12</v>
      </c>
    </row>
    <row r="1318" spans="1:2" x14ac:dyDescent="0.35">
      <c r="A1318" s="16" t="s">
        <v>1683</v>
      </c>
      <c r="B1318" s="23">
        <v>24.68</v>
      </c>
    </row>
    <row r="1319" spans="1:2" x14ac:dyDescent="0.35">
      <c r="A1319" s="16" t="s">
        <v>1261</v>
      </c>
      <c r="B1319" s="23">
        <v>63.34</v>
      </c>
    </row>
    <row r="1320" spans="1:2" x14ac:dyDescent="0.35">
      <c r="A1320" s="16" t="s">
        <v>2852</v>
      </c>
      <c r="B1320" s="23">
        <v>255.08</v>
      </c>
    </row>
    <row r="1321" spans="1:2" x14ac:dyDescent="0.35">
      <c r="A1321" s="16" t="s">
        <v>374</v>
      </c>
      <c r="B1321" s="23">
        <v>153.26</v>
      </c>
    </row>
    <row r="1322" spans="1:2" x14ac:dyDescent="0.35">
      <c r="A1322" s="16" t="s">
        <v>2317</v>
      </c>
      <c r="B1322" s="23">
        <v>22.56</v>
      </c>
    </row>
    <row r="1323" spans="1:2" x14ac:dyDescent="0.35">
      <c r="A1323" s="16" t="s">
        <v>3025</v>
      </c>
      <c r="B1323" s="23">
        <v>19.98</v>
      </c>
    </row>
    <row r="1324" spans="1:2" x14ac:dyDescent="0.35">
      <c r="A1324" s="16" t="s">
        <v>1043</v>
      </c>
      <c r="B1324" s="23">
        <v>3.75</v>
      </c>
    </row>
    <row r="1325" spans="1:2" x14ac:dyDescent="0.35">
      <c r="A1325" s="16" t="s">
        <v>608</v>
      </c>
      <c r="B1325" s="23">
        <v>162.27000000000001</v>
      </c>
    </row>
    <row r="1326" spans="1:2" x14ac:dyDescent="0.35">
      <c r="A1326" s="16" t="s">
        <v>973</v>
      </c>
      <c r="B1326" s="23">
        <v>9.92</v>
      </c>
    </row>
    <row r="1327" spans="1:2" x14ac:dyDescent="0.35">
      <c r="A1327" s="16" t="s">
        <v>1817</v>
      </c>
      <c r="B1327" s="23">
        <v>727.25</v>
      </c>
    </row>
    <row r="1328" spans="1:2" x14ac:dyDescent="0.35">
      <c r="A1328" s="16" t="s">
        <v>1879</v>
      </c>
      <c r="B1328" s="23">
        <v>198.67</v>
      </c>
    </row>
    <row r="1329" spans="1:2" x14ac:dyDescent="0.35">
      <c r="A1329" s="16" t="s">
        <v>1589</v>
      </c>
      <c r="B1329" s="23">
        <v>-0.59</v>
      </c>
    </row>
    <row r="1330" spans="1:2" x14ac:dyDescent="0.35">
      <c r="A1330" s="16" t="s">
        <v>2392</v>
      </c>
      <c r="B1330" s="23">
        <v>3.93</v>
      </c>
    </row>
    <row r="1331" spans="1:2" x14ac:dyDescent="0.35">
      <c r="A1331" s="16" t="s">
        <v>915</v>
      </c>
      <c r="B1331" s="23">
        <v>133.44</v>
      </c>
    </row>
    <row r="1332" spans="1:2" x14ac:dyDescent="0.35">
      <c r="A1332" s="16" t="s">
        <v>541</v>
      </c>
      <c r="B1332" s="23">
        <v>25.57</v>
      </c>
    </row>
    <row r="1333" spans="1:2" x14ac:dyDescent="0.35">
      <c r="A1333" s="16" t="s">
        <v>83</v>
      </c>
      <c r="B1333" s="23">
        <v>17.760000000000002</v>
      </c>
    </row>
    <row r="1334" spans="1:2" x14ac:dyDescent="0.35">
      <c r="A1334" s="16" t="s">
        <v>2527</v>
      </c>
      <c r="B1334" s="23">
        <v>17.34</v>
      </c>
    </row>
    <row r="1335" spans="1:2" x14ac:dyDescent="0.35">
      <c r="A1335" s="16" t="s">
        <v>856</v>
      </c>
      <c r="B1335" s="23">
        <v>17.7</v>
      </c>
    </row>
    <row r="1336" spans="1:2" x14ac:dyDescent="0.35">
      <c r="A1336" s="16" t="s">
        <v>430</v>
      </c>
      <c r="B1336" s="23">
        <v>57.46</v>
      </c>
    </row>
    <row r="1337" spans="1:2" x14ac:dyDescent="0.35">
      <c r="A1337" s="16" t="s">
        <v>3419</v>
      </c>
      <c r="B1337" s="23">
        <v>32.94</v>
      </c>
    </row>
    <row r="1338" spans="1:2" x14ac:dyDescent="0.35">
      <c r="A1338" s="16" t="s">
        <v>2408</v>
      </c>
      <c r="B1338" s="23">
        <v>-0.56999999999999995</v>
      </c>
    </row>
    <row r="1339" spans="1:2" x14ac:dyDescent="0.35">
      <c r="A1339" s="16" t="s">
        <v>654</v>
      </c>
      <c r="B1339" s="23">
        <v>76.89</v>
      </c>
    </row>
    <row r="1340" spans="1:2" x14ac:dyDescent="0.35">
      <c r="A1340" s="16" t="s">
        <v>1314</v>
      </c>
      <c r="B1340" s="23">
        <v>1.61</v>
      </c>
    </row>
    <row r="1341" spans="1:2" x14ac:dyDescent="0.35">
      <c r="A1341" s="16" t="s">
        <v>2438</v>
      </c>
      <c r="B1341" s="23">
        <v>17.46</v>
      </c>
    </row>
    <row r="1342" spans="1:2" x14ac:dyDescent="0.35">
      <c r="A1342" s="16" t="s">
        <v>794</v>
      </c>
      <c r="B1342" s="23">
        <v>182.73</v>
      </c>
    </row>
    <row r="1343" spans="1:2" x14ac:dyDescent="0.35">
      <c r="A1343" s="16" t="s">
        <v>1877</v>
      </c>
      <c r="B1343" s="23">
        <v>74.5</v>
      </c>
    </row>
    <row r="1344" spans="1:2" x14ac:dyDescent="0.35">
      <c r="A1344" s="16" t="s">
        <v>2273</v>
      </c>
      <c r="B1344" s="23">
        <v>-1.61</v>
      </c>
    </row>
    <row r="1345" spans="1:2" x14ac:dyDescent="0.35">
      <c r="A1345" s="16" t="s">
        <v>3575</v>
      </c>
      <c r="B1345" s="23">
        <v>261.25</v>
      </c>
    </row>
    <row r="1346" spans="1:2" x14ac:dyDescent="0.35">
      <c r="A1346" s="16" t="s">
        <v>1961</v>
      </c>
      <c r="B1346" s="23">
        <v>-5.67</v>
      </c>
    </row>
    <row r="1347" spans="1:2" x14ac:dyDescent="0.35">
      <c r="A1347" s="16" t="s">
        <v>1633</v>
      </c>
      <c r="B1347" s="23">
        <v>-0.48</v>
      </c>
    </row>
    <row r="1348" spans="1:2" x14ac:dyDescent="0.35">
      <c r="A1348" s="16" t="s">
        <v>1331</v>
      </c>
      <c r="B1348" s="23">
        <v>98.92</v>
      </c>
    </row>
    <row r="1349" spans="1:2" x14ac:dyDescent="0.35">
      <c r="A1349" s="16" t="s">
        <v>1251</v>
      </c>
      <c r="B1349" s="23">
        <v>46.12</v>
      </c>
    </row>
    <row r="1350" spans="1:2" x14ac:dyDescent="0.35">
      <c r="A1350" s="16" t="s">
        <v>2079</v>
      </c>
      <c r="B1350" s="23">
        <v>25.48</v>
      </c>
    </row>
    <row r="1351" spans="1:2" x14ac:dyDescent="0.35">
      <c r="A1351" s="16" t="s">
        <v>3465</v>
      </c>
      <c r="B1351" s="23">
        <v>-4.4800000000000004</v>
      </c>
    </row>
    <row r="1352" spans="1:2" x14ac:dyDescent="0.35">
      <c r="A1352" s="16" t="s">
        <v>751</v>
      </c>
      <c r="B1352" s="23">
        <v>719.68</v>
      </c>
    </row>
    <row r="1353" spans="1:2" x14ac:dyDescent="0.35">
      <c r="A1353" s="16" t="s">
        <v>2626</v>
      </c>
      <c r="B1353" s="23">
        <v>84.74</v>
      </c>
    </row>
    <row r="1354" spans="1:2" x14ac:dyDescent="0.35">
      <c r="A1354" s="16" t="s">
        <v>2586</v>
      </c>
      <c r="B1354" s="23">
        <v>84.2</v>
      </c>
    </row>
    <row r="1355" spans="1:2" x14ac:dyDescent="0.35">
      <c r="A1355" s="16" t="s">
        <v>1921</v>
      </c>
      <c r="B1355" s="23">
        <v>-4.6500000000000004</v>
      </c>
    </row>
    <row r="1356" spans="1:2" x14ac:dyDescent="0.35">
      <c r="A1356" s="16" t="s">
        <v>3614</v>
      </c>
      <c r="B1356" s="23">
        <v>-4.29</v>
      </c>
    </row>
    <row r="1357" spans="1:2" x14ac:dyDescent="0.35">
      <c r="A1357" s="16" t="s">
        <v>3211</v>
      </c>
      <c r="B1357" s="23">
        <v>138.06</v>
      </c>
    </row>
    <row r="1358" spans="1:2" x14ac:dyDescent="0.35">
      <c r="A1358" s="16" t="s">
        <v>235</v>
      </c>
      <c r="B1358" s="23">
        <v>60.48</v>
      </c>
    </row>
    <row r="1359" spans="1:2" x14ac:dyDescent="0.35">
      <c r="A1359" s="16" t="s">
        <v>77</v>
      </c>
      <c r="B1359" s="23">
        <v>18.32</v>
      </c>
    </row>
    <row r="1360" spans="1:2" x14ac:dyDescent="0.35">
      <c r="A1360" s="16" t="s">
        <v>1077</v>
      </c>
      <c r="B1360" s="23">
        <v>416.67</v>
      </c>
    </row>
    <row r="1361" spans="1:2" x14ac:dyDescent="0.35">
      <c r="A1361" s="16" t="s">
        <v>1079</v>
      </c>
      <c r="B1361" s="23">
        <v>73.349999999999994</v>
      </c>
    </row>
    <row r="1362" spans="1:2" x14ac:dyDescent="0.35">
      <c r="A1362" s="16" t="s">
        <v>2560</v>
      </c>
      <c r="B1362" s="23">
        <v>52.48</v>
      </c>
    </row>
    <row r="1363" spans="1:2" x14ac:dyDescent="0.35">
      <c r="A1363" s="16" t="s">
        <v>3378</v>
      </c>
      <c r="B1363" s="23">
        <v>67.11</v>
      </c>
    </row>
    <row r="1364" spans="1:2" x14ac:dyDescent="0.35">
      <c r="A1364" s="16" t="s">
        <v>1548</v>
      </c>
      <c r="B1364" s="23">
        <v>42.03</v>
      </c>
    </row>
    <row r="1365" spans="1:2" x14ac:dyDescent="0.35">
      <c r="A1365" s="16" t="s">
        <v>1403</v>
      </c>
      <c r="B1365" s="23">
        <v>4.53</v>
      </c>
    </row>
    <row r="1366" spans="1:2" x14ac:dyDescent="0.35">
      <c r="A1366" s="16" t="s">
        <v>486</v>
      </c>
      <c r="B1366" s="23">
        <v>7.01</v>
      </c>
    </row>
    <row r="1367" spans="1:2" x14ac:dyDescent="0.35">
      <c r="A1367" s="16" t="s">
        <v>2548</v>
      </c>
      <c r="B1367" s="23">
        <v>19.79</v>
      </c>
    </row>
    <row r="1368" spans="1:2" x14ac:dyDescent="0.35">
      <c r="A1368" s="16" t="s">
        <v>1851</v>
      </c>
      <c r="B1368" s="23">
        <v>75.44</v>
      </c>
    </row>
    <row r="1369" spans="1:2" x14ac:dyDescent="0.35">
      <c r="A1369" s="16" t="s">
        <v>3197</v>
      </c>
      <c r="B1369" s="23">
        <v>112.64</v>
      </c>
    </row>
    <row r="1370" spans="1:2" x14ac:dyDescent="0.35">
      <c r="A1370" s="16" t="s">
        <v>3494</v>
      </c>
      <c r="B1370" s="23">
        <v>9.75</v>
      </c>
    </row>
    <row r="1371" spans="1:2" x14ac:dyDescent="0.35">
      <c r="A1371" s="16" t="s">
        <v>2753</v>
      </c>
      <c r="B1371" s="23">
        <v>51.89</v>
      </c>
    </row>
    <row r="1372" spans="1:2" x14ac:dyDescent="0.35">
      <c r="A1372" s="16" t="s">
        <v>2395</v>
      </c>
      <c r="B1372" s="23">
        <v>-0.32</v>
      </c>
    </row>
    <row r="1373" spans="1:2" x14ac:dyDescent="0.35">
      <c r="A1373" s="16" t="s">
        <v>2098</v>
      </c>
      <c r="B1373" s="23">
        <v>1.1000000000000001</v>
      </c>
    </row>
    <row r="1374" spans="1:2" x14ac:dyDescent="0.35">
      <c r="A1374" s="16" t="s">
        <v>2372</v>
      </c>
      <c r="B1374" s="23">
        <v>93.57</v>
      </c>
    </row>
    <row r="1375" spans="1:2" x14ac:dyDescent="0.35">
      <c r="A1375" s="16" t="s">
        <v>1405</v>
      </c>
      <c r="B1375" s="23">
        <v>87.09</v>
      </c>
    </row>
    <row r="1376" spans="1:2" x14ac:dyDescent="0.35">
      <c r="A1376" s="16" t="s">
        <v>1695</v>
      </c>
      <c r="B1376" s="23">
        <v>81.96</v>
      </c>
    </row>
    <row r="1377" spans="1:2" x14ac:dyDescent="0.35">
      <c r="A1377" s="16" t="s">
        <v>3548</v>
      </c>
      <c r="B1377" s="23">
        <v>118.74</v>
      </c>
    </row>
    <row r="1378" spans="1:2" x14ac:dyDescent="0.35">
      <c r="A1378" s="16" t="s">
        <v>644</v>
      </c>
      <c r="B1378" s="23">
        <v>-2.56</v>
      </c>
    </row>
    <row r="1379" spans="1:2" x14ac:dyDescent="0.35">
      <c r="A1379" s="16" t="s">
        <v>616</v>
      </c>
      <c r="B1379" s="23">
        <v>23.43</v>
      </c>
    </row>
    <row r="1380" spans="1:2" x14ac:dyDescent="0.35">
      <c r="A1380" s="16" t="s">
        <v>3009</v>
      </c>
      <c r="B1380" s="23">
        <v>9.4700000000000006</v>
      </c>
    </row>
    <row r="1381" spans="1:2" x14ac:dyDescent="0.35">
      <c r="A1381" s="16" t="s">
        <v>280</v>
      </c>
      <c r="B1381" s="23">
        <v>2.52</v>
      </c>
    </row>
    <row r="1382" spans="1:2" x14ac:dyDescent="0.35">
      <c r="A1382" s="16" t="s">
        <v>917</v>
      </c>
      <c r="B1382" s="23">
        <v>9.43</v>
      </c>
    </row>
    <row r="1383" spans="1:2" x14ac:dyDescent="0.35">
      <c r="A1383" s="16" t="s">
        <v>717</v>
      </c>
      <c r="B1383" s="23">
        <v>97.88</v>
      </c>
    </row>
    <row r="1384" spans="1:2" x14ac:dyDescent="0.35">
      <c r="A1384" s="16" t="s">
        <v>2543</v>
      </c>
      <c r="B1384" s="23">
        <v>64.489999999999995</v>
      </c>
    </row>
    <row r="1385" spans="1:2" x14ac:dyDescent="0.35">
      <c r="A1385" s="16" t="s">
        <v>3017</v>
      </c>
      <c r="B1385" s="23">
        <v>280.17</v>
      </c>
    </row>
    <row r="1386" spans="1:2" x14ac:dyDescent="0.35">
      <c r="A1386" s="16" t="s">
        <v>2032</v>
      </c>
      <c r="B1386" s="23">
        <v>12.4</v>
      </c>
    </row>
    <row r="1387" spans="1:2" x14ac:dyDescent="0.35">
      <c r="A1387" s="16" t="s">
        <v>2468</v>
      </c>
      <c r="B1387" s="23">
        <v>227.04</v>
      </c>
    </row>
    <row r="1388" spans="1:2" x14ac:dyDescent="0.35">
      <c r="A1388" s="16" t="s">
        <v>499</v>
      </c>
      <c r="B1388" s="23">
        <v>0.33</v>
      </c>
    </row>
    <row r="1389" spans="1:2" x14ac:dyDescent="0.35">
      <c r="A1389" s="16" t="s">
        <v>2903</v>
      </c>
      <c r="B1389" s="23">
        <v>21.13</v>
      </c>
    </row>
    <row r="1390" spans="1:2" x14ac:dyDescent="0.35">
      <c r="A1390" s="16" t="s">
        <v>681</v>
      </c>
      <c r="B1390" s="23">
        <v>26.45</v>
      </c>
    </row>
    <row r="1391" spans="1:2" x14ac:dyDescent="0.35">
      <c r="A1391" s="16" t="s">
        <v>3087</v>
      </c>
      <c r="B1391" s="23">
        <v>23.54</v>
      </c>
    </row>
    <row r="1392" spans="1:2" x14ac:dyDescent="0.35">
      <c r="A1392" s="16" t="s">
        <v>2879</v>
      </c>
      <c r="B1392" s="23">
        <v>47.39</v>
      </c>
    </row>
    <row r="1393" spans="1:2" x14ac:dyDescent="0.35">
      <c r="A1393" s="16" t="s">
        <v>977</v>
      </c>
      <c r="B1393" s="23">
        <v>26.83</v>
      </c>
    </row>
    <row r="1394" spans="1:2" x14ac:dyDescent="0.35">
      <c r="A1394" s="16" t="s">
        <v>759</v>
      </c>
      <c r="B1394" s="23">
        <v>-3.1</v>
      </c>
    </row>
    <row r="1395" spans="1:2" x14ac:dyDescent="0.35">
      <c r="A1395" s="16" t="s">
        <v>2987</v>
      </c>
      <c r="B1395" s="23">
        <v>12.47</v>
      </c>
    </row>
    <row r="1396" spans="1:2" x14ac:dyDescent="0.35">
      <c r="A1396" s="16" t="s">
        <v>1287</v>
      </c>
      <c r="B1396" s="23">
        <v>-3.05</v>
      </c>
    </row>
    <row r="1397" spans="1:2" x14ac:dyDescent="0.35">
      <c r="A1397" s="16" t="s">
        <v>543</v>
      </c>
      <c r="B1397" s="23">
        <v>20.22</v>
      </c>
    </row>
    <row r="1398" spans="1:2" x14ac:dyDescent="0.35">
      <c r="A1398" s="16" t="s">
        <v>735</v>
      </c>
      <c r="B1398" s="23">
        <v>44.26</v>
      </c>
    </row>
    <row r="1399" spans="1:2" x14ac:dyDescent="0.35">
      <c r="A1399" s="16" t="s">
        <v>1053</v>
      </c>
      <c r="B1399" s="23">
        <v>-8.7100000000000009</v>
      </c>
    </row>
    <row r="1400" spans="1:2" x14ac:dyDescent="0.35">
      <c r="A1400" s="16" t="s">
        <v>2904</v>
      </c>
      <c r="B1400" s="23">
        <v>49.18</v>
      </c>
    </row>
    <row r="1401" spans="1:2" x14ac:dyDescent="0.35">
      <c r="A1401" s="16" t="s">
        <v>1971</v>
      </c>
      <c r="B1401" s="23">
        <v>3</v>
      </c>
    </row>
    <row r="1402" spans="1:2" x14ac:dyDescent="0.35">
      <c r="A1402" s="16" t="s">
        <v>2201</v>
      </c>
      <c r="B1402" s="23">
        <v>50.27</v>
      </c>
    </row>
    <row r="1403" spans="1:2" x14ac:dyDescent="0.35">
      <c r="A1403" s="16" t="s">
        <v>3140</v>
      </c>
      <c r="B1403" s="23">
        <v>74.13</v>
      </c>
    </row>
    <row r="1404" spans="1:2" x14ac:dyDescent="0.35">
      <c r="A1404" s="16" t="s">
        <v>570</v>
      </c>
      <c r="B1404" s="23">
        <v>43.68</v>
      </c>
    </row>
    <row r="1405" spans="1:2" x14ac:dyDescent="0.35">
      <c r="A1405" s="16" t="s">
        <v>1969</v>
      </c>
      <c r="B1405" s="23">
        <v>12.83</v>
      </c>
    </row>
    <row r="1406" spans="1:2" x14ac:dyDescent="0.35">
      <c r="A1406" s="16" t="s">
        <v>2572</v>
      </c>
      <c r="B1406" s="23">
        <v>222.06</v>
      </c>
    </row>
    <row r="1407" spans="1:2" x14ac:dyDescent="0.35">
      <c r="A1407" s="16" t="s">
        <v>3557</v>
      </c>
      <c r="B1407" s="23">
        <v>5.13</v>
      </c>
    </row>
    <row r="1408" spans="1:2" x14ac:dyDescent="0.35">
      <c r="A1408" s="16" t="s">
        <v>2854</v>
      </c>
      <c r="B1408" s="23">
        <v>25.84</v>
      </c>
    </row>
    <row r="1409" spans="1:2" x14ac:dyDescent="0.35">
      <c r="A1409" s="16" t="s">
        <v>1142</v>
      </c>
      <c r="B1409" s="23">
        <v>139.1</v>
      </c>
    </row>
    <row r="1410" spans="1:2" x14ac:dyDescent="0.35">
      <c r="A1410" s="16" t="s">
        <v>3481</v>
      </c>
      <c r="B1410" s="23">
        <v>0.61</v>
      </c>
    </row>
    <row r="1411" spans="1:2" x14ac:dyDescent="0.35">
      <c r="A1411" s="16" t="s">
        <v>2627</v>
      </c>
      <c r="B1411" s="23">
        <v>138.44999999999999</v>
      </c>
    </row>
    <row r="1412" spans="1:2" x14ac:dyDescent="0.35">
      <c r="A1412" s="16" t="s">
        <v>3598</v>
      </c>
      <c r="B1412" s="23">
        <v>14.04</v>
      </c>
    </row>
    <row r="1413" spans="1:2" x14ac:dyDescent="0.35">
      <c r="A1413" s="16" t="s">
        <v>2771</v>
      </c>
      <c r="B1413" s="23">
        <v>79.95</v>
      </c>
    </row>
    <row r="1414" spans="1:2" x14ac:dyDescent="0.35">
      <c r="A1414" s="16" t="s">
        <v>1917</v>
      </c>
      <c r="B1414" s="23">
        <v>13.78</v>
      </c>
    </row>
    <row r="1415" spans="1:2" x14ac:dyDescent="0.35">
      <c r="A1415" s="16" t="s">
        <v>2640</v>
      </c>
      <c r="B1415" s="23">
        <v>65.430000000000007</v>
      </c>
    </row>
    <row r="1416" spans="1:2" x14ac:dyDescent="0.35">
      <c r="A1416" s="16" t="s">
        <v>3448</v>
      </c>
      <c r="B1416" s="23">
        <v>21.86</v>
      </c>
    </row>
    <row r="1417" spans="1:2" x14ac:dyDescent="0.35">
      <c r="A1417" s="16" t="s">
        <v>1735</v>
      </c>
      <c r="B1417" s="23">
        <v>38.659999999999997</v>
      </c>
    </row>
    <row r="1418" spans="1:2" x14ac:dyDescent="0.35">
      <c r="A1418" s="16" t="s">
        <v>1898</v>
      </c>
      <c r="B1418" s="23">
        <v>14.59</v>
      </c>
    </row>
    <row r="1419" spans="1:2" x14ac:dyDescent="0.35">
      <c r="A1419" s="16" t="s">
        <v>2831</v>
      </c>
      <c r="B1419" s="23">
        <v>93.19</v>
      </c>
    </row>
    <row r="1420" spans="1:2" x14ac:dyDescent="0.35">
      <c r="A1420" s="16" t="s">
        <v>1105</v>
      </c>
      <c r="B1420" s="23">
        <v>39.53</v>
      </c>
    </row>
    <row r="1421" spans="1:2" x14ac:dyDescent="0.35">
      <c r="A1421" s="16" t="s">
        <v>1368</v>
      </c>
      <c r="B1421" s="23">
        <v>29.31</v>
      </c>
    </row>
    <row r="1422" spans="1:2" x14ac:dyDescent="0.35">
      <c r="A1422" s="16" t="s">
        <v>253</v>
      </c>
      <c r="B1422" s="23">
        <v>113.2</v>
      </c>
    </row>
    <row r="1423" spans="1:2" x14ac:dyDescent="0.35">
      <c r="A1423" s="16" t="s">
        <v>3196</v>
      </c>
      <c r="B1423" s="23">
        <v>240.47</v>
      </c>
    </row>
    <row r="1424" spans="1:2" x14ac:dyDescent="0.35">
      <c r="A1424" s="16" t="s">
        <v>2566</v>
      </c>
      <c r="B1424" s="23">
        <v>433.73</v>
      </c>
    </row>
    <row r="1425" spans="1:2" x14ac:dyDescent="0.35">
      <c r="A1425" s="16" t="s">
        <v>926</v>
      </c>
      <c r="B1425" s="23">
        <v>186.83</v>
      </c>
    </row>
    <row r="1426" spans="1:2" x14ac:dyDescent="0.35">
      <c r="A1426" s="16" t="s">
        <v>1242</v>
      </c>
      <c r="B1426" s="23">
        <v>2.12</v>
      </c>
    </row>
    <row r="1427" spans="1:2" x14ac:dyDescent="0.35">
      <c r="A1427" s="16" t="s">
        <v>1422</v>
      </c>
      <c r="B1427" s="23">
        <v>0.78</v>
      </c>
    </row>
    <row r="1428" spans="1:2" x14ac:dyDescent="0.35">
      <c r="A1428" s="16" t="s">
        <v>3050</v>
      </c>
      <c r="B1428" s="23">
        <v>17.22</v>
      </c>
    </row>
    <row r="1429" spans="1:2" x14ac:dyDescent="0.35">
      <c r="A1429" s="16" t="s">
        <v>2505</v>
      </c>
      <c r="B1429" s="23">
        <v>25.19</v>
      </c>
    </row>
    <row r="1430" spans="1:2" x14ac:dyDescent="0.35">
      <c r="A1430" s="16" t="s">
        <v>2671</v>
      </c>
      <c r="B1430" s="23">
        <v>25.45</v>
      </c>
    </row>
    <row r="1431" spans="1:2" x14ac:dyDescent="0.35">
      <c r="A1431" s="16" t="s">
        <v>1596</v>
      </c>
      <c r="B1431" s="23">
        <v>1.0900000000000001</v>
      </c>
    </row>
    <row r="1432" spans="1:2" x14ac:dyDescent="0.35">
      <c r="A1432" s="16" t="s">
        <v>2746</v>
      </c>
      <c r="B1432" s="23">
        <v>16.02</v>
      </c>
    </row>
    <row r="1433" spans="1:2" x14ac:dyDescent="0.35">
      <c r="A1433" s="16" t="s">
        <v>186</v>
      </c>
      <c r="B1433" s="23">
        <v>-9.69</v>
      </c>
    </row>
    <row r="1434" spans="1:2" x14ac:dyDescent="0.35">
      <c r="A1434" s="16" t="s">
        <v>1411</v>
      </c>
      <c r="B1434" s="23">
        <v>-4.95</v>
      </c>
    </row>
    <row r="1435" spans="1:2" x14ac:dyDescent="0.35">
      <c r="A1435" s="16" t="s">
        <v>1764</v>
      </c>
      <c r="B1435" s="23">
        <v>28</v>
      </c>
    </row>
    <row r="1436" spans="1:2" x14ac:dyDescent="0.35">
      <c r="A1436" s="16" t="s">
        <v>2150</v>
      </c>
      <c r="B1436" s="23">
        <v>-1.86</v>
      </c>
    </row>
    <row r="1437" spans="1:2" x14ac:dyDescent="0.35">
      <c r="A1437" s="16" t="s">
        <v>1654</v>
      </c>
      <c r="B1437" s="23">
        <v>-0.54</v>
      </c>
    </row>
    <row r="1438" spans="1:2" x14ac:dyDescent="0.35">
      <c r="A1438" s="16" t="s">
        <v>544</v>
      </c>
      <c r="B1438" s="23">
        <v>227.12</v>
      </c>
    </row>
    <row r="1439" spans="1:2" x14ac:dyDescent="0.35">
      <c r="A1439" s="16" t="s">
        <v>2610</v>
      </c>
      <c r="B1439" s="23">
        <v>40.49</v>
      </c>
    </row>
    <row r="1440" spans="1:2" x14ac:dyDescent="0.35">
      <c r="A1440" s="16" t="s">
        <v>1376</v>
      </c>
      <c r="B1440" s="23">
        <v>47.34</v>
      </c>
    </row>
    <row r="1441" spans="1:2" x14ac:dyDescent="0.35">
      <c r="A1441" s="16" t="s">
        <v>2781</v>
      </c>
      <c r="B1441" s="23">
        <v>37.08</v>
      </c>
    </row>
    <row r="1442" spans="1:2" x14ac:dyDescent="0.35">
      <c r="A1442" s="16" t="s">
        <v>3163</v>
      </c>
      <c r="B1442" s="23">
        <v>132.82</v>
      </c>
    </row>
    <row r="1443" spans="1:2" x14ac:dyDescent="0.35">
      <c r="A1443" s="16" t="s">
        <v>2177</v>
      </c>
      <c r="B1443" s="23">
        <v>22.96</v>
      </c>
    </row>
    <row r="1444" spans="1:2" x14ac:dyDescent="0.35">
      <c r="A1444" s="16" t="s">
        <v>933</v>
      </c>
      <c r="B1444" s="23">
        <v>37.39</v>
      </c>
    </row>
    <row r="1445" spans="1:2" x14ac:dyDescent="0.35">
      <c r="A1445" s="16" t="s">
        <v>1243</v>
      </c>
      <c r="B1445" s="23">
        <v>46.61</v>
      </c>
    </row>
    <row r="1446" spans="1:2" x14ac:dyDescent="0.35">
      <c r="A1446" s="16" t="s">
        <v>2655</v>
      </c>
      <c r="B1446" s="23">
        <v>184.96</v>
      </c>
    </row>
    <row r="1447" spans="1:2" x14ac:dyDescent="0.35">
      <c r="A1447" s="16" t="s">
        <v>1952</v>
      </c>
      <c r="B1447" s="23">
        <v>-0.26</v>
      </c>
    </row>
    <row r="1448" spans="1:2" x14ac:dyDescent="0.35">
      <c r="A1448" s="16" t="s">
        <v>2416</v>
      </c>
      <c r="B1448" s="23">
        <v>2.41</v>
      </c>
    </row>
    <row r="1449" spans="1:2" x14ac:dyDescent="0.35">
      <c r="A1449" s="16" t="s">
        <v>2048</v>
      </c>
      <c r="B1449" s="23">
        <v>185.46</v>
      </c>
    </row>
    <row r="1450" spans="1:2" x14ac:dyDescent="0.35">
      <c r="A1450" s="16" t="s">
        <v>1881</v>
      </c>
      <c r="B1450" s="23">
        <v>59.82</v>
      </c>
    </row>
    <row r="1451" spans="1:2" x14ac:dyDescent="0.35">
      <c r="A1451" s="16" t="s">
        <v>1750</v>
      </c>
      <c r="B1451" s="23">
        <v>25.12</v>
      </c>
    </row>
    <row r="1452" spans="1:2" x14ac:dyDescent="0.35">
      <c r="A1452" s="16" t="s">
        <v>1318</v>
      </c>
      <c r="B1452" s="23">
        <v>210.11</v>
      </c>
    </row>
    <row r="1453" spans="1:2" x14ac:dyDescent="0.35">
      <c r="A1453" s="16" t="s">
        <v>1934</v>
      </c>
      <c r="B1453" s="23">
        <v>-2.4700000000000002</v>
      </c>
    </row>
    <row r="1454" spans="1:2" x14ac:dyDescent="0.35">
      <c r="A1454" s="16" t="s">
        <v>2325</v>
      </c>
      <c r="B1454" s="23">
        <v>20.95</v>
      </c>
    </row>
    <row r="1455" spans="1:2" x14ac:dyDescent="0.35">
      <c r="A1455" s="16" t="s">
        <v>382</v>
      </c>
      <c r="B1455" s="23">
        <v>-3.68</v>
      </c>
    </row>
    <row r="1456" spans="1:2" x14ac:dyDescent="0.35">
      <c r="A1456" s="16" t="s">
        <v>1059</v>
      </c>
      <c r="B1456" s="23">
        <v>-3.2</v>
      </c>
    </row>
    <row r="1457" spans="1:2" x14ac:dyDescent="0.35">
      <c r="A1457" s="16" t="s">
        <v>40</v>
      </c>
      <c r="B1457" s="23">
        <v>253.44</v>
      </c>
    </row>
    <row r="1458" spans="1:2" x14ac:dyDescent="0.35">
      <c r="A1458" s="16" t="s">
        <v>2311</v>
      </c>
      <c r="B1458" s="23">
        <v>43.49</v>
      </c>
    </row>
    <row r="1459" spans="1:2" x14ac:dyDescent="0.35">
      <c r="A1459" s="16" t="s">
        <v>1473</v>
      </c>
      <c r="B1459" s="23">
        <v>165</v>
      </c>
    </row>
    <row r="1460" spans="1:2" x14ac:dyDescent="0.35">
      <c r="A1460" s="16" t="s">
        <v>1370</v>
      </c>
      <c r="B1460" s="23">
        <v>56</v>
      </c>
    </row>
    <row r="1461" spans="1:2" x14ac:dyDescent="0.35">
      <c r="A1461" s="16" t="s">
        <v>513</v>
      </c>
      <c r="B1461" s="23">
        <v>91.33</v>
      </c>
    </row>
    <row r="1462" spans="1:2" x14ac:dyDescent="0.35">
      <c r="A1462" s="16" t="s">
        <v>2910</v>
      </c>
      <c r="B1462" s="23">
        <v>45.7</v>
      </c>
    </row>
    <row r="1463" spans="1:2" x14ac:dyDescent="0.35">
      <c r="A1463" s="16" t="s">
        <v>1116</v>
      </c>
      <c r="B1463" s="23">
        <v>19.89</v>
      </c>
    </row>
    <row r="1464" spans="1:2" x14ac:dyDescent="0.35">
      <c r="A1464" s="16" t="s">
        <v>955</v>
      </c>
      <c r="B1464" s="23">
        <v>3.14</v>
      </c>
    </row>
    <row r="1465" spans="1:2" x14ac:dyDescent="0.35">
      <c r="A1465" s="16" t="s">
        <v>1799</v>
      </c>
      <c r="B1465" s="23">
        <v>94.73</v>
      </c>
    </row>
    <row r="1466" spans="1:2" x14ac:dyDescent="0.35">
      <c r="A1466" s="16" t="s">
        <v>1316</v>
      </c>
      <c r="B1466" s="23">
        <v>190.76</v>
      </c>
    </row>
    <row r="1467" spans="1:2" x14ac:dyDescent="0.35">
      <c r="A1467" s="16" t="s">
        <v>695</v>
      </c>
      <c r="B1467" s="23">
        <v>299.08999999999997</v>
      </c>
    </row>
    <row r="1468" spans="1:2" x14ac:dyDescent="0.35">
      <c r="A1468" s="16" t="s">
        <v>3176</v>
      </c>
      <c r="B1468" s="23">
        <v>9.8800000000000008</v>
      </c>
    </row>
    <row r="1469" spans="1:2" x14ac:dyDescent="0.35">
      <c r="A1469" s="16" t="s">
        <v>1893</v>
      </c>
      <c r="B1469" s="23">
        <v>4.72</v>
      </c>
    </row>
    <row r="1470" spans="1:2" x14ac:dyDescent="0.35">
      <c r="A1470" s="16" t="s">
        <v>1385</v>
      </c>
      <c r="B1470" s="23">
        <v>7.03</v>
      </c>
    </row>
    <row r="1471" spans="1:2" x14ac:dyDescent="0.35">
      <c r="A1471" s="16" t="s">
        <v>584</v>
      </c>
      <c r="B1471" s="23">
        <v>-6.88</v>
      </c>
    </row>
    <row r="1472" spans="1:2" x14ac:dyDescent="0.35">
      <c r="A1472" s="16" t="s">
        <v>2848</v>
      </c>
      <c r="B1472" s="23">
        <v>39.22</v>
      </c>
    </row>
    <row r="1473" spans="1:2" x14ac:dyDescent="0.35">
      <c r="A1473" s="16" t="s">
        <v>1168</v>
      </c>
      <c r="B1473" s="23">
        <v>115.02</v>
      </c>
    </row>
    <row r="1474" spans="1:2" x14ac:dyDescent="0.35">
      <c r="A1474" s="16" t="s">
        <v>2665</v>
      </c>
      <c r="B1474" s="23">
        <v>38.99</v>
      </c>
    </row>
    <row r="1475" spans="1:2" x14ac:dyDescent="0.35">
      <c r="A1475" s="16" t="s">
        <v>2643</v>
      </c>
      <c r="B1475" s="23">
        <v>50.59</v>
      </c>
    </row>
    <row r="1476" spans="1:2" x14ac:dyDescent="0.35">
      <c r="A1476" s="16" t="s">
        <v>2152</v>
      </c>
      <c r="B1476" s="23">
        <v>27.4</v>
      </c>
    </row>
    <row r="1477" spans="1:2" x14ac:dyDescent="0.35">
      <c r="A1477" s="16" t="s">
        <v>3446</v>
      </c>
      <c r="B1477" s="23">
        <v>27.85</v>
      </c>
    </row>
    <row r="1478" spans="1:2" x14ac:dyDescent="0.35">
      <c r="A1478" s="16" t="s">
        <v>2243</v>
      </c>
      <c r="B1478" s="23">
        <v>72.75</v>
      </c>
    </row>
    <row r="1479" spans="1:2" x14ac:dyDescent="0.35">
      <c r="A1479" s="16" t="s">
        <v>2484</v>
      </c>
      <c r="B1479" s="23">
        <v>43.35</v>
      </c>
    </row>
    <row r="1480" spans="1:2" x14ac:dyDescent="0.35">
      <c r="A1480" s="16" t="s">
        <v>2500</v>
      </c>
      <c r="B1480" s="23">
        <v>44.46</v>
      </c>
    </row>
    <row r="1481" spans="1:2" x14ac:dyDescent="0.35">
      <c r="A1481" s="16" t="s">
        <v>384</v>
      </c>
      <c r="B1481" s="23">
        <v>30.46</v>
      </c>
    </row>
    <row r="1482" spans="1:2" x14ac:dyDescent="0.35">
      <c r="A1482" s="16" t="s">
        <v>388</v>
      </c>
      <c r="B1482" s="23">
        <v>30.28</v>
      </c>
    </row>
    <row r="1483" spans="1:2" x14ac:dyDescent="0.35">
      <c r="A1483" s="16" t="s">
        <v>2081</v>
      </c>
      <c r="B1483" s="23">
        <v>198.6</v>
      </c>
    </row>
    <row r="1484" spans="1:2" x14ac:dyDescent="0.35">
      <c r="A1484" s="16" t="s">
        <v>842</v>
      </c>
      <c r="B1484" s="23">
        <v>13.35</v>
      </c>
    </row>
    <row r="1485" spans="1:2" x14ac:dyDescent="0.35">
      <c r="A1485" s="16" t="s">
        <v>3381</v>
      </c>
      <c r="B1485" s="23">
        <v>97.22</v>
      </c>
    </row>
    <row r="1486" spans="1:2" x14ac:dyDescent="0.35">
      <c r="A1486" s="16" t="s">
        <v>920</v>
      </c>
      <c r="B1486" s="23">
        <v>9.7799999999999994</v>
      </c>
    </row>
    <row r="1487" spans="1:2" x14ac:dyDescent="0.35">
      <c r="A1487" s="16" t="s">
        <v>509</v>
      </c>
      <c r="B1487" s="23">
        <v>35.6</v>
      </c>
    </row>
    <row r="1488" spans="1:2" x14ac:dyDescent="0.35">
      <c r="A1488" s="16" t="s">
        <v>2792</v>
      </c>
      <c r="B1488" s="23">
        <v>7.34</v>
      </c>
    </row>
    <row r="1489" spans="1:2" x14ac:dyDescent="0.35">
      <c r="A1489" s="16" t="s">
        <v>2975</v>
      </c>
      <c r="B1489" s="23">
        <v>502.04</v>
      </c>
    </row>
    <row r="1490" spans="1:2" x14ac:dyDescent="0.35">
      <c r="A1490" s="16" t="s">
        <v>2709</v>
      </c>
      <c r="B1490" s="23">
        <v>52.14</v>
      </c>
    </row>
    <row r="1491" spans="1:2" x14ac:dyDescent="0.35">
      <c r="A1491" s="16" t="s">
        <v>1226</v>
      </c>
      <c r="B1491" s="23">
        <v>63.3</v>
      </c>
    </row>
    <row r="1492" spans="1:2" x14ac:dyDescent="0.35">
      <c r="A1492" s="16" t="s">
        <v>1642</v>
      </c>
      <c r="B1492" s="23">
        <v>48.94</v>
      </c>
    </row>
    <row r="1493" spans="1:2" x14ac:dyDescent="0.35">
      <c r="A1493" s="16" t="s">
        <v>3431</v>
      </c>
      <c r="B1493" s="23">
        <v>614.64</v>
      </c>
    </row>
    <row r="1494" spans="1:2" x14ac:dyDescent="0.35">
      <c r="A1494" s="16" t="s">
        <v>2154</v>
      </c>
      <c r="B1494" s="23">
        <v>3.51</v>
      </c>
    </row>
    <row r="1495" spans="1:2" x14ac:dyDescent="0.35">
      <c r="A1495" s="16" t="s">
        <v>3450</v>
      </c>
      <c r="B1495" s="23">
        <v>-3.83</v>
      </c>
    </row>
    <row r="1496" spans="1:2" x14ac:dyDescent="0.35">
      <c r="A1496" s="16" t="s">
        <v>2782</v>
      </c>
      <c r="B1496" s="23">
        <v>8.81</v>
      </c>
    </row>
    <row r="1497" spans="1:2" x14ac:dyDescent="0.35">
      <c r="A1497" s="16" t="s">
        <v>763</v>
      </c>
      <c r="B1497" s="23">
        <v>8.83</v>
      </c>
    </row>
    <row r="1498" spans="1:2" x14ac:dyDescent="0.35">
      <c r="A1498" s="16" t="s">
        <v>2880</v>
      </c>
      <c r="B1498" s="23">
        <v>13.95</v>
      </c>
    </row>
    <row r="1499" spans="1:2" x14ac:dyDescent="0.35">
      <c r="A1499" s="16" t="s">
        <v>2613</v>
      </c>
      <c r="B1499" s="23">
        <v>91.16</v>
      </c>
    </row>
    <row r="1500" spans="1:2" x14ac:dyDescent="0.35">
      <c r="A1500" s="16" t="s">
        <v>1228</v>
      </c>
      <c r="B1500" s="23">
        <v>209.81</v>
      </c>
    </row>
    <row r="1501" spans="1:2" x14ac:dyDescent="0.35">
      <c r="A1501" s="16" t="s">
        <v>1919</v>
      </c>
      <c r="B1501" s="23">
        <v>1.05</v>
      </c>
    </row>
    <row r="1502" spans="1:2" x14ac:dyDescent="0.35">
      <c r="A1502" s="16" t="s">
        <v>71</v>
      </c>
      <c r="B1502" s="23">
        <v>-2.08</v>
      </c>
    </row>
    <row r="1503" spans="1:2" x14ac:dyDescent="0.35">
      <c r="A1503" s="16" t="s">
        <v>3422</v>
      </c>
      <c r="B1503" s="23">
        <v>2.66</v>
      </c>
    </row>
    <row r="1504" spans="1:2" x14ac:dyDescent="0.35">
      <c r="A1504" s="16" t="s">
        <v>818</v>
      </c>
      <c r="B1504" s="23">
        <v>91.48</v>
      </c>
    </row>
    <row r="1505" spans="1:2" x14ac:dyDescent="0.35">
      <c r="A1505" s="16" t="s">
        <v>2327</v>
      </c>
      <c r="B1505" s="23">
        <v>313.26</v>
      </c>
    </row>
    <row r="1506" spans="1:2" x14ac:dyDescent="0.35">
      <c r="A1506" s="16" t="s">
        <v>197</v>
      </c>
      <c r="B1506" s="23">
        <v>145.13999999999999</v>
      </c>
    </row>
    <row r="1507" spans="1:2" x14ac:dyDescent="0.35">
      <c r="A1507" s="16" t="s">
        <v>2156</v>
      </c>
      <c r="B1507" s="23">
        <v>18.690000000000001</v>
      </c>
    </row>
    <row r="1508" spans="1:2" x14ac:dyDescent="0.35">
      <c r="A1508" s="16" t="s">
        <v>1230</v>
      </c>
      <c r="B1508" s="23">
        <v>-7.98</v>
      </c>
    </row>
    <row r="1509" spans="1:2" x14ac:dyDescent="0.35">
      <c r="A1509" s="16" t="s">
        <v>2397</v>
      </c>
      <c r="B1509" s="23">
        <v>401.23</v>
      </c>
    </row>
    <row r="1510" spans="1:2" x14ac:dyDescent="0.35">
      <c r="A1510" s="16" t="s">
        <v>208</v>
      </c>
      <c r="B1510" s="23">
        <v>180.93</v>
      </c>
    </row>
    <row r="1511" spans="1:2" x14ac:dyDescent="0.35">
      <c r="A1511" s="16" t="s">
        <v>1947</v>
      </c>
      <c r="B1511" s="23">
        <v>59.63</v>
      </c>
    </row>
    <row r="1512" spans="1:2" x14ac:dyDescent="0.35">
      <c r="A1512" s="16" t="s">
        <v>2602</v>
      </c>
      <c r="B1512" s="23">
        <v>48.37</v>
      </c>
    </row>
    <row r="1513" spans="1:2" x14ac:dyDescent="0.35">
      <c r="A1513" s="16" t="s">
        <v>1380</v>
      </c>
      <c r="B1513" s="23">
        <v>39.909999999999997</v>
      </c>
    </row>
    <row r="1514" spans="1:2" x14ac:dyDescent="0.35">
      <c r="A1514" s="16" t="s">
        <v>2673</v>
      </c>
      <c r="B1514" s="23">
        <v>13.09</v>
      </c>
    </row>
    <row r="1515" spans="1:2" x14ac:dyDescent="0.35">
      <c r="A1515" s="16" t="s">
        <v>1069</v>
      </c>
      <c r="B1515" s="23">
        <v>5.63</v>
      </c>
    </row>
    <row r="1516" spans="1:2" x14ac:dyDescent="0.35">
      <c r="A1516" s="16" t="s">
        <v>548</v>
      </c>
      <c r="B1516" s="23">
        <v>49.9</v>
      </c>
    </row>
    <row r="1517" spans="1:2" x14ac:dyDescent="0.35">
      <c r="A1517" s="16" t="s">
        <v>2458</v>
      </c>
      <c r="B1517" s="23">
        <v>-3.42</v>
      </c>
    </row>
    <row r="1518" spans="1:2" x14ac:dyDescent="0.35">
      <c r="A1518" s="16" t="s">
        <v>891</v>
      </c>
      <c r="B1518" s="23">
        <v>49.79</v>
      </c>
    </row>
    <row r="1519" spans="1:2" x14ac:dyDescent="0.35">
      <c r="A1519" s="16" t="s">
        <v>3119</v>
      </c>
      <c r="B1519" s="23">
        <v>147.72</v>
      </c>
    </row>
    <row r="1520" spans="1:2" x14ac:dyDescent="0.35">
      <c r="A1520" s="16" t="s">
        <v>2513</v>
      </c>
      <c r="B1520" s="23">
        <v>-4.03</v>
      </c>
    </row>
    <row r="1521" spans="1:2" x14ac:dyDescent="0.35">
      <c r="A1521" s="16" t="s">
        <v>969</v>
      </c>
      <c r="B1521" s="23">
        <v>124.42</v>
      </c>
    </row>
    <row r="1522" spans="1:2" x14ac:dyDescent="0.35">
      <c r="A1522" s="16" t="s">
        <v>3622</v>
      </c>
      <c r="B1522" s="23">
        <v>7.12</v>
      </c>
    </row>
    <row r="1523" spans="1:2" x14ac:dyDescent="0.35">
      <c r="A1523" s="16" t="s">
        <v>949</v>
      </c>
      <c r="B1523" s="23">
        <v>102</v>
      </c>
    </row>
    <row r="1524" spans="1:2" x14ac:dyDescent="0.35">
      <c r="A1524" s="16" t="s">
        <v>2934</v>
      </c>
      <c r="B1524" s="23">
        <v>-2.04</v>
      </c>
    </row>
    <row r="1525" spans="1:2" x14ac:dyDescent="0.35">
      <c r="A1525" s="16" t="s">
        <v>2186</v>
      </c>
      <c r="B1525" s="23">
        <v>38.909999999999997</v>
      </c>
    </row>
    <row r="1526" spans="1:2" x14ac:dyDescent="0.35">
      <c r="A1526" s="16" t="s">
        <v>284</v>
      </c>
      <c r="B1526" s="23">
        <v>111.69</v>
      </c>
    </row>
    <row r="1527" spans="1:2" x14ac:dyDescent="0.35">
      <c r="A1527" s="16" t="s">
        <v>2808</v>
      </c>
      <c r="B1527" s="23">
        <v>-0.92</v>
      </c>
    </row>
    <row r="1528" spans="1:2" x14ac:dyDescent="0.35">
      <c r="A1528" s="16" t="s">
        <v>3150</v>
      </c>
      <c r="B1528" s="23">
        <v>-5.85</v>
      </c>
    </row>
    <row r="1529" spans="1:2" x14ac:dyDescent="0.35">
      <c r="A1529" s="16" t="s">
        <v>858</v>
      </c>
      <c r="B1529" s="23">
        <v>9.4600000000000009</v>
      </c>
    </row>
    <row r="1530" spans="1:2" x14ac:dyDescent="0.35">
      <c r="A1530" s="16" t="s">
        <v>3097</v>
      </c>
      <c r="B1530" s="23">
        <v>3.38</v>
      </c>
    </row>
    <row r="1531" spans="1:2" x14ac:dyDescent="0.35">
      <c r="A1531" s="16" t="s">
        <v>2938</v>
      </c>
      <c r="B1531" s="23">
        <v>86.93</v>
      </c>
    </row>
    <row r="1532" spans="1:2" x14ac:dyDescent="0.35">
      <c r="A1532" s="16" t="s">
        <v>878</v>
      </c>
      <c r="B1532" s="23">
        <v>29.09</v>
      </c>
    </row>
    <row r="1533" spans="1:2" x14ac:dyDescent="0.35">
      <c r="A1533" s="16" t="s">
        <v>802</v>
      </c>
      <c r="B1533" s="23">
        <v>12.83</v>
      </c>
    </row>
    <row r="1534" spans="1:2" x14ac:dyDescent="0.35">
      <c r="A1534" s="16" t="s">
        <v>3423</v>
      </c>
      <c r="B1534" s="23">
        <v>359.57</v>
      </c>
    </row>
    <row r="1535" spans="1:2" x14ac:dyDescent="0.35">
      <c r="A1535" s="16" t="s">
        <v>938</v>
      </c>
      <c r="B1535" s="23">
        <v>53.71</v>
      </c>
    </row>
    <row r="1536" spans="1:2" x14ac:dyDescent="0.35">
      <c r="A1536" s="16" t="s">
        <v>940</v>
      </c>
      <c r="B1536" s="23">
        <v>-2.31</v>
      </c>
    </row>
    <row r="1537" spans="1:2" x14ac:dyDescent="0.35">
      <c r="A1537" s="16" t="s">
        <v>2100</v>
      </c>
      <c r="B1537" s="23">
        <v>5.24</v>
      </c>
    </row>
    <row r="1538" spans="1:2" x14ac:dyDescent="0.35">
      <c r="A1538" s="16" t="s">
        <v>618</v>
      </c>
      <c r="B1538" s="23">
        <v>53.86</v>
      </c>
    </row>
    <row r="1539" spans="1:2" x14ac:dyDescent="0.35">
      <c r="A1539" s="16" t="s">
        <v>2961</v>
      </c>
      <c r="B1539" s="23">
        <v>25.97</v>
      </c>
    </row>
    <row r="1540" spans="1:2" x14ac:dyDescent="0.35">
      <c r="A1540" s="16" t="s">
        <v>893</v>
      </c>
      <c r="B1540" s="23">
        <v>237.4</v>
      </c>
    </row>
    <row r="1541" spans="1:2" x14ac:dyDescent="0.35">
      <c r="A1541" s="16" t="s">
        <v>2906</v>
      </c>
      <c r="B1541" s="23">
        <v>34.700000000000003</v>
      </c>
    </row>
    <row r="1542" spans="1:2" x14ac:dyDescent="0.35">
      <c r="A1542" s="16" t="s">
        <v>586</v>
      </c>
      <c r="B1542" s="23">
        <v>45.7</v>
      </c>
    </row>
    <row r="1543" spans="1:2" x14ac:dyDescent="0.35">
      <c r="A1543" s="16" t="s">
        <v>2809</v>
      </c>
      <c r="B1543" s="23">
        <v>709.01</v>
      </c>
    </row>
    <row r="1544" spans="1:2" x14ac:dyDescent="0.35">
      <c r="A1544" s="16" t="s">
        <v>3297</v>
      </c>
      <c r="B1544" s="23">
        <v>166.15</v>
      </c>
    </row>
    <row r="1545" spans="1:2" x14ac:dyDescent="0.35">
      <c r="A1545" s="16" t="s">
        <v>2251</v>
      </c>
      <c r="B1545" s="23">
        <v>15.87</v>
      </c>
    </row>
    <row r="1546" spans="1:2" x14ac:dyDescent="0.35">
      <c r="A1546" s="16" t="s">
        <v>3457</v>
      </c>
      <c r="B1546" s="23">
        <v>109.53</v>
      </c>
    </row>
    <row r="1547" spans="1:2" x14ac:dyDescent="0.35">
      <c r="A1547" s="16" t="s">
        <v>961</v>
      </c>
      <c r="B1547" s="23">
        <v>136.04</v>
      </c>
    </row>
    <row r="1548" spans="1:2" x14ac:dyDescent="0.35">
      <c r="A1548" s="16" t="s">
        <v>330</v>
      </c>
      <c r="B1548" s="23">
        <v>90</v>
      </c>
    </row>
    <row r="1549" spans="1:2" x14ac:dyDescent="0.35">
      <c r="A1549" s="16" t="s">
        <v>1697</v>
      </c>
      <c r="B1549" s="23">
        <v>52.86</v>
      </c>
    </row>
    <row r="1550" spans="1:2" x14ac:dyDescent="0.35">
      <c r="A1550" s="16" t="s">
        <v>1460</v>
      </c>
      <c r="B1550" s="23">
        <v>-2.16</v>
      </c>
    </row>
    <row r="1551" spans="1:2" x14ac:dyDescent="0.35">
      <c r="A1551" s="16" t="s">
        <v>1685</v>
      </c>
      <c r="B1551" s="23">
        <v>50.95</v>
      </c>
    </row>
    <row r="1552" spans="1:2" x14ac:dyDescent="0.35">
      <c r="A1552" s="16" t="s">
        <v>1953</v>
      </c>
      <c r="B1552" s="23">
        <v>29.09</v>
      </c>
    </row>
    <row r="1553" spans="1:2" x14ac:dyDescent="0.35">
      <c r="A1553" s="16" t="s">
        <v>1124</v>
      </c>
      <c r="B1553" s="23">
        <v>99.5</v>
      </c>
    </row>
    <row r="1554" spans="1:2" x14ac:dyDescent="0.35">
      <c r="A1554" s="16" t="s">
        <v>1407</v>
      </c>
      <c r="B1554" s="23">
        <v>128.08000000000001</v>
      </c>
    </row>
    <row r="1555" spans="1:2" x14ac:dyDescent="0.35">
      <c r="A1555" s="16" t="s">
        <v>448</v>
      </c>
      <c r="B1555" s="23">
        <v>59.24</v>
      </c>
    </row>
    <row r="1556" spans="1:2" x14ac:dyDescent="0.35">
      <c r="A1556" s="16" t="s">
        <v>474</v>
      </c>
      <c r="B1556" s="23">
        <v>9.69</v>
      </c>
    </row>
    <row r="1557" spans="1:2" x14ac:dyDescent="0.35">
      <c r="A1557" s="16" t="s">
        <v>2810</v>
      </c>
      <c r="B1557" s="23">
        <v>17.989999999999998</v>
      </c>
    </row>
    <row r="1558" spans="1:2" x14ac:dyDescent="0.35">
      <c r="A1558" s="16" t="s">
        <v>1220</v>
      </c>
      <c r="B1558" s="23">
        <v>38.049999999999997</v>
      </c>
    </row>
    <row r="1559" spans="1:2" x14ac:dyDescent="0.35">
      <c r="A1559" s="16" t="s">
        <v>3463</v>
      </c>
      <c r="B1559" s="23">
        <v>268.3</v>
      </c>
    </row>
    <row r="1560" spans="1:2" x14ac:dyDescent="0.35">
      <c r="A1560" s="16" t="s">
        <v>865</v>
      </c>
      <c r="B1560" s="23">
        <v>32.72</v>
      </c>
    </row>
    <row r="1561" spans="1:2" x14ac:dyDescent="0.35">
      <c r="A1561" s="16" t="s">
        <v>1623</v>
      </c>
      <c r="B1561" s="23">
        <v>22.83</v>
      </c>
    </row>
    <row r="1562" spans="1:2" x14ac:dyDescent="0.35">
      <c r="A1562" s="16" t="s">
        <v>1936</v>
      </c>
      <c r="B1562" s="23">
        <v>60.42</v>
      </c>
    </row>
    <row r="1563" spans="1:2" x14ac:dyDescent="0.35">
      <c r="A1563" s="16" t="s">
        <v>230</v>
      </c>
      <c r="B1563" s="23">
        <v>9.7100000000000009</v>
      </c>
    </row>
    <row r="1564" spans="1:2" x14ac:dyDescent="0.35">
      <c r="A1564" s="16" t="s">
        <v>1033</v>
      </c>
      <c r="B1564" s="23">
        <v>44.29</v>
      </c>
    </row>
    <row r="1565" spans="1:2" x14ac:dyDescent="0.35">
      <c r="A1565" s="16" t="s">
        <v>697</v>
      </c>
      <c r="B1565" s="23">
        <v>24.07</v>
      </c>
    </row>
    <row r="1566" spans="1:2" x14ac:dyDescent="0.35">
      <c r="A1566" s="16" t="s">
        <v>2900</v>
      </c>
      <c r="B1566" s="23">
        <v>8.99</v>
      </c>
    </row>
    <row r="1567" spans="1:2" x14ac:dyDescent="0.35">
      <c r="A1567" s="16" t="s">
        <v>683</v>
      </c>
      <c r="B1567" s="23">
        <v>41.12</v>
      </c>
    </row>
    <row r="1568" spans="1:2" x14ac:dyDescent="0.35">
      <c r="A1568" s="16" t="s">
        <v>1501</v>
      </c>
      <c r="B1568" s="23">
        <v>46.14</v>
      </c>
    </row>
    <row r="1569" spans="1:2" x14ac:dyDescent="0.35">
      <c r="A1569" s="16" t="s">
        <v>1200</v>
      </c>
      <c r="B1569" s="23">
        <v>36.51</v>
      </c>
    </row>
    <row r="1570" spans="1:2" x14ac:dyDescent="0.35">
      <c r="A1570" s="16" t="s">
        <v>3340</v>
      </c>
      <c r="B1570" s="23">
        <v>8.6199999999999992</v>
      </c>
    </row>
    <row r="1571" spans="1:2" x14ac:dyDescent="0.35">
      <c r="A1571" s="16" t="s">
        <v>1794</v>
      </c>
      <c r="B1571" s="23">
        <v>4.96</v>
      </c>
    </row>
    <row r="1572" spans="1:2" x14ac:dyDescent="0.35">
      <c r="A1572" s="16" t="s">
        <v>237</v>
      </c>
      <c r="B1572" s="23">
        <v>60.74</v>
      </c>
    </row>
    <row r="1573" spans="1:2" x14ac:dyDescent="0.35">
      <c r="A1573" s="16" t="s">
        <v>3603</v>
      </c>
      <c r="B1573" s="23">
        <v>160.9</v>
      </c>
    </row>
    <row r="1574" spans="1:2" x14ac:dyDescent="0.35">
      <c r="A1574" s="16" t="s">
        <v>2936</v>
      </c>
      <c r="B1574" s="23">
        <v>5.86</v>
      </c>
    </row>
    <row r="1575" spans="1:2" x14ac:dyDescent="0.35">
      <c r="A1575" s="16" t="s">
        <v>1758</v>
      </c>
      <c r="B1575" s="23">
        <v>90.67</v>
      </c>
    </row>
    <row r="1576" spans="1:2" x14ac:dyDescent="0.35">
      <c r="A1576" s="16" t="s">
        <v>2178</v>
      </c>
      <c r="B1576" s="23">
        <v>42.21</v>
      </c>
    </row>
    <row r="1577" spans="1:2" x14ac:dyDescent="0.35">
      <c r="A1577" s="16" t="s">
        <v>3071</v>
      </c>
      <c r="B1577" s="23">
        <v>19.489999999999998</v>
      </c>
    </row>
    <row r="1578" spans="1:2" x14ac:dyDescent="0.35">
      <c r="A1578" s="16" t="s">
        <v>1081</v>
      </c>
      <c r="B1578" s="23">
        <v>329.99</v>
      </c>
    </row>
    <row r="1579" spans="1:2" x14ac:dyDescent="0.35">
      <c r="A1579" s="16" t="s">
        <v>1163</v>
      </c>
      <c r="B1579" s="23">
        <v>247.15</v>
      </c>
    </row>
    <row r="1580" spans="1:2" x14ac:dyDescent="0.35">
      <c r="A1580" s="16" t="s">
        <v>2827</v>
      </c>
      <c r="B1580" s="23">
        <v>157.24</v>
      </c>
    </row>
    <row r="1581" spans="1:2" x14ac:dyDescent="0.35">
      <c r="A1581" s="16" t="s">
        <v>2872</v>
      </c>
      <c r="B1581" s="23">
        <v>219.03</v>
      </c>
    </row>
    <row r="1582" spans="1:2" x14ac:dyDescent="0.35">
      <c r="A1582" s="16" t="s">
        <v>1336</v>
      </c>
      <c r="B1582" s="23">
        <v>37.65</v>
      </c>
    </row>
    <row r="1583" spans="1:2" x14ac:dyDescent="0.35">
      <c r="A1583" s="16" t="s">
        <v>1499</v>
      </c>
      <c r="B1583" s="23">
        <v>1.48</v>
      </c>
    </row>
    <row r="1584" spans="1:2" x14ac:dyDescent="0.35">
      <c r="A1584" s="16" t="s">
        <v>1613</v>
      </c>
      <c r="B1584" s="23">
        <v>44.05</v>
      </c>
    </row>
    <row r="1585" spans="1:2" x14ac:dyDescent="0.35">
      <c r="A1585" s="16" t="s">
        <v>2110</v>
      </c>
      <c r="B1585" s="23">
        <v>68.760000000000005</v>
      </c>
    </row>
    <row r="1586" spans="1:2" x14ac:dyDescent="0.35">
      <c r="A1586" s="16" t="s">
        <v>1705</v>
      </c>
      <c r="B1586" s="23">
        <v>540.71</v>
      </c>
    </row>
    <row r="1587" spans="1:2" x14ac:dyDescent="0.35">
      <c r="A1587" s="16" t="s">
        <v>2698</v>
      </c>
      <c r="B1587" s="23">
        <v>78.510000000000005</v>
      </c>
    </row>
    <row r="1588" spans="1:2" x14ac:dyDescent="0.35">
      <c r="A1588" s="16" t="s">
        <v>3045</v>
      </c>
      <c r="B1588" s="23">
        <v>42.51</v>
      </c>
    </row>
    <row r="1589" spans="1:2" x14ac:dyDescent="0.35">
      <c r="A1589" s="16" t="s">
        <v>492</v>
      </c>
      <c r="B1589" s="23">
        <v>-8.8699999999999992</v>
      </c>
    </row>
    <row r="1590" spans="1:2" x14ac:dyDescent="0.35">
      <c r="A1590" s="16" t="s">
        <v>1950</v>
      </c>
      <c r="B1590" s="23">
        <v>34.82</v>
      </c>
    </row>
    <row r="1591" spans="1:2" x14ac:dyDescent="0.35">
      <c r="A1591" s="16" t="s">
        <v>1833</v>
      </c>
      <c r="B1591" s="23">
        <v>-3.18</v>
      </c>
    </row>
    <row r="1592" spans="1:2" x14ac:dyDescent="0.35">
      <c r="A1592" s="16" t="s">
        <v>769</v>
      </c>
      <c r="B1592" s="23">
        <v>-6.52</v>
      </c>
    </row>
    <row r="1593" spans="1:2" x14ac:dyDescent="0.35">
      <c r="A1593" s="16" t="s">
        <v>2398</v>
      </c>
      <c r="B1593" s="23">
        <v>-3.04</v>
      </c>
    </row>
    <row r="1594" spans="1:2" x14ac:dyDescent="0.35">
      <c r="A1594" s="16" t="s">
        <v>2765</v>
      </c>
      <c r="B1594" s="23">
        <v>44.7</v>
      </c>
    </row>
    <row r="1595" spans="1:2" x14ac:dyDescent="0.35">
      <c r="A1595" s="16" t="s">
        <v>1424</v>
      </c>
      <c r="B1595" s="23">
        <v>13.16</v>
      </c>
    </row>
    <row r="1596" spans="1:2" x14ac:dyDescent="0.35">
      <c r="A1596" s="16" t="s">
        <v>3415</v>
      </c>
      <c r="B1596" s="23">
        <v>76.86</v>
      </c>
    </row>
    <row r="1597" spans="1:2" x14ac:dyDescent="0.35">
      <c r="A1597" s="16" t="s">
        <v>1531</v>
      </c>
      <c r="B1597" s="23">
        <v>63.6</v>
      </c>
    </row>
    <row r="1598" spans="1:2" x14ac:dyDescent="0.35">
      <c r="A1598" s="16" t="s">
        <v>2667</v>
      </c>
      <c r="B1598" s="23">
        <v>77.819999999999993</v>
      </c>
    </row>
    <row r="1599" spans="1:2" x14ac:dyDescent="0.35">
      <c r="A1599" s="16" t="s">
        <v>3553</v>
      </c>
      <c r="B1599" s="23">
        <v>69.67</v>
      </c>
    </row>
    <row r="1600" spans="1:2" x14ac:dyDescent="0.35">
      <c r="A1600" s="16" t="s">
        <v>1269</v>
      </c>
      <c r="B1600" s="23">
        <v>-1.36</v>
      </c>
    </row>
    <row r="1601" spans="1:2" x14ac:dyDescent="0.35">
      <c r="A1601" s="16" t="s">
        <v>274</v>
      </c>
      <c r="B1601" s="23">
        <v>185.09</v>
      </c>
    </row>
    <row r="1602" spans="1:2" x14ac:dyDescent="0.35">
      <c r="A1602" s="16" t="s">
        <v>1485</v>
      </c>
      <c r="B1602" s="23">
        <v>48.85</v>
      </c>
    </row>
    <row r="1603" spans="1:2" x14ac:dyDescent="0.35">
      <c r="A1603" s="16" t="s">
        <v>2562</v>
      </c>
      <c r="B1603" s="23">
        <v>1.64</v>
      </c>
    </row>
    <row r="1604" spans="1:2" x14ac:dyDescent="0.35">
      <c r="A1604" s="16" t="s">
        <v>941</v>
      </c>
      <c r="B1604" s="23">
        <v>243.24</v>
      </c>
    </row>
    <row r="1605" spans="1:2" x14ac:dyDescent="0.35">
      <c r="A1605" s="16" t="s">
        <v>3051</v>
      </c>
      <c r="B1605" s="23">
        <v>1.91</v>
      </c>
    </row>
    <row r="1606" spans="1:2" x14ac:dyDescent="0.35">
      <c r="A1606" s="16" t="s">
        <v>686</v>
      </c>
      <c r="B1606" s="23">
        <v>413.61</v>
      </c>
    </row>
    <row r="1607" spans="1:2" x14ac:dyDescent="0.35">
      <c r="A1607" s="16" t="s">
        <v>3542</v>
      </c>
      <c r="B1607" s="23">
        <v>-1.25</v>
      </c>
    </row>
    <row r="1608" spans="1:2" x14ac:dyDescent="0.35">
      <c r="A1608" s="16" t="s">
        <v>3416</v>
      </c>
      <c r="B1608" s="23">
        <v>111.24</v>
      </c>
    </row>
    <row r="1609" spans="1:2" x14ac:dyDescent="0.35">
      <c r="A1609" s="16" t="s">
        <v>2573</v>
      </c>
      <c r="B1609" s="23">
        <v>26.9</v>
      </c>
    </row>
    <row r="1610" spans="1:2" x14ac:dyDescent="0.35">
      <c r="A1610" s="16" t="s">
        <v>1686</v>
      </c>
      <c r="B1610" s="23">
        <v>34.83</v>
      </c>
    </row>
    <row r="1611" spans="1:2" x14ac:dyDescent="0.35">
      <c r="A1611" s="16" t="s">
        <v>3433</v>
      </c>
      <c r="B1611" s="23">
        <v>260.27</v>
      </c>
    </row>
    <row r="1612" spans="1:2" x14ac:dyDescent="0.35">
      <c r="A1612" s="16" t="s">
        <v>588</v>
      </c>
      <c r="B1612" s="23">
        <v>1.93</v>
      </c>
    </row>
    <row r="1613" spans="1:2" x14ac:dyDescent="0.35">
      <c r="A1613" s="16" t="s">
        <v>412</v>
      </c>
      <c r="B1613" s="23">
        <v>0.69</v>
      </c>
    </row>
    <row r="1614" spans="1:2" x14ac:dyDescent="0.35">
      <c r="A1614" s="16" t="s">
        <v>2914</v>
      </c>
      <c r="B1614" s="23">
        <v>-6.24</v>
      </c>
    </row>
    <row r="1615" spans="1:2" x14ac:dyDescent="0.35">
      <c r="A1615" s="16" t="s">
        <v>3600</v>
      </c>
      <c r="B1615" s="23">
        <v>43.67</v>
      </c>
    </row>
    <row r="1616" spans="1:2" x14ac:dyDescent="0.35">
      <c r="A1616" s="16" t="s">
        <v>2085</v>
      </c>
      <c r="B1616" s="23">
        <v>45.22</v>
      </c>
    </row>
    <row r="1617" spans="1:2" x14ac:dyDescent="0.35">
      <c r="A1617" s="16" t="s">
        <v>2748</v>
      </c>
      <c r="B1617" s="23">
        <v>22.03</v>
      </c>
    </row>
    <row r="1618" spans="1:2" x14ac:dyDescent="0.35">
      <c r="A1618" s="16" t="s">
        <v>2308</v>
      </c>
      <c r="B1618" s="23">
        <v>10.19</v>
      </c>
    </row>
    <row r="1619" spans="1:2" x14ac:dyDescent="0.35">
      <c r="A1619" s="16" t="s">
        <v>2969</v>
      </c>
      <c r="B1619" s="23">
        <v>1.94</v>
      </c>
    </row>
    <row r="1620" spans="1:2" x14ac:dyDescent="0.35">
      <c r="A1620" s="16" t="s">
        <v>2376</v>
      </c>
      <c r="B1620" s="23">
        <v>-0.55000000000000004</v>
      </c>
    </row>
    <row r="1621" spans="1:2" x14ac:dyDescent="0.35">
      <c r="A1621" s="16" t="s">
        <v>2330</v>
      </c>
      <c r="B1621" s="23">
        <v>0.35</v>
      </c>
    </row>
    <row r="1622" spans="1:2" x14ac:dyDescent="0.35">
      <c r="A1622" s="16" t="s">
        <v>3180</v>
      </c>
      <c r="B1622" s="23">
        <v>-3.04</v>
      </c>
    </row>
    <row r="1623" spans="1:2" x14ac:dyDescent="0.35">
      <c r="A1623" s="16" t="s">
        <v>3239</v>
      </c>
      <c r="B1623" s="23">
        <v>12.89</v>
      </c>
    </row>
    <row r="1624" spans="1:2" x14ac:dyDescent="0.35">
      <c r="A1624" s="16" t="s">
        <v>3185</v>
      </c>
      <c r="B1624" s="23">
        <v>9.98</v>
      </c>
    </row>
    <row r="1625" spans="1:2" x14ac:dyDescent="0.35">
      <c r="A1625" s="16" t="s">
        <v>2034</v>
      </c>
      <c r="B1625" s="23">
        <v>131.74</v>
      </c>
    </row>
    <row r="1626" spans="1:2" x14ac:dyDescent="0.35">
      <c r="A1626" s="16" t="s">
        <v>2277</v>
      </c>
      <c r="B1626" s="23">
        <v>-6.08</v>
      </c>
    </row>
    <row r="1627" spans="1:2" x14ac:dyDescent="0.35">
      <c r="A1627" s="16" t="s">
        <v>256</v>
      </c>
      <c r="B1627" s="23">
        <v>1115.05</v>
      </c>
    </row>
    <row r="1628" spans="1:2" x14ac:dyDescent="0.35">
      <c r="A1628" s="16" t="s">
        <v>1486</v>
      </c>
      <c r="B1628" s="23">
        <v>415.78</v>
      </c>
    </row>
    <row r="1629" spans="1:2" x14ac:dyDescent="0.35">
      <c r="A1629" s="16" t="s">
        <v>1745</v>
      </c>
      <c r="B1629" s="23">
        <v>475</v>
      </c>
    </row>
    <row r="1630" spans="1:2" x14ac:dyDescent="0.35">
      <c r="A1630" s="16" t="s">
        <v>2307</v>
      </c>
      <c r="B1630" s="23">
        <v>28.16</v>
      </c>
    </row>
    <row r="1631" spans="1:2" x14ac:dyDescent="0.35">
      <c r="A1631" s="16" t="s">
        <v>910</v>
      </c>
      <c r="B1631" s="23">
        <v>-1.58</v>
      </c>
    </row>
    <row r="1632" spans="1:2" x14ac:dyDescent="0.35">
      <c r="A1632" s="16" t="s">
        <v>2361</v>
      </c>
      <c r="B1632" s="23">
        <v>64.14</v>
      </c>
    </row>
    <row r="1633" spans="1:2" x14ac:dyDescent="0.35">
      <c r="A1633" s="16" t="s">
        <v>3107</v>
      </c>
      <c r="B1633" s="23">
        <v>4.16</v>
      </c>
    </row>
    <row r="1634" spans="1:2" x14ac:dyDescent="0.35">
      <c r="A1634" s="16" t="s">
        <v>398</v>
      </c>
      <c r="B1634" s="23">
        <v>564.46</v>
      </c>
    </row>
    <row r="1635" spans="1:2" x14ac:dyDescent="0.35">
      <c r="A1635" s="16" t="s">
        <v>316</v>
      </c>
      <c r="B1635" s="23">
        <v>111.73</v>
      </c>
    </row>
    <row r="1636" spans="1:2" x14ac:dyDescent="0.35">
      <c r="A1636" s="16" t="s">
        <v>363</v>
      </c>
      <c r="B1636" s="23">
        <v>104.15</v>
      </c>
    </row>
    <row r="1637" spans="1:2" x14ac:dyDescent="0.35">
      <c r="A1637" s="16" t="s">
        <v>1627</v>
      </c>
      <c r="B1637" s="23">
        <v>69.739999999999995</v>
      </c>
    </row>
    <row r="1638" spans="1:2" x14ac:dyDescent="0.35">
      <c r="A1638" s="16" t="s">
        <v>2075</v>
      </c>
      <c r="B1638" s="23">
        <v>101.12</v>
      </c>
    </row>
    <row r="1639" spans="1:2" x14ac:dyDescent="0.35">
      <c r="A1639" s="16" t="s">
        <v>1939</v>
      </c>
      <c r="B1639" s="23">
        <v>9.51</v>
      </c>
    </row>
    <row r="1640" spans="1:2" x14ac:dyDescent="0.35">
      <c r="A1640" s="16" t="s">
        <v>2741</v>
      </c>
      <c r="B1640" s="23">
        <v>51.15</v>
      </c>
    </row>
    <row r="1641" spans="1:2" x14ac:dyDescent="0.35">
      <c r="A1641" s="16" t="s">
        <v>1514</v>
      </c>
      <c r="B1641" s="23">
        <v>67.040000000000006</v>
      </c>
    </row>
    <row r="1642" spans="1:2" x14ac:dyDescent="0.35">
      <c r="A1642" s="16" t="s">
        <v>1963</v>
      </c>
      <c r="B1642" s="23">
        <v>61.06</v>
      </c>
    </row>
    <row r="1643" spans="1:2" x14ac:dyDescent="0.35">
      <c r="A1643" s="16" t="s">
        <v>3081</v>
      </c>
      <c r="B1643" s="23">
        <v>4.57</v>
      </c>
    </row>
    <row r="1644" spans="1:2" x14ac:dyDescent="0.35">
      <c r="A1644" s="16" t="s">
        <v>1271</v>
      </c>
      <c r="B1644" s="23">
        <v>-0.72</v>
      </c>
    </row>
    <row r="1645" spans="1:2" x14ac:dyDescent="0.35">
      <c r="A1645" s="16" t="s">
        <v>804</v>
      </c>
      <c r="B1645" s="23">
        <v>52.58</v>
      </c>
    </row>
    <row r="1646" spans="1:2" x14ac:dyDescent="0.35">
      <c r="A1646" s="16" t="s">
        <v>1012</v>
      </c>
      <c r="B1646" s="23">
        <v>7.02</v>
      </c>
    </row>
    <row r="1647" spans="1:2" x14ac:dyDescent="0.35">
      <c r="A1647" s="16" t="s">
        <v>2124</v>
      </c>
      <c r="B1647" s="23">
        <v>-6.29</v>
      </c>
    </row>
    <row r="1648" spans="1:2" x14ac:dyDescent="0.35">
      <c r="A1648" s="16" t="s">
        <v>2960</v>
      </c>
      <c r="B1648" s="23">
        <v>149.04</v>
      </c>
    </row>
    <row r="1649" spans="1:2" x14ac:dyDescent="0.35">
      <c r="A1649" s="16" t="s">
        <v>3421</v>
      </c>
      <c r="B1649" s="23">
        <v>5.56</v>
      </c>
    </row>
    <row r="1650" spans="1:2" x14ac:dyDescent="0.35">
      <c r="A1650" s="16" t="s">
        <v>2763</v>
      </c>
      <c r="B1650" s="23">
        <v>7.94</v>
      </c>
    </row>
    <row r="1651" spans="1:2" x14ac:dyDescent="0.35">
      <c r="A1651" s="16" t="s">
        <v>3533</v>
      </c>
      <c r="B1651" s="23">
        <v>1.38</v>
      </c>
    </row>
    <row r="1652" spans="1:2" x14ac:dyDescent="0.35">
      <c r="A1652" s="16" t="s">
        <v>1299</v>
      </c>
      <c r="B1652" s="23">
        <v>-6.87</v>
      </c>
    </row>
    <row r="1653" spans="1:2" x14ac:dyDescent="0.35">
      <c r="A1653" s="16" t="s">
        <v>1775</v>
      </c>
      <c r="B1653" s="23">
        <v>30.02</v>
      </c>
    </row>
    <row r="1654" spans="1:2" x14ac:dyDescent="0.35">
      <c r="A1654" s="16" t="s">
        <v>1037</v>
      </c>
      <c r="B1654" s="23">
        <v>485.71</v>
      </c>
    </row>
    <row r="1655" spans="1:2" x14ac:dyDescent="0.35">
      <c r="A1655" s="16" t="s">
        <v>1122</v>
      </c>
      <c r="B1655" s="23">
        <v>5.05</v>
      </c>
    </row>
    <row r="1656" spans="1:2" x14ac:dyDescent="0.35">
      <c r="A1656" s="16" t="s">
        <v>664</v>
      </c>
      <c r="B1656" s="23">
        <v>-0.16</v>
      </c>
    </row>
    <row r="1657" spans="1:2" x14ac:dyDescent="0.35">
      <c r="A1657" s="16" t="s">
        <v>1988</v>
      </c>
      <c r="B1657" s="23">
        <v>32.44</v>
      </c>
    </row>
    <row r="1658" spans="1:2" x14ac:dyDescent="0.35">
      <c r="A1658" s="16" t="s">
        <v>167</v>
      </c>
      <c r="B1658" s="23">
        <v>7.59</v>
      </c>
    </row>
    <row r="1659" spans="1:2" x14ac:dyDescent="0.35">
      <c r="A1659" s="16" t="s">
        <v>2818</v>
      </c>
      <c r="B1659" s="23">
        <v>10.96</v>
      </c>
    </row>
    <row r="1660" spans="1:2" x14ac:dyDescent="0.35">
      <c r="A1660" s="16" t="s">
        <v>898</v>
      </c>
      <c r="B1660" s="23">
        <v>20.53</v>
      </c>
    </row>
    <row r="1661" spans="1:2" x14ac:dyDescent="0.35">
      <c r="A1661" s="16" t="s">
        <v>1824</v>
      </c>
      <c r="B1661" s="23">
        <v>-4.26</v>
      </c>
    </row>
    <row r="1662" spans="1:2" x14ac:dyDescent="0.35">
      <c r="A1662" s="16" t="s">
        <v>218</v>
      </c>
      <c r="B1662" s="23">
        <v>56.3</v>
      </c>
    </row>
    <row r="1663" spans="1:2" x14ac:dyDescent="0.35">
      <c r="A1663" s="16" t="s">
        <v>1910</v>
      </c>
      <c r="B1663" s="23">
        <v>10.55</v>
      </c>
    </row>
    <row r="1664" spans="1:2" x14ac:dyDescent="0.35">
      <c r="A1664" s="16" t="s">
        <v>1253</v>
      </c>
      <c r="B1664" s="23">
        <v>40.630000000000003</v>
      </c>
    </row>
    <row r="1665" spans="1:2" x14ac:dyDescent="0.35">
      <c r="A1665" s="16" t="s">
        <v>2989</v>
      </c>
      <c r="B1665" s="23">
        <v>-5.66</v>
      </c>
    </row>
    <row r="1666" spans="1:2" x14ac:dyDescent="0.35">
      <c r="A1666" s="16" t="s">
        <v>1350</v>
      </c>
      <c r="B1666" s="23">
        <v>124.07</v>
      </c>
    </row>
    <row r="1667" spans="1:2" x14ac:dyDescent="0.35">
      <c r="A1667" s="16" t="s">
        <v>436</v>
      </c>
      <c r="B1667" s="23">
        <v>137.04</v>
      </c>
    </row>
    <row r="1668" spans="1:2" x14ac:dyDescent="0.35">
      <c r="A1668" s="16" t="s">
        <v>638</v>
      </c>
      <c r="B1668" s="23">
        <v>1373.63</v>
      </c>
    </row>
    <row r="1669" spans="1:2" x14ac:dyDescent="0.35">
      <c r="A1669" s="16" t="s">
        <v>2761</v>
      </c>
      <c r="B1669" s="23">
        <v>-2.25</v>
      </c>
    </row>
    <row r="1670" spans="1:2" x14ac:dyDescent="0.35">
      <c r="A1670" s="16" t="s">
        <v>846</v>
      </c>
      <c r="B1670" s="23">
        <v>26.54</v>
      </c>
    </row>
    <row r="1671" spans="1:2" x14ac:dyDescent="0.35">
      <c r="A1671" s="16" t="s">
        <v>322</v>
      </c>
      <c r="B1671" s="23">
        <v>286.77</v>
      </c>
    </row>
    <row r="1672" spans="1:2" x14ac:dyDescent="0.35">
      <c r="A1672" s="16" t="s">
        <v>3203</v>
      </c>
      <c r="B1672" s="23">
        <v>-0.88</v>
      </c>
    </row>
    <row r="1673" spans="1:2" x14ac:dyDescent="0.35">
      <c r="A1673" s="16" t="s">
        <v>182</v>
      </c>
      <c r="B1673" s="23">
        <v>4.1900000000000004</v>
      </c>
    </row>
    <row r="1674" spans="1:2" x14ac:dyDescent="0.35">
      <c r="A1674" s="16" t="s">
        <v>1516</v>
      </c>
      <c r="B1674" s="23">
        <v>58.03</v>
      </c>
    </row>
    <row r="1675" spans="1:2" x14ac:dyDescent="0.35">
      <c r="A1675" s="16" t="s">
        <v>2125</v>
      </c>
      <c r="B1675" s="23">
        <v>24.54</v>
      </c>
    </row>
    <row r="1676" spans="1:2" x14ac:dyDescent="0.35">
      <c r="A1676" s="16" t="s">
        <v>297</v>
      </c>
      <c r="B1676" s="23">
        <v>167.47</v>
      </c>
    </row>
    <row r="1677" spans="1:2" x14ac:dyDescent="0.35">
      <c r="A1677" s="16" t="s">
        <v>3459</v>
      </c>
      <c r="B1677" s="23">
        <v>58.97</v>
      </c>
    </row>
    <row r="1678" spans="1:2" x14ac:dyDescent="0.35">
      <c r="A1678" s="16" t="s">
        <v>1688</v>
      </c>
      <c r="B1678" s="23">
        <v>844.98</v>
      </c>
    </row>
    <row r="1679" spans="1:2" x14ac:dyDescent="0.35">
      <c r="A1679" s="16" t="s">
        <v>1523</v>
      </c>
      <c r="B1679" s="23">
        <v>-1.54</v>
      </c>
    </row>
    <row r="1680" spans="1:2" x14ac:dyDescent="0.35">
      <c r="A1680" s="16" t="s">
        <v>2874</v>
      </c>
      <c r="B1680" s="23">
        <v>64.930000000000007</v>
      </c>
    </row>
    <row r="1681" spans="1:2" x14ac:dyDescent="0.35">
      <c r="A1681" s="16" t="s">
        <v>1676</v>
      </c>
      <c r="B1681" s="23">
        <v>5.24</v>
      </c>
    </row>
    <row r="1682" spans="1:2" x14ac:dyDescent="0.35">
      <c r="A1682" s="16" t="s">
        <v>3410</v>
      </c>
      <c r="B1682" s="23">
        <v>49.1</v>
      </c>
    </row>
    <row r="1683" spans="1:2" x14ac:dyDescent="0.35">
      <c r="A1683" s="16" t="s">
        <v>783</v>
      </c>
      <c r="B1683" s="23">
        <v>41.81</v>
      </c>
    </row>
    <row r="1684" spans="1:2" x14ac:dyDescent="0.35">
      <c r="A1684" s="16" t="s">
        <v>886</v>
      </c>
      <c r="B1684" s="23">
        <v>89.58</v>
      </c>
    </row>
    <row r="1685" spans="1:2" x14ac:dyDescent="0.35">
      <c r="A1685" s="16" t="s">
        <v>525</v>
      </c>
      <c r="B1685" s="23">
        <v>11.63</v>
      </c>
    </row>
    <row r="1686" spans="1:2" x14ac:dyDescent="0.35">
      <c r="A1686" s="16" t="s">
        <v>210</v>
      </c>
      <c r="B1686" s="23">
        <v>433.81</v>
      </c>
    </row>
    <row r="1687" spans="1:2" x14ac:dyDescent="0.35">
      <c r="A1687" s="16" t="s">
        <v>872</v>
      </c>
      <c r="B1687" s="23">
        <v>0.94</v>
      </c>
    </row>
    <row r="1688" spans="1:2" x14ac:dyDescent="0.35">
      <c r="A1688" s="16" t="s">
        <v>928</v>
      </c>
      <c r="B1688" s="23">
        <v>109.99</v>
      </c>
    </row>
    <row r="1689" spans="1:2" x14ac:dyDescent="0.35">
      <c r="A1689" s="16" t="s">
        <v>1834</v>
      </c>
      <c r="B1689" s="23">
        <v>124.21</v>
      </c>
    </row>
    <row r="1690" spans="1:2" x14ac:dyDescent="0.35">
      <c r="A1690" s="16" t="s">
        <v>1229</v>
      </c>
      <c r="B1690" s="23">
        <v>-3.38</v>
      </c>
    </row>
    <row r="1691" spans="1:2" x14ac:dyDescent="0.35">
      <c r="A1691" s="16" t="s">
        <v>1904</v>
      </c>
      <c r="B1691" s="23">
        <v>43.06</v>
      </c>
    </row>
    <row r="1692" spans="1:2" x14ac:dyDescent="0.35">
      <c r="A1692" s="16" t="s">
        <v>2604</v>
      </c>
      <c r="B1692" s="23">
        <v>10.48</v>
      </c>
    </row>
    <row r="1693" spans="1:2" x14ac:dyDescent="0.35">
      <c r="A1693" s="16" t="s">
        <v>1975</v>
      </c>
      <c r="B1693" s="23">
        <v>20.3</v>
      </c>
    </row>
    <row r="1694" spans="1:2" x14ac:dyDescent="0.35">
      <c r="A1694" s="16" t="s">
        <v>3387</v>
      </c>
      <c r="B1694" s="23">
        <v>55.55</v>
      </c>
    </row>
    <row r="1695" spans="1:2" x14ac:dyDescent="0.35">
      <c r="A1695" s="16" t="s">
        <v>3585</v>
      </c>
      <c r="B1695" s="23">
        <v>21.37</v>
      </c>
    </row>
    <row r="1696" spans="1:2" x14ac:dyDescent="0.35">
      <c r="A1696" s="16" t="s">
        <v>3559</v>
      </c>
      <c r="B1696" s="23">
        <v>219.68</v>
      </c>
    </row>
    <row r="1697" spans="1:2" x14ac:dyDescent="0.35">
      <c r="A1697" s="16" t="s">
        <v>2617</v>
      </c>
      <c r="B1697" s="23">
        <v>-2.0499999999999998</v>
      </c>
    </row>
    <row r="1698" spans="1:2" x14ac:dyDescent="0.35">
      <c r="A1698" s="16" t="s">
        <v>2726</v>
      </c>
      <c r="B1698" s="23">
        <v>43.39</v>
      </c>
    </row>
    <row r="1699" spans="1:2" x14ac:dyDescent="0.35">
      <c r="A1699" s="16" t="s">
        <v>1779</v>
      </c>
      <c r="B1699" s="23">
        <v>82.81</v>
      </c>
    </row>
    <row r="1700" spans="1:2" x14ac:dyDescent="0.35">
      <c r="A1700" s="16" t="s">
        <v>2050</v>
      </c>
      <c r="B1700" s="23">
        <v>16.28</v>
      </c>
    </row>
    <row r="1701" spans="1:2" x14ac:dyDescent="0.35">
      <c r="A1701" s="16" t="s">
        <v>2003</v>
      </c>
      <c r="B1701" s="23">
        <v>0.64</v>
      </c>
    </row>
    <row r="1702" spans="1:2" x14ac:dyDescent="0.35">
      <c r="A1702" s="16" t="s">
        <v>1025</v>
      </c>
      <c r="B1702" s="23">
        <v>27.86</v>
      </c>
    </row>
    <row r="1703" spans="1:2" x14ac:dyDescent="0.35">
      <c r="A1703" s="16" t="s">
        <v>470</v>
      </c>
      <c r="B1703" s="23">
        <v>32.700000000000003</v>
      </c>
    </row>
    <row r="1704" spans="1:2" x14ac:dyDescent="0.35">
      <c r="A1704" s="16" t="s">
        <v>3623</v>
      </c>
      <c r="B1704" s="23">
        <v>119.26</v>
      </c>
    </row>
    <row r="1705" spans="1:2" x14ac:dyDescent="0.35">
      <c r="A1705" s="16" t="s">
        <v>57</v>
      </c>
      <c r="B1705" s="23">
        <v>221.96</v>
      </c>
    </row>
    <row r="1706" spans="1:2" x14ac:dyDescent="0.35">
      <c r="A1706" s="16" t="s">
        <v>3335</v>
      </c>
      <c r="B1706" s="23">
        <v>98.44</v>
      </c>
    </row>
    <row r="1707" spans="1:2" x14ac:dyDescent="0.35">
      <c r="A1707" s="16" t="s">
        <v>1478</v>
      </c>
      <c r="B1707" s="23">
        <v>9.19</v>
      </c>
    </row>
    <row r="1708" spans="1:2" x14ac:dyDescent="0.35">
      <c r="A1708" s="16" t="s">
        <v>1488</v>
      </c>
      <c r="B1708" s="23">
        <v>4.4400000000000004</v>
      </c>
    </row>
    <row r="1709" spans="1:2" x14ac:dyDescent="0.35">
      <c r="A1709" s="16" t="s">
        <v>1941</v>
      </c>
      <c r="B1709" s="23">
        <v>1054.26</v>
      </c>
    </row>
    <row r="1710" spans="1:2" x14ac:dyDescent="0.35">
      <c r="A1710" s="16" t="s">
        <v>590</v>
      </c>
      <c r="B1710" s="23">
        <v>-0.93</v>
      </c>
    </row>
    <row r="1711" spans="1:2" x14ac:dyDescent="0.35">
      <c r="A1711" s="16" t="s">
        <v>1273</v>
      </c>
      <c r="B1711" s="23">
        <v>42.1</v>
      </c>
    </row>
    <row r="1712" spans="1:2" x14ac:dyDescent="0.35">
      <c r="A1712" s="16" t="s">
        <v>2460</v>
      </c>
      <c r="B1712" s="23">
        <v>572.66</v>
      </c>
    </row>
    <row r="1713" spans="1:2" x14ac:dyDescent="0.35">
      <c r="A1713" s="16" t="s">
        <v>3509</v>
      </c>
      <c r="B1713" s="23">
        <v>11.62</v>
      </c>
    </row>
    <row r="1714" spans="1:2" x14ac:dyDescent="0.35">
      <c r="A1714" s="16" t="s">
        <v>200</v>
      </c>
      <c r="B1714" s="23">
        <v>15.52</v>
      </c>
    </row>
    <row r="1715" spans="1:2" x14ac:dyDescent="0.35">
      <c r="A1715" s="16" t="s">
        <v>357</v>
      </c>
      <c r="B1715" s="23">
        <v>90.35</v>
      </c>
    </row>
    <row r="1716" spans="1:2" x14ac:dyDescent="0.35">
      <c r="A1716" s="16" t="s">
        <v>1196</v>
      </c>
      <c r="B1716" s="23">
        <v>11.45</v>
      </c>
    </row>
    <row r="1717" spans="1:2" x14ac:dyDescent="0.35">
      <c r="A1717" s="16" t="s">
        <v>2259</v>
      </c>
      <c r="B1717" s="23">
        <v>2.91</v>
      </c>
    </row>
    <row r="1718" spans="1:2" x14ac:dyDescent="0.35">
      <c r="A1718" s="16" t="s">
        <v>3274</v>
      </c>
      <c r="B1718" s="23">
        <v>32.520000000000003</v>
      </c>
    </row>
    <row r="1719" spans="1:2" x14ac:dyDescent="0.35">
      <c r="A1719" s="16" t="s">
        <v>2328</v>
      </c>
      <c r="B1719" s="23">
        <v>4.9400000000000004</v>
      </c>
    </row>
    <row r="1720" spans="1:2" x14ac:dyDescent="0.35">
      <c r="A1720" s="16" t="s">
        <v>922</v>
      </c>
      <c r="B1720" s="23">
        <v>72.84</v>
      </c>
    </row>
    <row r="1721" spans="1:2" x14ac:dyDescent="0.35">
      <c r="A1721" s="16" t="s">
        <v>102</v>
      </c>
      <c r="B1721" s="23">
        <v>22.77</v>
      </c>
    </row>
    <row r="1722" spans="1:2" x14ac:dyDescent="0.35">
      <c r="A1722" s="16" t="s">
        <v>2040</v>
      </c>
      <c r="B1722" s="23">
        <v>265.18</v>
      </c>
    </row>
    <row r="1723" spans="1:2" x14ac:dyDescent="0.35">
      <c r="A1723" s="16" t="s">
        <v>1387</v>
      </c>
      <c r="B1723" s="23">
        <v>-0.99</v>
      </c>
    </row>
    <row r="1724" spans="1:2" x14ac:dyDescent="0.35">
      <c r="A1724" s="16" t="s">
        <v>3292</v>
      </c>
      <c r="B1724" s="23">
        <v>39.19</v>
      </c>
    </row>
    <row r="1725" spans="1:2" x14ac:dyDescent="0.35">
      <c r="A1725" s="16" t="s">
        <v>2991</v>
      </c>
      <c r="B1725" s="23">
        <v>19.34</v>
      </c>
    </row>
    <row r="1726" spans="1:2" x14ac:dyDescent="0.35">
      <c r="A1726" s="16" t="s">
        <v>130</v>
      </c>
      <c r="B1726" s="23">
        <v>-4.55</v>
      </c>
    </row>
    <row r="1727" spans="1:2" x14ac:dyDescent="0.35">
      <c r="A1727" s="16" t="s">
        <v>1497</v>
      </c>
      <c r="B1727" s="23">
        <v>42.95</v>
      </c>
    </row>
    <row r="1728" spans="1:2" x14ac:dyDescent="0.35">
      <c r="A1728" s="16" t="s">
        <v>2963</v>
      </c>
      <c r="B1728" s="23">
        <v>74.319999999999993</v>
      </c>
    </row>
    <row r="1729" spans="1:2" x14ac:dyDescent="0.35">
      <c r="A1729" s="16" t="s">
        <v>2014</v>
      </c>
      <c r="B1729" s="23">
        <v>2.6</v>
      </c>
    </row>
    <row r="1730" spans="1:2" x14ac:dyDescent="0.35">
      <c r="A1730" s="16" t="s">
        <v>2675</v>
      </c>
      <c r="B1730" s="23">
        <v>253.22</v>
      </c>
    </row>
    <row r="1731" spans="1:2" x14ac:dyDescent="0.35">
      <c r="A1731" s="16" t="s">
        <v>1157</v>
      </c>
      <c r="B1731" s="23">
        <v>17.79</v>
      </c>
    </row>
    <row r="1732" spans="1:2" x14ac:dyDescent="0.35">
      <c r="A1732" s="16" t="s">
        <v>2917</v>
      </c>
      <c r="B1732" s="23">
        <v>266.45999999999998</v>
      </c>
    </row>
    <row r="1733" spans="1:2" x14ac:dyDescent="0.35">
      <c r="A1733" s="16" t="s">
        <v>2558</v>
      </c>
      <c r="B1733" s="23">
        <v>144.28</v>
      </c>
    </row>
    <row r="1734" spans="1:2" x14ac:dyDescent="0.35">
      <c r="A1734" s="16" t="s">
        <v>464</v>
      </c>
      <c r="B1734" s="23">
        <v>239.82</v>
      </c>
    </row>
    <row r="1735" spans="1:2" x14ac:dyDescent="0.35">
      <c r="A1735" s="16" t="s">
        <v>2606</v>
      </c>
      <c r="B1735" s="23">
        <v>4.33</v>
      </c>
    </row>
    <row r="1736" spans="1:2" x14ac:dyDescent="0.35">
      <c r="A1736" s="16" t="s">
        <v>628</v>
      </c>
      <c r="B1736" s="23">
        <v>14.46</v>
      </c>
    </row>
    <row r="1737" spans="1:2" x14ac:dyDescent="0.35">
      <c r="A1737" s="16" t="s">
        <v>1706</v>
      </c>
      <c r="B1737" s="23">
        <v>64.59</v>
      </c>
    </row>
    <row r="1738" spans="1:2" x14ac:dyDescent="0.35">
      <c r="A1738" s="16" t="s">
        <v>1754</v>
      </c>
      <c r="B1738" s="23">
        <v>133.30000000000001</v>
      </c>
    </row>
    <row r="1739" spans="1:2" x14ac:dyDescent="0.35">
      <c r="A1739" s="16" t="s">
        <v>2977</v>
      </c>
      <c r="B1739" s="23">
        <v>186.8</v>
      </c>
    </row>
    <row r="1740" spans="1:2" x14ac:dyDescent="0.35">
      <c r="A1740" s="16" t="s">
        <v>1861</v>
      </c>
      <c r="B1740" s="23">
        <v>97.21</v>
      </c>
    </row>
    <row r="1741" spans="1:2" x14ac:dyDescent="0.35">
      <c r="A1741" s="16" t="s">
        <v>1859</v>
      </c>
      <c r="B1741" s="23">
        <v>66.319999999999993</v>
      </c>
    </row>
    <row r="1742" spans="1:2" x14ac:dyDescent="0.35">
      <c r="A1742" s="16" t="s">
        <v>2233</v>
      </c>
      <c r="B1742" s="23">
        <v>91.69</v>
      </c>
    </row>
    <row r="1743" spans="1:2" x14ac:dyDescent="0.35">
      <c r="A1743" s="16" t="s">
        <v>554</v>
      </c>
      <c r="B1743" s="23">
        <v>6</v>
      </c>
    </row>
    <row r="1744" spans="1:2" x14ac:dyDescent="0.35">
      <c r="A1744" s="16" t="s">
        <v>3452</v>
      </c>
      <c r="B1744" s="23">
        <v>144.65</v>
      </c>
    </row>
    <row r="1745" spans="1:2" x14ac:dyDescent="0.35">
      <c r="A1745" s="16" t="s">
        <v>1558</v>
      </c>
      <c r="B1745" s="23">
        <v>122.32</v>
      </c>
    </row>
    <row r="1746" spans="1:2" x14ac:dyDescent="0.35">
      <c r="A1746" s="16" t="s">
        <v>3436</v>
      </c>
      <c r="B1746" s="23">
        <v>18.739999999999998</v>
      </c>
    </row>
    <row r="1747" spans="1:2" x14ac:dyDescent="0.35">
      <c r="A1747" s="16" t="s">
        <v>2621</v>
      </c>
      <c r="B1747" s="23">
        <v>11.49</v>
      </c>
    </row>
    <row r="1748" spans="1:2" x14ac:dyDescent="0.35">
      <c r="A1748" s="16" t="s">
        <v>1017</v>
      </c>
      <c r="B1748" s="23">
        <v>29.91</v>
      </c>
    </row>
    <row r="1749" spans="1:2" x14ac:dyDescent="0.35">
      <c r="A1749" s="16" t="s">
        <v>44</v>
      </c>
      <c r="B1749" s="23">
        <v>12.7</v>
      </c>
    </row>
    <row r="1750" spans="1:2" x14ac:dyDescent="0.35">
      <c r="A1750" s="16" t="s">
        <v>1885</v>
      </c>
      <c r="B1750" s="23">
        <v>16.79</v>
      </c>
    </row>
    <row r="1751" spans="1:2" x14ac:dyDescent="0.35">
      <c r="A1751" s="16" t="s">
        <v>3287</v>
      </c>
      <c r="B1751" s="23">
        <v>40.18</v>
      </c>
    </row>
    <row r="1752" spans="1:2" x14ac:dyDescent="0.35">
      <c r="A1752" s="16" t="s">
        <v>2213</v>
      </c>
      <c r="B1752" s="23">
        <v>207.76</v>
      </c>
    </row>
    <row r="1753" spans="1:2" x14ac:dyDescent="0.35">
      <c r="A1753" s="16" t="s">
        <v>1854</v>
      </c>
      <c r="B1753" s="23">
        <v>5.03</v>
      </c>
    </row>
    <row r="1754" spans="1:2" x14ac:dyDescent="0.35">
      <c r="A1754" s="16" t="s">
        <v>2029</v>
      </c>
      <c r="B1754" s="23">
        <v>-1.51</v>
      </c>
    </row>
    <row r="1755" spans="1:2" x14ac:dyDescent="0.35">
      <c r="A1755" s="16" t="s">
        <v>3382</v>
      </c>
      <c r="B1755" s="23">
        <v>110.71</v>
      </c>
    </row>
    <row r="1756" spans="1:2" x14ac:dyDescent="0.35">
      <c r="A1756" s="16" t="s">
        <v>3276</v>
      </c>
      <c r="B1756" s="23">
        <v>148.28</v>
      </c>
    </row>
    <row r="1757" spans="1:2" x14ac:dyDescent="0.35">
      <c r="A1757" s="16" t="s">
        <v>2736</v>
      </c>
      <c r="B1757" s="23">
        <v>25.7</v>
      </c>
    </row>
    <row r="1758" spans="1:2" x14ac:dyDescent="0.35">
      <c r="A1758" s="16" t="s">
        <v>2660</v>
      </c>
      <c r="B1758" s="23">
        <v>19.89</v>
      </c>
    </row>
    <row r="1759" spans="1:2" x14ac:dyDescent="0.35">
      <c r="A1759" s="16" t="s">
        <v>2863</v>
      </c>
      <c r="B1759" s="23">
        <v>5.35</v>
      </c>
    </row>
    <row r="1760" spans="1:2" x14ac:dyDescent="0.35">
      <c r="A1760" s="16" t="s">
        <v>2723</v>
      </c>
      <c r="B1760" s="23">
        <v>1.44</v>
      </c>
    </row>
    <row r="1761" spans="1:2" x14ac:dyDescent="0.35">
      <c r="A1761" s="16" t="s">
        <v>2404</v>
      </c>
      <c r="B1761" s="23">
        <v>612.71</v>
      </c>
    </row>
    <row r="1762" spans="1:2" x14ac:dyDescent="0.35">
      <c r="A1762" s="16" t="s">
        <v>1853</v>
      </c>
      <c r="B1762" s="23">
        <v>23.26</v>
      </c>
    </row>
    <row r="1763" spans="1:2" x14ac:dyDescent="0.35">
      <c r="A1763" s="16" t="s">
        <v>188</v>
      </c>
      <c r="B1763" s="23">
        <v>146.54</v>
      </c>
    </row>
    <row r="1764" spans="1:2" x14ac:dyDescent="0.35">
      <c r="A1764" s="16" t="s">
        <v>1182</v>
      </c>
      <c r="B1764" s="23">
        <v>0.18</v>
      </c>
    </row>
    <row r="1765" spans="1:2" x14ac:dyDescent="0.35">
      <c r="A1765" s="16" t="s">
        <v>550</v>
      </c>
      <c r="B1765" s="23">
        <v>7.35</v>
      </c>
    </row>
    <row r="1766" spans="1:2" x14ac:dyDescent="0.35">
      <c r="A1766" s="16" t="s">
        <v>1045</v>
      </c>
      <c r="B1766" s="23">
        <v>74.650000000000006</v>
      </c>
    </row>
    <row r="1767" spans="1:2" x14ac:dyDescent="0.35">
      <c r="A1767" s="16" t="s">
        <v>2504</v>
      </c>
      <c r="B1767" s="23">
        <v>-0.39</v>
      </c>
    </row>
    <row r="1768" spans="1:2" x14ac:dyDescent="0.35">
      <c r="A1768" s="16" t="s">
        <v>1826</v>
      </c>
      <c r="B1768" s="23">
        <v>14.51</v>
      </c>
    </row>
    <row r="1769" spans="1:2" x14ac:dyDescent="0.35">
      <c r="A1769" s="16" t="s">
        <v>392</v>
      </c>
      <c r="B1769" s="23">
        <v>15.28</v>
      </c>
    </row>
    <row r="1770" spans="1:2" x14ac:dyDescent="0.35">
      <c r="A1770" s="16" t="s">
        <v>1644</v>
      </c>
      <c r="B1770" s="23">
        <v>52.64</v>
      </c>
    </row>
    <row r="1771" spans="1:2" x14ac:dyDescent="0.35">
      <c r="A1771" s="16" t="s">
        <v>1912</v>
      </c>
      <c r="B1771" s="23">
        <v>1.74</v>
      </c>
    </row>
    <row r="1772" spans="1:2" x14ac:dyDescent="0.35">
      <c r="A1772" s="16" t="s">
        <v>814</v>
      </c>
      <c r="B1772" s="23">
        <v>1.1499999999999999</v>
      </c>
    </row>
    <row r="1773" spans="1:2" x14ac:dyDescent="0.35">
      <c r="A1773" s="16" t="s">
        <v>1263</v>
      </c>
      <c r="B1773" s="23">
        <v>243.46</v>
      </c>
    </row>
    <row r="1774" spans="1:2" x14ac:dyDescent="0.35">
      <c r="A1774" s="16" t="s">
        <v>666</v>
      </c>
      <c r="B1774" s="23">
        <v>170.35</v>
      </c>
    </row>
    <row r="1775" spans="1:2" x14ac:dyDescent="0.35">
      <c r="A1775" s="16" t="s">
        <v>2841</v>
      </c>
      <c r="B1775" s="23">
        <v>31.27</v>
      </c>
    </row>
    <row r="1776" spans="1:2" x14ac:dyDescent="0.35">
      <c r="A1776" s="16" t="s">
        <v>3413</v>
      </c>
      <c r="B1776" s="23">
        <v>447.81</v>
      </c>
    </row>
    <row r="1777" spans="1:2" x14ac:dyDescent="0.35">
      <c r="A1777" s="16" t="s">
        <v>2234</v>
      </c>
      <c r="B1777" s="23">
        <v>5.24</v>
      </c>
    </row>
    <row r="1778" spans="1:2" x14ac:dyDescent="0.35">
      <c r="A1778" s="16" t="s">
        <v>3064</v>
      </c>
      <c r="B1778" s="23">
        <v>23.53</v>
      </c>
    </row>
    <row r="1779" spans="1:2" x14ac:dyDescent="0.35">
      <c r="A1779" s="16" t="s">
        <v>529</v>
      </c>
      <c r="B1779" s="23">
        <v>153.78</v>
      </c>
    </row>
    <row r="1780" spans="1:2" x14ac:dyDescent="0.35">
      <c r="A1780" s="16" t="s">
        <v>1890</v>
      </c>
      <c r="B1780" s="23">
        <v>-4.53</v>
      </c>
    </row>
    <row r="1781" spans="1:2" x14ac:dyDescent="0.35">
      <c r="A1781" s="16" t="s">
        <v>2439</v>
      </c>
      <c r="B1781" s="23">
        <v>1.3</v>
      </c>
    </row>
    <row r="1782" spans="1:2" x14ac:dyDescent="0.35">
      <c r="A1782" s="16" t="s">
        <v>3550</v>
      </c>
      <c r="B1782" s="23">
        <v>-6.15</v>
      </c>
    </row>
    <row r="1783" spans="1:2" x14ac:dyDescent="0.35">
      <c r="A1783" s="16" t="s">
        <v>918</v>
      </c>
      <c r="B1783" s="23">
        <v>11.55</v>
      </c>
    </row>
    <row r="1784" spans="1:2" x14ac:dyDescent="0.35">
      <c r="A1784" s="16" t="s">
        <v>2132</v>
      </c>
      <c r="B1784" s="23">
        <v>-3.73</v>
      </c>
    </row>
    <row r="1785" spans="1:2" x14ac:dyDescent="0.35">
      <c r="A1785" s="16" t="s">
        <v>1450</v>
      </c>
      <c r="B1785" s="23">
        <v>4.2300000000000004</v>
      </c>
    </row>
    <row r="1786" spans="1:2" x14ac:dyDescent="0.35">
      <c r="A1786" s="16" t="s">
        <v>2253</v>
      </c>
      <c r="B1786" s="23">
        <v>371.23</v>
      </c>
    </row>
    <row r="1787" spans="1:2" x14ac:dyDescent="0.35">
      <c r="A1787" s="16" t="s">
        <v>400</v>
      </c>
      <c r="B1787" s="23">
        <v>15.42</v>
      </c>
    </row>
    <row r="1788" spans="1:2" x14ac:dyDescent="0.35">
      <c r="A1788" s="16" t="s">
        <v>1637</v>
      </c>
      <c r="B1788" s="23">
        <v>14.93</v>
      </c>
    </row>
    <row r="1789" spans="1:2" x14ac:dyDescent="0.35">
      <c r="A1789" s="16" t="s">
        <v>344</v>
      </c>
      <c r="B1789" s="23">
        <v>233.58</v>
      </c>
    </row>
    <row r="1790" spans="1:2" x14ac:dyDescent="0.35">
      <c r="A1790" s="16" t="s">
        <v>3474</v>
      </c>
      <c r="B1790" s="23">
        <v>76.599999999999994</v>
      </c>
    </row>
    <row r="1791" spans="1:2" x14ac:dyDescent="0.35">
      <c r="A1791" s="16" t="s">
        <v>531</v>
      </c>
      <c r="B1791" s="23">
        <v>94.84</v>
      </c>
    </row>
    <row r="1792" spans="1:2" x14ac:dyDescent="0.35">
      <c r="A1792" s="16" t="s">
        <v>1216</v>
      </c>
      <c r="B1792" s="23">
        <v>-2.5499999999999998</v>
      </c>
    </row>
    <row r="1793" spans="1:2" x14ac:dyDescent="0.35">
      <c r="A1793" s="16" t="s">
        <v>2363</v>
      </c>
      <c r="B1793" s="23">
        <v>36.85</v>
      </c>
    </row>
    <row r="1794" spans="1:2" x14ac:dyDescent="0.35">
      <c r="A1794" s="16" t="s">
        <v>1782</v>
      </c>
      <c r="B1794" s="23">
        <v>-4.3600000000000003</v>
      </c>
    </row>
    <row r="1795" spans="1:2" x14ac:dyDescent="0.35">
      <c r="A1795" s="16" t="s">
        <v>2449</v>
      </c>
      <c r="B1795" s="23">
        <v>4.29</v>
      </c>
    </row>
    <row r="1796" spans="1:2" x14ac:dyDescent="0.35">
      <c r="A1796" s="16" t="s">
        <v>1222</v>
      </c>
      <c r="B1796" s="23">
        <v>12.63</v>
      </c>
    </row>
    <row r="1797" spans="1:2" x14ac:dyDescent="0.35">
      <c r="A1797" s="16" t="s">
        <v>3257</v>
      </c>
      <c r="B1797" s="23">
        <v>225.31</v>
      </c>
    </row>
    <row r="1798" spans="1:2" x14ac:dyDescent="0.35">
      <c r="A1798" s="16" t="s">
        <v>971</v>
      </c>
      <c r="B1798" s="23">
        <v>52.57</v>
      </c>
    </row>
    <row r="1799" spans="1:2" x14ac:dyDescent="0.35">
      <c r="A1799" s="16" t="s">
        <v>2652</v>
      </c>
      <c r="B1799" s="23">
        <v>135.52000000000001</v>
      </c>
    </row>
    <row r="1800" spans="1:2" x14ac:dyDescent="0.35">
      <c r="A1800" s="16" t="s">
        <v>2209</v>
      </c>
      <c r="B1800" s="23">
        <v>5.22</v>
      </c>
    </row>
    <row r="1801" spans="1:2" x14ac:dyDescent="0.35">
      <c r="A1801" s="16" t="s">
        <v>1125</v>
      </c>
      <c r="B1801" s="23">
        <v>12.8</v>
      </c>
    </row>
    <row r="1802" spans="1:2" x14ac:dyDescent="0.35">
      <c r="A1802" s="16" t="s">
        <v>2144</v>
      </c>
      <c r="B1802" s="23">
        <v>14.86</v>
      </c>
    </row>
    <row r="1803" spans="1:2" x14ac:dyDescent="0.35">
      <c r="A1803" s="16" t="s">
        <v>2993</v>
      </c>
      <c r="B1803" s="23">
        <v>35.54</v>
      </c>
    </row>
    <row r="1804" spans="1:2" x14ac:dyDescent="0.35">
      <c r="A1804" s="16" t="s">
        <v>2633</v>
      </c>
      <c r="B1804" s="23">
        <v>-2.44</v>
      </c>
    </row>
    <row r="1805" spans="1:2" x14ac:dyDescent="0.35">
      <c r="A1805" s="16" t="s">
        <v>1575</v>
      </c>
      <c r="B1805" s="23">
        <v>44.63</v>
      </c>
    </row>
    <row r="1806" spans="1:2" x14ac:dyDescent="0.35">
      <c r="A1806" s="16" t="s">
        <v>1845</v>
      </c>
      <c r="B1806" s="23">
        <v>3.38</v>
      </c>
    </row>
    <row r="1807" spans="1:2" x14ac:dyDescent="0.35">
      <c r="A1807" s="16" t="s">
        <v>2541</v>
      </c>
      <c r="B1807" s="23">
        <v>5.62</v>
      </c>
    </row>
    <row r="1808" spans="1:2" x14ac:dyDescent="0.35">
      <c r="A1808" s="16" t="s">
        <v>3502</v>
      </c>
      <c r="B1808" s="23">
        <v>-3.93</v>
      </c>
    </row>
    <row r="1809" spans="1:2" x14ac:dyDescent="0.35">
      <c r="A1809" s="16" t="s">
        <v>727</v>
      </c>
      <c r="B1809" s="23">
        <v>678.15</v>
      </c>
    </row>
    <row r="1810" spans="1:2" x14ac:dyDescent="0.35">
      <c r="A1810" s="16" t="s">
        <v>2299</v>
      </c>
      <c r="B1810" s="23">
        <v>24.32</v>
      </c>
    </row>
    <row r="1811" spans="1:2" x14ac:dyDescent="0.35">
      <c r="A1811" s="16" t="s">
        <v>747</v>
      </c>
      <c r="B1811" s="23">
        <v>37.92</v>
      </c>
    </row>
    <row r="1812" spans="1:2" x14ac:dyDescent="0.35">
      <c r="A1812" s="16" t="s">
        <v>1117</v>
      </c>
      <c r="B1812" s="23">
        <v>15.12</v>
      </c>
    </row>
    <row r="1813" spans="1:2" x14ac:dyDescent="0.35">
      <c r="A1813" s="16" t="s">
        <v>456</v>
      </c>
      <c r="B1813" s="23">
        <v>49.84</v>
      </c>
    </row>
    <row r="1814" spans="1:2" x14ac:dyDescent="0.35">
      <c r="A1814" s="16" t="s">
        <v>1301</v>
      </c>
      <c r="B1814" s="23">
        <v>54.52</v>
      </c>
    </row>
    <row r="1815" spans="1:2" x14ac:dyDescent="0.35">
      <c r="A1815" s="16" t="s">
        <v>1107</v>
      </c>
      <c r="B1815" s="23">
        <v>3.33</v>
      </c>
    </row>
    <row r="1816" spans="1:2" x14ac:dyDescent="0.35">
      <c r="A1816" s="16" t="s">
        <v>1004</v>
      </c>
      <c r="B1816" s="23">
        <v>4.1100000000000003</v>
      </c>
    </row>
    <row r="1817" spans="1:2" x14ac:dyDescent="0.35">
      <c r="A1817" s="16" t="s">
        <v>3615</v>
      </c>
      <c r="B1817" s="23">
        <v>43.14</v>
      </c>
    </row>
    <row r="1818" spans="1:2" x14ac:dyDescent="0.35">
      <c r="A1818" s="16" t="s">
        <v>1841</v>
      </c>
      <c r="B1818" s="23">
        <v>179.38</v>
      </c>
    </row>
    <row r="1819" spans="1:2" x14ac:dyDescent="0.35">
      <c r="A1819" s="16" t="s">
        <v>1895</v>
      </c>
      <c r="B1819" s="23">
        <v>-4.17</v>
      </c>
    </row>
    <row r="1820" spans="1:2" x14ac:dyDescent="0.35">
      <c r="A1820" s="16" t="s">
        <v>1752</v>
      </c>
      <c r="B1820" s="23">
        <v>53.84</v>
      </c>
    </row>
    <row r="1821" spans="1:2" x14ac:dyDescent="0.35">
      <c r="A1821" s="16" t="s">
        <v>2645</v>
      </c>
      <c r="B1821" s="23">
        <v>2.81</v>
      </c>
    </row>
    <row r="1822" spans="1:2" x14ac:dyDescent="0.35">
      <c r="A1822" s="16" t="s">
        <v>2856</v>
      </c>
      <c r="B1822" s="23">
        <v>277.64999999999998</v>
      </c>
    </row>
    <row r="1823" spans="1:2" x14ac:dyDescent="0.35">
      <c r="A1823" s="16" t="s">
        <v>2695</v>
      </c>
      <c r="B1823" s="23">
        <v>111.02</v>
      </c>
    </row>
    <row r="1824" spans="1:2" x14ac:dyDescent="0.35">
      <c r="A1824" s="16" t="s">
        <v>2669</v>
      </c>
      <c r="B1824" s="23">
        <v>-3.11</v>
      </c>
    </row>
    <row r="1825" spans="1:2" x14ac:dyDescent="0.35">
      <c r="A1825" s="16" t="s">
        <v>2291</v>
      </c>
      <c r="B1825" s="23">
        <v>49.19</v>
      </c>
    </row>
    <row r="1826" spans="1:2" x14ac:dyDescent="0.35">
      <c r="A1826" s="16" t="s">
        <v>2083</v>
      </c>
      <c r="B1826" s="23">
        <v>7.42</v>
      </c>
    </row>
    <row r="1827" spans="1:2" x14ac:dyDescent="0.35">
      <c r="A1827" s="16" t="s">
        <v>771</v>
      </c>
      <c r="B1827" s="23">
        <v>106.48</v>
      </c>
    </row>
    <row r="1828" spans="1:2" x14ac:dyDescent="0.35">
      <c r="A1828" s="16" t="s">
        <v>1275</v>
      </c>
      <c r="B1828" s="23">
        <v>12.36</v>
      </c>
    </row>
    <row r="1829" spans="1:2" x14ac:dyDescent="0.35">
      <c r="A1829" s="16" t="s">
        <v>2197</v>
      </c>
      <c r="B1829" s="23">
        <v>76.75</v>
      </c>
    </row>
    <row r="1830" spans="1:2" x14ac:dyDescent="0.35">
      <c r="A1830" s="16" t="s">
        <v>1245</v>
      </c>
      <c r="B1830" s="23">
        <v>10.81</v>
      </c>
    </row>
    <row r="1831" spans="1:2" x14ac:dyDescent="0.35">
      <c r="A1831" s="16" t="s">
        <v>136</v>
      </c>
      <c r="B1831" s="23">
        <v>55.56</v>
      </c>
    </row>
    <row r="1832" spans="1:2" x14ac:dyDescent="0.35">
      <c r="A1832" s="16" t="s">
        <v>2814</v>
      </c>
      <c r="B1832" s="23">
        <v>808.35</v>
      </c>
    </row>
    <row r="1833" spans="1:2" x14ac:dyDescent="0.35">
      <c r="A1833" s="16" t="s">
        <v>1366</v>
      </c>
      <c r="B1833" s="23">
        <v>16.3</v>
      </c>
    </row>
    <row r="1834" spans="1:2" x14ac:dyDescent="0.35">
      <c r="A1834" s="16" t="s">
        <v>3262</v>
      </c>
      <c r="B1834" s="23">
        <v>-0.51</v>
      </c>
    </row>
    <row r="1835" spans="1:2" x14ac:dyDescent="0.35">
      <c r="A1835" s="16" t="s">
        <v>3353</v>
      </c>
      <c r="B1835" s="23">
        <v>-6.55</v>
      </c>
    </row>
    <row r="1836" spans="1:2" x14ac:dyDescent="0.35">
      <c r="A1836" s="16" t="s">
        <v>1204</v>
      </c>
      <c r="B1836" s="23">
        <v>-2.83</v>
      </c>
    </row>
    <row r="1837" spans="1:2" x14ac:dyDescent="0.35">
      <c r="A1837" s="16" t="s">
        <v>558</v>
      </c>
      <c r="B1837" s="23">
        <v>21.78</v>
      </c>
    </row>
    <row r="1838" spans="1:2" x14ac:dyDescent="0.35">
      <c r="A1838" s="16" t="s">
        <v>1533</v>
      </c>
      <c r="B1838" s="23">
        <v>153.38</v>
      </c>
    </row>
    <row r="1839" spans="1:2" x14ac:dyDescent="0.35">
      <c r="A1839" s="16" t="s">
        <v>2293</v>
      </c>
      <c r="B1839" s="23">
        <v>33.01</v>
      </c>
    </row>
    <row r="1840" spans="1:2" x14ac:dyDescent="0.35">
      <c r="A1840" s="16" t="s">
        <v>1055</v>
      </c>
      <c r="B1840" s="23">
        <v>22.54</v>
      </c>
    </row>
    <row r="1841" spans="1:2" x14ac:dyDescent="0.35">
      <c r="A1841" s="16" t="s">
        <v>3159</v>
      </c>
      <c r="B1841" s="23">
        <v>99.26</v>
      </c>
    </row>
    <row r="1842" spans="1:2" x14ac:dyDescent="0.35">
      <c r="A1842" s="16" t="s">
        <v>2628</v>
      </c>
      <c r="B1842" s="23">
        <v>19.14</v>
      </c>
    </row>
    <row r="1843" spans="1:2" x14ac:dyDescent="0.35">
      <c r="A1843" s="16" t="s">
        <v>951</v>
      </c>
      <c r="B1843" s="23">
        <v>-4.05</v>
      </c>
    </row>
    <row r="1844" spans="1:2" x14ac:dyDescent="0.35">
      <c r="A1844" s="16" t="s">
        <v>2821</v>
      </c>
      <c r="B1844" s="23">
        <v>1.99</v>
      </c>
    </row>
    <row r="1845" spans="1:2" x14ac:dyDescent="0.35">
      <c r="A1845" s="16" t="s">
        <v>3379</v>
      </c>
      <c r="B1845" s="23">
        <v>-2.71</v>
      </c>
    </row>
    <row r="1846" spans="1:2" x14ac:dyDescent="0.35">
      <c r="A1846" s="16" t="s">
        <v>3530</v>
      </c>
      <c r="B1846" s="23">
        <v>22.14</v>
      </c>
    </row>
    <row r="1847" spans="1:2" x14ac:dyDescent="0.35">
      <c r="A1847" s="16" t="s">
        <v>2978</v>
      </c>
      <c r="B1847" s="23">
        <v>80.06</v>
      </c>
    </row>
    <row r="1848" spans="1:2" x14ac:dyDescent="0.35">
      <c r="A1848" s="16" t="s">
        <v>2678</v>
      </c>
      <c r="B1848" s="23">
        <v>0.09</v>
      </c>
    </row>
    <row r="1849" spans="1:2" x14ac:dyDescent="0.35">
      <c r="A1849" s="16" t="s">
        <v>860</v>
      </c>
      <c r="B1849" s="23">
        <v>104</v>
      </c>
    </row>
    <row r="1850" spans="1:2" x14ac:dyDescent="0.35">
      <c r="A1850" s="16" t="s">
        <v>1303</v>
      </c>
      <c r="B1850" s="23">
        <v>31.11</v>
      </c>
    </row>
    <row r="1851" spans="1:2" x14ac:dyDescent="0.35">
      <c r="A1851" s="16" t="s">
        <v>2800</v>
      </c>
      <c r="B1851" s="23">
        <v>39.75</v>
      </c>
    </row>
    <row r="1852" spans="1:2" x14ac:dyDescent="0.35">
      <c r="A1852" s="16" t="s">
        <v>2000</v>
      </c>
      <c r="B1852" s="23">
        <v>273.18</v>
      </c>
    </row>
    <row r="1853" spans="1:2" x14ac:dyDescent="0.35">
      <c r="A1853" s="16" t="s">
        <v>1916</v>
      </c>
      <c r="B1853" s="23">
        <v>429.59</v>
      </c>
    </row>
    <row r="1854" spans="1:2" x14ac:dyDescent="0.35">
      <c r="A1854" s="16" t="s">
        <v>2260</v>
      </c>
      <c r="B1854" s="23">
        <v>13.87</v>
      </c>
    </row>
    <row r="1855" spans="1:2" x14ac:dyDescent="0.35">
      <c r="A1855" s="16" t="s">
        <v>2535</v>
      </c>
      <c r="B1855" s="23">
        <v>22.73</v>
      </c>
    </row>
    <row r="1856" spans="1:2" x14ac:dyDescent="0.35">
      <c r="A1856" s="16" t="s">
        <v>2341</v>
      </c>
      <c r="B1856" s="23">
        <v>165.83</v>
      </c>
    </row>
    <row r="1857" spans="1:2" x14ac:dyDescent="0.35">
      <c r="A1857" s="16" t="s">
        <v>3121</v>
      </c>
      <c r="B1857" s="23">
        <v>6.82</v>
      </c>
    </row>
    <row r="1858" spans="1:2" x14ac:dyDescent="0.35">
      <c r="A1858" s="16" t="s">
        <v>258</v>
      </c>
      <c r="B1858" s="23">
        <v>50.19</v>
      </c>
    </row>
    <row r="1859" spans="1:2" x14ac:dyDescent="0.35">
      <c r="A1859" s="16" t="s">
        <v>2749</v>
      </c>
      <c r="B1859" s="23">
        <v>1.04</v>
      </c>
    </row>
    <row r="1860" spans="1:2" x14ac:dyDescent="0.35">
      <c r="A1860" s="16" t="s">
        <v>1973</v>
      </c>
      <c r="B1860" s="23">
        <v>212.46</v>
      </c>
    </row>
    <row r="1861" spans="1:2" x14ac:dyDescent="0.35">
      <c r="A1861" s="16" t="s">
        <v>171</v>
      </c>
      <c r="B1861" s="23">
        <v>-4.07</v>
      </c>
    </row>
    <row r="1862" spans="1:2" x14ac:dyDescent="0.35">
      <c r="A1862" s="16" t="s">
        <v>711</v>
      </c>
      <c r="B1862" s="23">
        <v>17.059999999999999</v>
      </c>
    </row>
    <row r="1863" spans="1:2" x14ac:dyDescent="0.35">
      <c r="A1863" s="16" t="s">
        <v>2724</v>
      </c>
      <c r="B1863" s="23">
        <v>30.06</v>
      </c>
    </row>
    <row r="1864" spans="1:2" x14ac:dyDescent="0.35">
      <c r="A1864" s="16" t="s">
        <v>1412</v>
      </c>
      <c r="B1864" s="23">
        <v>55.97</v>
      </c>
    </row>
    <row r="1865" spans="1:2" x14ac:dyDescent="0.35">
      <c r="A1865" s="16" t="s">
        <v>2719</v>
      </c>
      <c r="B1865" s="23">
        <v>-0.04</v>
      </c>
    </row>
    <row r="1866" spans="1:2" x14ac:dyDescent="0.35">
      <c r="A1866" s="16" t="s">
        <v>1247</v>
      </c>
      <c r="B1866" s="23">
        <v>458.48</v>
      </c>
    </row>
    <row r="1867" spans="1:2" x14ac:dyDescent="0.35">
      <c r="A1867" s="16" t="s">
        <v>2281</v>
      </c>
      <c r="B1867" s="23">
        <v>0.03</v>
      </c>
    </row>
    <row r="1868" spans="1:2" x14ac:dyDescent="0.35">
      <c r="A1868" s="16" t="s">
        <v>3052</v>
      </c>
      <c r="B1868" s="23">
        <v>3.89</v>
      </c>
    </row>
    <row r="1869" spans="1:2" x14ac:dyDescent="0.35">
      <c r="A1869" s="16" t="s">
        <v>2533</v>
      </c>
      <c r="B1869" s="23">
        <v>-7.94</v>
      </c>
    </row>
    <row r="1870" spans="1:2" x14ac:dyDescent="0.35">
      <c r="A1870" s="16" t="s">
        <v>943</v>
      </c>
      <c r="B1870" s="23">
        <v>11.77</v>
      </c>
    </row>
    <row r="1871" spans="1:2" x14ac:dyDescent="0.35">
      <c r="A1871" s="16" t="s">
        <v>434</v>
      </c>
      <c r="B1871" s="23">
        <v>40.28</v>
      </c>
    </row>
    <row r="1872" spans="1:2" x14ac:dyDescent="0.35">
      <c r="A1872" s="16" t="s">
        <v>2430</v>
      </c>
      <c r="B1872" s="23">
        <v>236.87</v>
      </c>
    </row>
    <row r="1873" spans="1:2" x14ac:dyDescent="0.35">
      <c r="A1873" s="16" t="s">
        <v>2180</v>
      </c>
      <c r="B1873" s="23">
        <v>38.15</v>
      </c>
    </row>
    <row r="1874" spans="1:2" x14ac:dyDescent="0.35">
      <c r="A1874" s="16" t="s">
        <v>1699</v>
      </c>
      <c r="B1874" s="23">
        <v>33.450000000000003</v>
      </c>
    </row>
    <row r="1875" spans="1:2" x14ac:dyDescent="0.35">
      <c r="A1875" s="16" t="s">
        <v>3060</v>
      </c>
      <c r="B1875" s="23">
        <v>186.05</v>
      </c>
    </row>
    <row r="1876" spans="1:2" x14ac:dyDescent="0.35">
      <c r="A1876" s="16" t="s">
        <v>2895</v>
      </c>
      <c r="B1876" s="23">
        <v>-9.17</v>
      </c>
    </row>
    <row r="1877" spans="1:2" x14ac:dyDescent="0.35">
      <c r="A1877" s="16" t="s">
        <v>2279</v>
      </c>
      <c r="B1877" s="23">
        <v>67.47</v>
      </c>
    </row>
    <row r="1878" spans="1:2" x14ac:dyDescent="0.35">
      <c r="A1878" s="16" t="s">
        <v>3035</v>
      </c>
      <c r="B1878" s="23">
        <v>15.43</v>
      </c>
    </row>
    <row r="1879" spans="1:2" x14ac:dyDescent="0.35">
      <c r="A1879" s="16" t="s">
        <v>2623</v>
      </c>
      <c r="B1879" s="23">
        <v>40.479999999999997</v>
      </c>
    </row>
    <row r="1880" spans="1:2" x14ac:dyDescent="0.35">
      <c r="A1880" s="16" t="s">
        <v>1765</v>
      </c>
      <c r="B1880" s="23">
        <v>5.81</v>
      </c>
    </row>
    <row r="1881" spans="1:2" x14ac:dyDescent="0.35">
      <c r="A1881" s="16" t="s">
        <v>3006</v>
      </c>
      <c r="B1881" s="23">
        <v>52.84</v>
      </c>
    </row>
    <row r="1882" spans="1:2" x14ac:dyDescent="0.35">
      <c r="A1882" s="16" t="s">
        <v>2832</v>
      </c>
      <c r="B1882" s="23">
        <v>244.38</v>
      </c>
    </row>
    <row r="1883" spans="1:2" x14ac:dyDescent="0.35">
      <c r="A1883" s="16" t="s">
        <v>2502</v>
      </c>
      <c r="B1883" s="23">
        <v>4.7699999999999996</v>
      </c>
    </row>
    <row r="1884" spans="1:2" x14ac:dyDescent="0.35">
      <c r="A1884" s="16" t="s">
        <v>2236</v>
      </c>
      <c r="B1884" s="23">
        <v>150.47</v>
      </c>
    </row>
    <row r="1885" spans="1:2" x14ac:dyDescent="0.35">
      <c r="A1885" s="16" t="s">
        <v>1867</v>
      </c>
      <c r="B1885" s="23">
        <v>29.18</v>
      </c>
    </row>
    <row r="1886" spans="1:2" x14ac:dyDescent="0.35">
      <c r="A1886" s="16" t="s">
        <v>2223</v>
      </c>
      <c r="B1886" s="23">
        <v>196.06</v>
      </c>
    </row>
    <row r="1887" spans="1:2" x14ac:dyDescent="0.35">
      <c r="A1887" s="16" t="s">
        <v>979</v>
      </c>
      <c r="B1887" s="23">
        <v>-2.4900000000000002</v>
      </c>
    </row>
    <row r="1888" spans="1:2" x14ac:dyDescent="0.35">
      <c r="A1888" s="16" t="s">
        <v>1088</v>
      </c>
      <c r="B1888" s="23">
        <v>4.17</v>
      </c>
    </row>
    <row r="1889" spans="1:2" x14ac:dyDescent="0.35">
      <c r="A1889" s="16" t="s">
        <v>87</v>
      </c>
      <c r="B1889" s="23">
        <v>254.21</v>
      </c>
    </row>
    <row r="1890" spans="1:2" x14ac:dyDescent="0.35">
      <c r="A1890" s="16" t="s">
        <v>1662</v>
      </c>
      <c r="B1890" s="23">
        <v>-2.11</v>
      </c>
    </row>
    <row r="1891" spans="1:2" x14ac:dyDescent="0.35">
      <c r="A1891" s="16" t="s">
        <v>476</v>
      </c>
      <c r="B1891" s="23">
        <v>69.84</v>
      </c>
    </row>
    <row r="1892" spans="1:2" x14ac:dyDescent="0.35">
      <c r="A1892" s="16" t="s">
        <v>3525</v>
      </c>
      <c r="B1892" s="23">
        <v>533.66</v>
      </c>
    </row>
    <row r="1893" spans="1:2" x14ac:dyDescent="0.35">
      <c r="A1893" s="16" t="s">
        <v>982</v>
      </c>
      <c r="B1893" s="23">
        <v>143.04</v>
      </c>
    </row>
    <row r="1894" spans="1:2" x14ac:dyDescent="0.35">
      <c r="A1894" s="16" t="s">
        <v>1276</v>
      </c>
      <c r="B1894" s="23">
        <v>15.38</v>
      </c>
    </row>
    <row r="1895" spans="1:2" x14ac:dyDescent="0.35">
      <c r="A1895" s="16" t="s">
        <v>2016</v>
      </c>
      <c r="B1895" s="23">
        <v>41.86</v>
      </c>
    </row>
    <row r="1896" spans="1:2" x14ac:dyDescent="0.35">
      <c r="A1896" s="16" t="s">
        <v>2581</v>
      </c>
      <c r="B1896" s="23">
        <v>21.45</v>
      </c>
    </row>
    <row r="1897" spans="1:2" x14ac:dyDescent="0.35">
      <c r="A1897" s="16" t="s">
        <v>3227</v>
      </c>
      <c r="B1897" s="23">
        <v>152.09</v>
      </c>
    </row>
    <row r="1898" spans="1:2" x14ac:dyDescent="0.35">
      <c r="A1898" s="16" t="s">
        <v>501</v>
      </c>
      <c r="B1898" s="23">
        <v>29.03</v>
      </c>
    </row>
    <row r="1899" spans="1:2" x14ac:dyDescent="0.35">
      <c r="A1899" s="16" t="s">
        <v>3496</v>
      </c>
      <c r="B1899" s="23">
        <v>-4.4000000000000004</v>
      </c>
    </row>
    <row r="1900" spans="1:2" x14ac:dyDescent="0.35">
      <c r="A1900" s="16" t="s">
        <v>2635</v>
      </c>
      <c r="B1900" s="23">
        <v>3.14</v>
      </c>
    </row>
    <row r="1901" spans="1:2" x14ac:dyDescent="0.35">
      <c r="A1901" s="16" t="s">
        <v>3570</v>
      </c>
      <c r="B1901" s="23">
        <v>-1.1000000000000001</v>
      </c>
    </row>
    <row r="1902" spans="1:2" x14ac:dyDescent="0.35">
      <c r="A1902" s="16" t="s">
        <v>3200</v>
      </c>
      <c r="B1902" s="23">
        <v>37.74</v>
      </c>
    </row>
    <row r="1903" spans="1:2" x14ac:dyDescent="0.35">
      <c r="A1903" s="16" t="s">
        <v>282</v>
      </c>
      <c r="B1903" s="23">
        <v>14.73</v>
      </c>
    </row>
    <row r="1904" spans="1:2" x14ac:dyDescent="0.35">
      <c r="A1904" s="16" t="s">
        <v>2551</v>
      </c>
      <c r="B1904" s="23">
        <v>152.66</v>
      </c>
    </row>
    <row r="1905" spans="1:2" x14ac:dyDescent="0.35">
      <c r="A1905" s="16" t="s">
        <v>2385</v>
      </c>
      <c r="B1905" s="23">
        <v>9.82</v>
      </c>
    </row>
    <row r="1906" spans="1:2" x14ac:dyDescent="0.35">
      <c r="A1906" s="16" t="s">
        <v>1172</v>
      </c>
      <c r="B1906" s="23">
        <v>13.24</v>
      </c>
    </row>
    <row r="1907" spans="1:2" x14ac:dyDescent="0.35">
      <c r="A1907" s="16" t="s">
        <v>1249</v>
      </c>
      <c r="B1907" s="23">
        <v>33.799999999999997</v>
      </c>
    </row>
    <row r="1908" spans="1:2" x14ac:dyDescent="0.35">
      <c r="A1908" s="16" t="s">
        <v>3208</v>
      </c>
      <c r="B1908" s="23">
        <v>374.8</v>
      </c>
    </row>
    <row r="1909" spans="1:2" x14ac:dyDescent="0.35">
      <c r="A1909" s="16" t="s">
        <v>935</v>
      </c>
      <c r="B1909" s="23">
        <v>1.62</v>
      </c>
    </row>
    <row r="1910" spans="1:2" x14ac:dyDescent="0.35">
      <c r="A1910" s="16" t="s">
        <v>3054</v>
      </c>
      <c r="B1910" s="23">
        <v>27.69</v>
      </c>
    </row>
    <row r="1911" spans="1:2" x14ac:dyDescent="0.35">
      <c r="A1911" s="16" t="s">
        <v>2480</v>
      </c>
      <c r="B1911" s="23">
        <v>10.220000000000001</v>
      </c>
    </row>
    <row r="1912" spans="1:2" x14ac:dyDescent="0.35">
      <c r="A1912" s="16" t="s">
        <v>828</v>
      </c>
      <c r="B1912" s="23">
        <v>102.62</v>
      </c>
    </row>
    <row r="1913" spans="1:2" x14ac:dyDescent="0.35">
      <c r="A1913" s="16" t="s">
        <v>1238</v>
      </c>
      <c r="B1913" s="23">
        <v>209.43</v>
      </c>
    </row>
    <row r="1914" spans="1:2" x14ac:dyDescent="0.35">
      <c r="A1914" s="16" t="s">
        <v>984</v>
      </c>
      <c r="B1914" s="23">
        <v>1.62</v>
      </c>
    </row>
    <row r="1915" spans="1:2" x14ac:dyDescent="0.35">
      <c r="A1915" s="16" t="s">
        <v>438</v>
      </c>
      <c r="B1915" s="23">
        <v>12.3</v>
      </c>
    </row>
    <row r="1916" spans="1:2" x14ac:dyDescent="0.35">
      <c r="A1916" s="16" t="s">
        <v>2882</v>
      </c>
      <c r="B1916" s="23">
        <v>18.79</v>
      </c>
    </row>
    <row r="1917" spans="1:2" x14ac:dyDescent="0.35">
      <c r="A1917" s="16" t="s">
        <v>1585</v>
      </c>
      <c r="B1917" s="23">
        <v>230.55</v>
      </c>
    </row>
    <row r="1918" spans="1:2" x14ac:dyDescent="0.35">
      <c r="A1918" s="16" t="s">
        <v>3429</v>
      </c>
      <c r="B1918" s="23">
        <v>133.53</v>
      </c>
    </row>
    <row r="1919" spans="1:2" x14ac:dyDescent="0.35">
      <c r="A1919" s="16" t="s">
        <v>2918</v>
      </c>
      <c r="B1919" s="23">
        <v>12.53</v>
      </c>
    </row>
    <row r="1920" spans="1:2" x14ac:dyDescent="0.35">
      <c r="A1920" s="16" t="s">
        <v>351</v>
      </c>
      <c r="B1920" s="23">
        <v>-0.3</v>
      </c>
    </row>
    <row r="1921" spans="1:2" x14ac:dyDescent="0.35">
      <c r="A1921" s="16" t="s">
        <v>1984</v>
      </c>
      <c r="B1921" s="23">
        <v>4.67</v>
      </c>
    </row>
    <row r="1922" spans="1:2" x14ac:dyDescent="0.35">
      <c r="A1922" s="16" t="s">
        <v>2636</v>
      </c>
      <c r="B1922" s="23">
        <v>-1.83</v>
      </c>
    </row>
    <row r="1923" spans="1:2" x14ac:dyDescent="0.35">
      <c r="A1923" s="16" t="s">
        <v>2182</v>
      </c>
      <c r="B1923" s="23">
        <v>0.85</v>
      </c>
    </row>
    <row r="1924" spans="1:2" x14ac:dyDescent="0.35">
      <c r="A1924" s="16" t="s">
        <v>440</v>
      </c>
      <c r="B1924" s="23">
        <v>-8.7799999999999994</v>
      </c>
    </row>
    <row r="1925" spans="1:2" x14ac:dyDescent="0.35">
      <c r="A1925" s="16" t="s">
        <v>249</v>
      </c>
      <c r="B1925" s="23">
        <v>90.39</v>
      </c>
    </row>
    <row r="1926" spans="1:2" x14ac:dyDescent="0.35">
      <c r="A1926" s="16" t="s">
        <v>3151</v>
      </c>
      <c r="B1926" s="23">
        <v>2.77</v>
      </c>
    </row>
    <row r="1927" spans="1:2" x14ac:dyDescent="0.35">
      <c r="A1927" s="16" t="s">
        <v>1760</v>
      </c>
      <c r="B1927" s="23">
        <v>58.65</v>
      </c>
    </row>
    <row r="1928" spans="1:2" x14ac:dyDescent="0.35">
      <c r="A1928" s="16" t="s">
        <v>2174</v>
      </c>
      <c r="B1928" s="23">
        <v>41.4</v>
      </c>
    </row>
    <row r="1929" spans="1:2" x14ac:dyDescent="0.35">
      <c r="A1929" s="16" t="s">
        <v>3460</v>
      </c>
      <c r="B1929" s="23">
        <v>72.680000000000007</v>
      </c>
    </row>
    <row r="1930" spans="1:2" x14ac:dyDescent="0.35">
      <c r="A1930" s="16" t="s">
        <v>3531</v>
      </c>
      <c r="B1930" s="23">
        <v>-0.55000000000000004</v>
      </c>
    </row>
    <row r="1931" spans="1:2" x14ac:dyDescent="0.35">
      <c r="A1931" s="16" t="s">
        <v>1467</v>
      </c>
      <c r="B1931" s="23">
        <v>226.57</v>
      </c>
    </row>
    <row r="1932" spans="1:2" x14ac:dyDescent="0.35">
      <c r="A1932" s="16" t="s">
        <v>816</v>
      </c>
      <c r="B1932" s="23">
        <v>78.48</v>
      </c>
    </row>
    <row r="1933" spans="1:2" x14ac:dyDescent="0.35">
      <c r="A1933" s="16" t="s">
        <v>2582</v>
      </c>
      <c r="B1933" s="23">
        <v>-4.47</v>
      </c>
    </row>
    <row r="1934" spans="1:2" x14ac:dyDescent="0.35">
      <c r="A1934" s="16" t="s">
        <v>3266</v>
      </c>
      <c r="B1934" s="23">
        <v>20.21</v>
      </c>
    </row>
    <row r="1935" spans="1:2" x14ac:dyDescent="0.35">
      <c r="A1935" s="16" t="s">
        <v>632</v>
      </c>
      <c r="B1935" s="23">
        <v>-5.55</v>
      </c>
    </row>
    <row r="1936" spans="1:2" x14ac:dyDescent="0.35">
      <c r="A1936" s="16" t="s">
        <v>3544</v>
      </c>
      <c r="B1936" s="23">
        <v>15.21</v>
      </c>
    </row>
    <row r="1937" spans="1:2" x14ac:dyDescent="0.35">
      <c r="A1937" s="16" t="s">
        <v>777</v>
      </c>
      <c r="B1937" s="23">
        <v>-1.44</v>
      </c>
    </row>
    <row r="1938" spans="1:2" x14ac:dyDescent="0.35">
      <c r="A1938" s="16" t="s">
        <v>2743</v>
      </c>
      <c r="B1938" s="23">
        <v>48.57</v>
      </c>
    </row>
    <row r="1939" spans="1:2" x14ac:dyDescent="0.35">
      <c r="A1939" s="16" t="s">
        <v>1305</v>
      </c>
      <c r="B1939" s="23">
        <v>172.96</v>
      </c>
    </row>
    <row r="1940" spans="1:2" x14ac:dyDescent="0.35">
      <c r="A1940" s="16" t="s">
        <v>3093</v>
      </c>
      <c r="B1940" s="23">
        <v>746.09</v>
      </c>
    </row>
    <row r="1941" spans="1:2" x14ac:dyDescent="0.35">
      <c r="A1941" s="16" t="s">
        <v>2158</v>
      </c>
      <c r="B1941" s="23">
        <v>22.56</v>
      </c>
    </row>
    <row r="1942" spans="1:2" x14ac:dyDescent="0.35">
      <c r="A1942" s="16" t="s">
        <v>2134</v>
      </c>
      <c r="B1942" s="23">
        <v>27.3</v>
      </c>
    </row>
    <row r="1943" spans="1:2" x14ac:dyDescent="0.35">
      <c r="A1943" s="16" t="s">
        <v>3442</v>
      </c>
      <c r="B1943" s="23">
        <v>211.02</v>
      </c>
    </row>
    <row r="1944" spans="1:2" x14ac:dyDescent="0.35">
      <c r="A1944" s="16" t="s">
        <v>1572</v>
      </c>
      <c r="B1944" s="23">
        <v>12.56</v>
      </c>
    </row>
    <row r="1945" spans="1:2" x14ac:dyDescent="0.35">
      <c r="A1945" s="16" t="s">
        <v>2054</v>
      </c>
      <c r="B1945" s="23">
        <v>95.8</v>
      </c>
    </row>
    <row r="1946" spans="1:2" x14ac:dyDescent="0.35">
      <c r="A1946" s="16" t="s">
        <v>2400</v>
      </c>
      <c r="B1946" s="23">
        <v>125.84</v>
      </c>
    </row>
    <row r="1947" spans="1:2" x14ac:dyDescent="0.35">
      <c r="A1947" s="16" t="s">
        <v>1255</v>
      </c>
      <c r="B1947" s="23">
        <v>-2.59</v>
      </c>
    </row>
    <row r="1948" spans="1:2" x14ac:dyDescent="0.35">
      <c r="A1948" s="16" t="s">
        <v>3326</v>
      </c>
      <c r="B1948" s="23">
        <v>51.88</v>
      </c>
    </row>
    <row r="1949" spans="1:2" x14ac:dyDescent="0.35">
      <c r="A1949" s="16" t="s">
        <v>1083</v>
      </c>
      <c r="B1949" s="23">
        <v>1.0900000000000001</v>
      </c>
    </row>
    <row r="1950" spans="1:2" x14ac:dyDescent="0.35">
      <c r="A1950" s="16" t="s">
        <v>2195</v>
      </c>
      <c r="B1950" s="23">
        <v>46.72</v>
      </c>
    </row>
    <row r="1951" spans="1:2" x14ac:dyDescent="0.35">
      <c r="A1951" s="16" t="s">
        <v>2494</v>
      </c>
      <c r="B1951" s="23">
        <v>-4.33</v>
      </c>
    </row>
    <row r="1952" spans="1:2" x14ac:dyDescent="0.35">
      <c r="A1952" s="16" t="s">
        <v>1159</v>
      </c>
      <c r="B1952" s="23">
        <v>22.61</v>
      </c>
    </row>
    <row r="1953" spans="1:2" x14ac:dyDescent="0.35">
      <c r="A1953" s="16" t="s">
        <v>2477</v>
      </c>
      <c r="B1953" s="23">
        <v>9.9700000000000006</v>
      </c>
    </row>
    <row r="1954" spans="1:2" x14ac:dyDescent="0.35">
      <c r="A1954" s="16" t="s">
        <v>2146</v>
      </c>
      <c r="B1954" s="23">
        <v>22.29</v>
      </c>
    </row>
    <row r="1955" spans="1:2" x14ac:dyDescent="0.35">
      <c r="A1955" s="16" t="s">
        <v>2849</v>
      </c>
      <c r="B1955" s="23">
        <v>37.99</v>
      </c>
    </row>
    <row r="1956" spans="1:2" x14ac:dyDescent="0.35">
      <c r="A1956" s="16" t="s">
        <v>1280</v>
      </c>
      <c r="B1956" s="23">
        <v>-6.94</v>
      </c>
    </row>
    <row r="1957" spans="1:2" x14ac:dyDescent="0.35">
      <c r="A1957" s="16" t="s">
        <v>2929</v>
      </c>
      <c r="B1957" s="23">
        <v>0.75</v>
      </c>
    </row>
    <row r="1958" spans="1:2" x14ac:dyDescent="0.35">
      <c r="A1958" s="16" t="s">
        <v>2190</v>
      </c>
      <c r="B1958" s="23">
        <v>78.64</v>
      </c>
    </row>
    <row r="1959" spans="1:2" x14ac:dyDescent="0.35">
      <c r="A1959" s="16" t="s">
        <v>1562</v>
      </c>
      <c r="B1959" s="23">
        <v>237.16</v>
      </c>
    </row>
    <row r="1960" spans="1:2" x14ac:dyDescent="0.35">
      <c r="A1960" s="16" t="s">
        <v>2584</v>
      </c>
      <c r="B1960" s="23">
        <v>240.88</v>
      </c>
    </row>
    <row r="1961" spans="1:2" x14ac:dyDescent="0.35">
      <c r="A1961" s="16" t="s">
        <v>3037</v>
      </c>
      <c r="B1961" s="23">
        <v>35.380000000000003</v>
      </c>
    </row>
    <row r="1962" spans="1:2" x14ac:dyDescent="0.35">
      <c r="A1962" s="16" t="s">
        <v>2094</v>
      </c>
      <c r="B1962" s="23">
        <v>92.03</v>
      </c>
    </row>
    <row r="1963" spans="1:2" x14ac:dyDescent="0.35">
      <c r="A1963" s="16" t="s">
        <v>824</v>
      </c>
      <c r="B1963" s="23">
        <v>58.42</v>
      </c>
    </row>
    <row r="1964" spans="1:2" x14ac:dyDescent="0.35">
      <c r="A1964" s="16" t="s">
        <v>1560</v>
      </c>
      <c r="B1964" s="23">
        <v>124.75</v>
      </c>
    </row>
    <row r="1965" spans="1:2" x14ac:dyDescent="0.35">
      <c r="A1965" s="16" t="s">
        <v>578</v>
      </c>
      <c r="B1965" s="23">
        <v>-1.76</v>
      </c>
    </row>
    <row r="1966" spans="1:2" x14ac:dyDescent="0.35">
      <c r="A1966" s="16" t="s">
        <v>3047</v>
      </c>
      <c r="B1966" s="23">
        <v>24.01</v>
      </c>
    </row>
    <row r="1967" spans="1:2" x14ac:dyDescent="0.35">
      <c r="A1967" s="16" t="s">
        <v>1308</v>
      </c>
      <c r="B1967" s="23">
        <v>30.56</v>
      </c>
    </row>
    <row r="1968" spans="1:2" x14ac:dyDescent="0.35">
      <c r="A1968" s="16" t="s">
        <v>2237</v>
      </c>
      <c r="B1968" s="23">
        <v>105.76</v>
      </c>
    </row>
    <row r="1969" spans="1:2" x14ac:dyDescent="0.35">
      <c r="A1969" s="16" t="s">
        <v>2089</v>
      </c>
      <c r="B1969" s="23">
        <v>-2.54</v>
      </c>
    </row>
    <row r="1970" spans="1:2" x14ac:dyDescent="0.35">
      <c r="A1970" s="16" t="s">
        <v>1333</v>
      </c>
      <c r="B1970" s="23">
        <v>4.7</v>
      </c>
    </row>
    <row r="1971" spans="1:2" x14ac:dyDescent="0.35">
      <c r="A1971" s="16" t="s">
        <v>1310</v>
      </c>
      <c r="B1971" s="23">
        <v>147.97999999999999</v>
      </c>
    </row>
    <row r="1972" spans="1:2" x14ac:dyDescent="0.35">
      <c r="A1972" s="16" t="s">
        <v>1597</v>
      </c>
      <c r="B1972" s="23">
        <v>216.3</v>
      </c>
    </row>
    <row r="1973" spans="1:2" x14ac:dyDescent="0.35">
      <c r="A1973" s="16" t="s">
        <v>3467</v>
      </c>
      <c r="B1973" s="23">
        <v>2.12</v>
      </c>
    </row>
    <row r="1974" spans="1:2" x14ac:dyDescent="0.35">
      <c r="A1974" s="16" t="s">
        <v>3220</v>
      </c>
      <c r="B1974" s="23">
        <v>1.04</v>
      </c>
    </row>
    <row r="1975" spans="1:2" x14ac:dyDescent="0.35">
      <c r="A1975" s="16" t="s">
        <v>3425</v>
      </c>
      <c r="B1975" s="23">
        <v>114.96</v>
      </c>
    </row>
    <row r="1976" spans="1:2" x14ac:dyDescent="0.35">
      <c r="A1976" s="16" t="s">
        <v>2441</v>
      </c>
      <c r="B1976" s="23">
        <v>217.09</v>
      </c>
    </row>
    <row r="1977" spans="1:2" x14ac:dyDescent="0.35">
      <c r="A1977" s="16" t="s">
        <v>1101</v>
      </c>
      <c r="B1977" s="23">
        <v>24.61</v>
      </c>
    </row>
    <row r="1978" spans="1:2" x14ac:dyDescent="0.35">
      <c r="A1978" s="16" t="s">
        <v>3359</v>
      </c>
      <c r="B1978" s="23">
        <v>68.849999999999994</v>
      </c>
    </row>
    <row r="1979" spans="1:2" x14ac:dyDescent="0.35">
      <c r="A1979" s="16" t="s">
        <v>2036</v>
      </c>
      <c r="B1979" s="23">
        <v>6.37</v>
      </c>
    </row>
    <row r="1980" spans="1:2" x14ac:dyDescent="0.35">
      <c r="A1980" s="16" t="s">
        <v>3143</v>
      </c>
      <c r="B1980" s="23">
        <v>71.069999999999993</v>
      </c>
    </row>
    <row r="1981" spans="1:2" x14ac:dyDescent="0.35">
      <c r="A1981" s="16" t="s">
        <v>2907</v>
      </c>
      <c r="B1981" s="23">
        <v>4.12</v>
      </c>
    </row>
    <row r="1982" spans="1:2" x14ac:dyDescent="0.35">
      <c r="A1982" s="16" t="s">
        <v>1577</v>
      </c>
      <c r="B1982" s="23">
        <v>-6.7</v>
      </c>
    </row>
    <row r="1983" spans="1:2" x14ac:dyDescent="0.35">
      <c r="A1983" s="16" t="s">
        <v>2443</v>
      </c>
      <c r="B1983" s="23">
        <v>-6.54</v>
      </c>
    </row>
    <row r="1984" spans="1:2" x14ac:dyDescent="0.35">
      <c r="A1984" s="16" t="s">
        <v>1599</v>
      </c>
      <c r="B1984" s="23">
        <v>72.02</v>
      </c>
    </row>
    <row r="1985" spans="1:2" x14ac:dyDescent="0.35">
      <c r="A1985" s="16" t="s">
        <v>1990</v>
      </c>
      <c r="B1985" s="23">
        <v>10.5</v>
      </c>
    </row>
    <row r="1986" spans="1:2" x14ac:dyDescent="0.35">
      <c r="A1986" s="16" t="s">
        <v>3077</v>
      </c>
      <c r="B1986" s="23">
        <v>142.03</v>
      </c>
    </row>
    <row r="1987" spans="1:2" x14ac:dyDescent="0.35">
      <c r="A1987" s="16" t="s">
        <v>3333</v>
      </c>
      <c r="B1987" s="23">
        <v>73.66</v>
      </c>
    </row>
    <row r="1988" spans="1:2" x14ac:dyDescent="0.35">
      <c r="A1988" s="16" t="s">
        <v>2980</v>
      </c>
      <c r="B1988" s="23">
        <v>89.06</v>
      </c>
    </row>
    <row r="1989" spans="1:2" x14ac:dyDescent="0.35">
      <c r="A1989" s="16" t="s">
        <v>1306</v>
      </c>
      <c r="B1989" s="23">
        <v>11.78</v>
      </c>
    </row>
    <row r="1990" spans="1:2" x14ac:dyDescent="0.35">
      <c r="A1990" s="16" t="s">
        <v>3444</v>
      </c>
      <c r="B1990" s="23">
        <v>5.65</v>
      </c>
    </row>
    <row r="1991" spans="1:2" x14ac:dyDescent="0.35">
      <c r="A1991" s="16" t="s">
        <v>424</v>
      </c>
      <c r="B1991" s="23">
        <v>47.64</v>
      </c>
    </row>
    <row r="1992" spans="1:2" x14ac:dyDescent="0.35">
      <c r="A1992" s="16" t="s">
        <v>2908</v>
      </c>
      <c r="B1992" s="23">
        <v>11.72</v>
      </c>
    </row>
    <row r="1993" spans="1:2" x14ac:dyDescent="0.35">
      <c r="A1993" s="16" t="s">
        <v>3236</v>
      </c>
      <c r="B1993" s="23">
        <v>-2.86</v>
      </c>
    </row>
    <row r="1994" spans="1:2" x14ac:dyDescent="0.35">
      <c r="A1994" s="16" t="s">
        <v>967</v>
      </c>
      <c r="B1994" s="23">
        <v>42.69</v>
      </c>
    </row>
    <row r="1995" spans="1:2" x14ac:dyDescent="0.35">
      <c r="A1995" s="16" t="s">
        <v>1414</v>
      </c>
      <c r="B1995" s="23">
        <v>74.67</v>
      </c>
    </row>
    <row r="1996" spans="1:2" x14ac:dyDescent="0.35">
      <c r="A1996" s="16" t="s">
        <v>1399</v>
      </c>
      <c r="B1996" s="23">
        <v>220.95</v>
      </c>
    </row>
    <row r="1997" spans="1:2" x14ac:dyDescent="0.35">
      <c r="A1997" s="16" t="s">
        <v>2255</v>
      </c>
      <c r="B1997" s="23">
        <v>81.819999999999993</v>
      </c>
    </row>
    <row r="1998" spans="1:2" x14ac:dyDescent="0.35">
      <c r="A1998" s="16" t="s">
        <v>418</v>
      </c>
      <c r="B1998" s="23">
        <v>-2.21</v>
      </c>
    </row>
    <row r="1999" spans="1:2" x14ac:dyDescent="0.35">
      <c r="A1999" s="16" t="s">
        <v>1372</v>
      </c>
      <c r="B1999" s="23">
        <v>5.27</v>
      </c>
    </row>
    <row r="2000" spans="1:2" x14ac:dyDescent="0.35">
      <c r="A2000" s="16" t="s">
        <v>1568</v>
      </c>
      <c r="B2000" s="23">
        <v>212.74</v>
      </c>
    </row>
    <row r="2001" spans="1:2" x14ac:dyDescent="0.35">
      <c r="A2001" s="16" t="s">
        <v>1327</v>
      </c>
      <c r="B2001" s="23">
        <v>-8.6</v>
      </c>
    </row>
    <row r="2002" spans="1:2" x14ac:dyDescent="0.35">
      <c r="A2002" s="16" t="s">
        <v>1701</v>
      </c>
      <c r="B2002" s="23">
        <v>15.58</v>
      </c>
    </row>
    <row r="2003" spans="1:2" x14ac:dyDescent="0.35">
      <c r="A2003" s="16" t="s">
        <v>1191</v>
      </c>
      <c r="B2003" s="23">
        <v>-5.48</v>
      </c>
    </row>
    <row r="2004" spans="1:2" x14ac:dyDescent="0.35">
      <c r="A2004" s="16" t="s">
        <v>3629</v>
      </c>
      <c r="B2004" s="23">
        <v>158872.31999999992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Global Ecommerce Sales</vt:lpstr>
      <vt:lpstr>Pivot_Customer</vt:lpstr>
      <vt:lpstr>Pivot_Region</vt:lpstr>
      <vt:lpstr>Pivot_Catogory</vt:lpstr>
      <vt:lpstr>Pivot_Monthly</vt:lpstr>
      <vt:lpstr>Pivot_Product</vt:lpstr>
      <vt:lpstr>Pivot_Payment</vt:lpstr>
      <vt:lpstr>Discount vs Profit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Anonymous</dc:creator>
  <cp:lastModifiedBy>PCC</cp:lastModifiedBy>
  <dcterms:created xsi:type="dcterms:W3CDTF">2026-08-23T13:43:59Z</dcterms:created>
  <dcterms:modified xsi:type="dcterms:W3CDTF">2026-08-25T10:54:46Z</dcterms:modified>
</cp:coreProperties>
</file>